
<file path=[Content_Types].xml><?xml version="1.0" encoding="utf-8"?>
<Types xmlns="http://schemas.openxmlformats.org/package/2006/content-types">
  <Default Extension="xml" ContentType="application/xml"/>
  <Default Extension="vml" ContentType="application/vnd.openxmlformats-officedocument.vmlDrawing"/>
  <Default Extension="jpeg" ContentType="image/jpeg"/>
  <Default Extension="JPG" ContentType="image/.jp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ustomStorage/customStorage.xml" ContentType="application/vnd.wps-officedocument.customStorag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workbookProtection workbookAlgorithmName="SHA-512" workbookHashValue="KfroNXkPsNFzgPOLe3cShbdxW0BYNb1+gyhv0PVCQyiu3wXZMRHsHiU62PdjZsMYOTJ6M4vYXoJ5flRdPGGmvQ==" workbookSaltValue="g/GeqQABbryGg62/fz0uOg==" workbookSpinCount="100000" lockStructure="1"/>
  <bookViews>
    <workbookView windowWidth="27945" windowHeight="11805" firstSheet="3" activeTab="4"/>
  </bookViews>
  <sheets>
    <sheet name="Date" sheetId="16" state="hidden" r:id="rId1"/>
    <sheet name="Update Log" sheetId="17" state="hidden" r:id="rId2"/>
    <sheet name="Black hole_Mapping" sheetId="21" state="hidden" r:id="rId3"/>
    <sheet name="English" sheetId="9" r:id="rId4"/>
    <sheet name="Trad Chinese" sheetId="8" r:id="rId5"/>
    <sheet name="Simp Chinese" sheetId="12" r:id="rId6"/>
    <sheet name="Basic E" sheetId="11" state="hidden" r:id="rId7"/>
    <sheet name="Basic C" sheetId="1" state="hidden" r:id="rId8"/>
    <sheet name="Backward Cal (size discount) EN" sheetId="15" state="hidden" r:id="rId9"/>
    <sheet name="Backward Cal (size discount) TC" sheetId="14" state="hidden" r:id="rId10"/>
    <sheet name="Backward Cal (size discount) SC" sheetId="13" state="hidden" r:id="rId11"/>
    <sheet name="Multiple Ccy Mapping_EN" sheetId="18" state="hidden" r:id="rId12"/>
    <sheet name="Multiple Ccy Mapping_TC" sheetId="19" state="hidden" r:id="rId13"/>
    <sheet name="Multiple Ccy Mapping_SC" sheetId="20" state="hidden" r:id="rId14"/>
    <sheet name="Premium" sheetId="5" state="hidden" r:id="rId15"/>
  </sheets>
  <externalReferences>
    <externalReference r:id="rId17"/>
  </externalReferences>
  <definedNames>
    <definedName name="_xlnm._FilterDatabase" localSheetId="14" hidden="1">Premium!$A$2:$O$691</definedName>
    <definedName name="EndDate">Date!$D$4</definedName>
    <definedName name="prem" localSheetId="8">[1]Premium!#REF!</definedName>
    <definedName name="prem" localSheetId="9">[1]Premium!#REF!</definedName>
    <definedName name="prem" localSheetId="6">[1]Premium!#REF!</definedName>
    <definedName name="prem" localSheetId="3">[1]Premium!#REF!</definedName>
    <definedName name="prem" localSheetId="5">[1]Premium!#REF!</definedName>
    <definedName name="prem" localSheetId="4">[1]Premium!#REF!</definedName>
    <definedName name="prem">[1]Premium!#REF!</definedName>
    <definedName name="_xlnm.Print_Area" localSheetId="3">English!$B$16:$R$99</definedName>
    <definedName name="_xlnm.Print_Area" localSheetId="5">'Simp Chinese'!$B$16:$R$72</definedName>
    <definedName name="_xlnm.Print_Area" localSheetId="4">'Trad Chinese'!$B$16:$R$72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tc={AA41718B-6BFA-4319-BAE2-348D38857812}</author>
    <author>tc={584075EF-22D8-47BC-B639-348908814F63}</author>
    <author>tc={A1A3F3CD-C438-4311-9C84-CD5AB9295FD4}</author>
  </authors>
  <commentList>
    <comment ref="B10"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Newly Added</t>
        </r>
      </text>
    </comment>
    <comment ref="D12" authorId="1">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5%Extra interest not applicable to HKD/RMB</t>
        </r>
      </text>
    </comment>
    <comment ref="B17" authorId="2">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Didvded into 3 seperate tab based on  different language</t>
        </r>
      </text>
    </comment>
  </commentList>
</comments>
</file>

<file path=xl/comments2.xml><?xml version="1.0" encoding="utf-8"?>
<comments xmlns="http://schemas.openxmlformats.org/spreadsheetml/2006/main">
  <authors>
    <author>tc={EE855FC4-63F5-443E-BDB5-F3C8F52B911F}</author>
  </authors>
  <commentList>
    <comment ref="P41"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Fixed at 0% for without comm sacrifice</t>
        </r>
      </text>
    </comment>
  </commentList>
</comments>
</file>

<file path=xl/comments3.xml><?xml version="1.0" encoding="utf-8"?>
<comments xmlns="http://schemas.openxmlformats.org/spreadsheetml/2006/main">
  <authors>
    <author>tc={5D49ED74-A9AF-4367-8A47-73445EC8CF03}</author>
  </authors>
  <commentList>
    <comment ref="P41"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Fixed at 0% for without comm sacrifice</t>
        </r>
      </text>
    </comment>
  </commentList>
</comments>
</file>

<file path=xl/comments4.xml><?xml version="1.0" encoding="utf-8"?>
<comments xmlns="http://schemas.openxmlformats.org/spreadsheetml/2006/main">
  <authors>
    <author>tc={D149E18F-F1A0-4337-BCBE-29D631E74543}</author>
  </authors>
  <commentList>
    <comment ref="P41"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Fixed at 0% for without comm sacrifice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<sst xmlns="http://schemas.openxmlformats.org/spreadsheetml/2006/main" count="10421" uniqueCount="3426">
  <si>
    <t>EN</t>
  </si>
  <si>
    <t>TC/SC</t>
  </si>
  <si>
    <t>Submission</t>
  </si>
  <si>
    <t>start</t>
  </si>
  <si>
    <t>up to</t>
  </si>
  <si>
    <t>Issued up to</t>
  </si>
  <si>
    <t>#</t>
  </si>
  <si>
    <t>Tab</t>
  </si>
  <si>
    <t>Cell</t>
  </si>
  <si>
    <t>Content</t>
  </si>
  <si>
    <t>Doer</t>
  </si>
  <si>
    <t>Date of Change</t>
  </si>
  <si>
    <t>Checker</t>
  </si>
  <si>
    <t>Date of Checking</t>
  </si>
  <si>
    <t>English/ Trad Chinese/ Simp Chinese</t>
  </si>
  <si>
    <t>D7</t>
  </si>
  <si>
    <t>Add currency HKD/CNY</t>
  </si>
  <si>
    <t>Rick Yang</t>
  </si>
  <si>
    <t>Selina Wang</t>
  </si>
  <si>
    <t>E24&amp;O24</t>
  </si>
  <si>
    <t>Add formula to show correct currency</t>
  </si>
  <si>
    <t>B40&amp;B51</t>
  </si>
  <si>
    <t>Modify formula to reflect currency chosen</t>
  </si>
  <si>
    <t>B20&amp;B43&amp;B58</t>
  </si>
  <si>
    <t>Wording Update</t>
  </si>
  <si>
    <t>Backward Cal (size discount) EN/ TC/ SC</t>
  </si>
  <si>
    <t>H3:H8</t>
  </si>
  <si>
    <t>Modify formula to include CNY</t>
  </si>
  <si>
    <t>A:E</t>
  </si>
  <si>
    <t xml:space="preserve">Update Large Size Discount for HKD/CNY </t>
  </si>
  <si>
    <t>W:AB</t>
  </si>
  <si>
    <t>Add formula to obtain premium mapping for different currency chosen</t>
  </si>
  <si>
    <t>Multiple Ccy Mapping</t>
  </si>
  <si>
    <t>Involving "Premium Refund" &amp;"Premium Mapping" for all currency and  link to tables in Backward Cal respectively</t>
  </si>
  <si>
    <t>AM32</t>
  </si>
  <si>
    <t>CNY cap change to 87.09</t>
  </si>
  <si>
    <t>B54&amp;B56</t>
  </si>
  <si>
    <t>Changed wording</t>
  </si>
  <si>
    <t>Jevons Chan</t>
  </si>
  <si>
    <t>P:U</t>
  </si>
  <si>
    <t>Modify formulas to extract premium refund for ccy chosen</t>
  </si>
  <si>
    <t>Joisse/ Jevons</t>
  </si>
  <si>
    <t>P12</t>
  </si>
  <si>
    <t>Added comm sacrifice switch (2/5/8%)</t>
  </si>
  <si>
    <t>Conditional Formating to disappear comm sacrifice switch if choose 2 pay</t>
  </si>
  <si>
    <t>B11</t>
  </si>
  <si>
    <t>Added formula to reflect "Guaranteed" for USD</t>
  </si>
  <si>
    <t>Splited into 3 separate tabs based on different language</t>
  </si>
  <si>
    <t>B54/B56</t>
  </si>
  <si>
    <t>Added formula to reflect different wording towards different Ccy</t>
  </si>
  <si>
    <t>B8:D8</t>
  </si>
  <si>
    <t>Delete, they are from previous Regent version, not applicable for My Wealth</t>
  </si>
  <si>
    <t>Updated with sacrifice code</t>
  </si>
  <si>
    <t>Q43:S49</t>
  </si>
  <si>
    <t>Formula modification</t>
  </si>
  <si>
    <t>Modified to input comm sacrifice percentage freely</t>
  </si>
  <si>
    <t>Modified formula for comm sacrifice related to the change of #20</t>
  </si>
  <si>
    <t>B17</t>
  </si>
  <si>
    <t>Modified to T version</t>
  </si>
  <si>
    <t>M12:P12</t>
  </si>
  <si>
    <t>Remove comm sacrifice</t>
  </si>
  <si>
    <t>Date</t>
  </si>
  <si>
    <t>Update to •Submission period: 25 Sep – 29 Dec 2023 •Last issue date: 29 Feb 2024</t>
  </si>
  <si>
    <t>Modified to a multi-ccy without comm sacrifice version'</t>
  </si>
  <si>
    <t>Update to •Submission period: 30 Sep – 30 Nov 2023 •Last issue date: 31 Jan 2024</t>
  </si>
  <si>
    <t>Update to •Submission period: 8 Nov – 29 Dec 2023 •Last issue date: 29 Feb 2024</t>
  </si>
  <si>
    <t>Joisse Mok</t>
  </si>
  <si>
    <t>P8 &amp; D11</t>
  </si>
  <si>
    <t>Modified formula to cater for 6% interest first year, remaining year 5% interest if AP &gt;= 80k USD for 5Pay</t>
  </si>
  <si>
    <t>B54</t>
  </si>
  <si>
    <t>Uopdated Remark #6 to reflect different first year prepayment interest situation</t>
  </si>
  <si>
    <t>B51</t>
  </si>
  <si>
    <t>Uopdated Remark #5 to reflect different first year prepayment interest situation</t>
  </si>
  <si>
    <t>AP</t>
  </si>
  <si>
    <t>TotPmt</t>
  </si>
  <si>
    <t>Offer%</t>
  </si>
  <si>
    <t>TotPmt&gt;Upperbound</t>
  </si>
  <si>
    <t>GS Input</t>
  </si>
  <si>
    <t>key</t>
  </si>
  <si>
    <t>ccy</t>
  </si>
  <si>
    <t>Input</t>
  </si>
  <si>
    <t>PPP</t>
  </si>
  <si>
    <t>From</t>
  </si>
  <si>
    <t>To</t>
  </si>
  <si>
    <t>For AP input, if AP&gt;Col F, make AP= Col G</t>
  </si>
  <si>
    <t>5PUSD</t>
  </si>
  <si>
    <t>Target</t>
  </si>
  <si>
    <t>AP Upper</t>
  </si>
  <si>
    <t>Total PrePmt</t>
  </si>
  <si>
    <t>USD</t>
  </si>
  <si>
    <t>AP input</t>
  </si>
  <si>
    <t>For Prepayment input, if Prepayment&gt; Col F, use upper tier rate</t>
  </si>
  <si>
    <t>AP Lower</t>
  </si>
  <si>
    <t>Total prepayment input</t>
  </si>
  <si>
    <t>* 348438 is equivalent to AP=80000</t>
  </si>
  <si>
    <t>Diff</t>
  </si>
  <si>
    <t>PmtInput</t>
  </si>
  <si>
    <t>HKD</t>
  </si>
  <si>
    <t>Prepmt Upper</t>
  </si>
  <si>
    <t>Prepmt Lower</t>
  </si>
  <si>
    <t>CNY</t>
  </si>
  <si>
    <t>5PHKD</t>
  </si>
  <si>
    <t>美元</t>
  </si>
  <si>
    <t>港幣</t>
  </si>
  <si>
    <t>2PHKD</t>
  </si>
  <si>
    <t>人民幣</t>
  </si>
  <si>
    <t>港币</t>
  </si>
  <si>
    <t>人民币</t>
  </si>
  <si>
    <t>Original</t>
  </si>
  <si>
    <t>prelim AP_1</t>
  </si>
  <si>
    <t>Product</t>
  </si>
  <si>
    <t>Prime II</t>
  </si>
  <si>
    <t>AP (BOSS Input)</t>
  </si>
  <si>
    <t>ç</t>
  </si>
  <si>
    <r>
      <rPr>
        <b/>
        <u/>
        <sz val="18"/>
        <color rgb="FF00B0F0"/>
        <rFont val="Times New Roman"/>
        <charset val="134"/>
      </rPr>
      <t>IMPORTANT NOTE</t>
    </r>
    <r>
      <rPr>
        <b/>
        <sz val="18"/>
        <color rgb="FF00B0F0"/>
        <rFont val="Times New Roman"/>
        <charset val="134"/>
      </rPr>
      <t xml:space="preserve">
Please key in this Annual Premium amount in our proposal system (BOSS) for Sales Illustration.  </t>
    </r>
  </si>
  <si>
    <t>Elite II</t>
  </si>
  <si>
    <t>AP (BOSS Displayed Premium)</t>
  </si>
  <si>
    <t>[</t>
  </si>
  <si>
    <t>Currency</t>
  </si>
  <si>
    <t>prelim AP_2</t>
  </si>
  <si>
    <t>Special Prepayment Interest? (Y/N)</t>
  </si>
  <si>
    <t>Y</t>
  </si>
  <si>
    <t>Prepayment</t>
  </si>
  <si>
    <t>Yr 1 PD interest for campaign</t>
  </si>
  <si>
    <t>N</t>
  </si>
  <si>
    <t>Short Pay</t>
  </si>
  <si>
    <t>Premium Refund? (Y/N)</t>
  </si>
  <si>
    <t>PD Interest after Yr 1</t>
  </si>
  <si>
    <t xml:space="preserve">Commision Sacrifice </t>
  </si>
  <si>
    <t>Annual Extra Prem</t>
  </si>
  <si>
    <t>Premium refund at beginning of year 2</t>
  </si>
  <si>
    <t>Annual Short Pay Prem</t>
  </si>
  <si>
    <t>Choice to Pay Up the Policy in 1 year</t>
  </si>
  <si>
    <t>You can choose to pay up the Policy in a reduced payment period of just 1 year. You can simply pay the First Year Extra Lump Sum listed below together with your required First Year Annual Premium upon application.  The additional payment will be accumulated in your Premium Deposit Account with interest and the balance will be applied to settle the premiums for the (including Premium Levy)</t>
  </si>
  <si>
    <t>workings</t>
  </si>
  <si>
    <r>
      <rPr>
        <sz val="12"/>
        <rFont val="Times New Roman"/>
        <charset val="134"/>
      </rPr>
      <t xml:space="preserve">End of Policy </t>
    </r>
    <r>
      <rPr>
        <sz val="12"/>
        <rFont val="Times New Roman"/>
        <charset val="134"/>
      </rPr>
      <t>Year</t>
    </r>
  </si>
  <si>
    <t>Annual Premium</t>
  </si>
  <si>
    <r>
      <rPr>
        <sz val="12"/>
        <rFont val="Times New Roman"/>
        <charset val="134"/>
      </rPr>
      <t>P</t>
    </r>
    <r>
      <rPr>
        <sz val="12"/>
        <rFont val="Times New Roman"/>
        <charset val="134"/>
      </rPr>
      <t>remium Levy</t>
    </r>
  </si>
  <si>
    <r>
      <rPr>
        <sz val="12"/>
        <rFont val="Times New Roman"/>
        <charset val="134"/>
      </rPr>
      <t>P</t>
    </r>
    <r>
      <rPr>
        <sz val="12"/>
        <rFont val="Times New Roman"/>
        <charset val="134"/>
      </rPr>
      <t>remium Refund</t>
    </r>
  </si>
  <si>
    <t>Extra Interest</t>
  </si>
  <si>
    <t>PV Premium</t>
  </si>
  <si>
    <t>PV Levy</t>
  </si>
  <si>
    <t>PV Premium Refund &amp; Extra Interest</t>
  </si>
  <si>
    <t>Net Annual Premium</t>
  </si>
  <si>
    <t>First Year Annual Premium (Including Premium Levy)</t>
  </si>
  <si>
    <t>First Year Extra Lump Sum</t>
  </si>
  <si>
    <t>Total First Year Payment*</t>
  </si>
  <si>
    <t>Guaranteed Interest on the Balance of Premium Deposit Account</t>
  </si>
  <si>
    <t>Balance of Premium Deposit Account</t>
  </si>
  <si>
    <t>PV for Extra Prem (%)</t>
  </si>
  <si>
    <t>PV for Original Prem         (%)</t>
  </si>
  <si>
    <t>PV for Levy</t>
  </si>
  <si>
    <t>Interest Rate w Campaign</t>
  </si>
  <si>
    <t>Interest Rate w/o Campaign</t>
  </si>
  <si>
    <t>Beginning of the Policy Year</t>
  </si>
  <si>
    <t>PV Factor (to the First Premium Due Date)
w Campaign</t>
  </si>
  <si>
    <t>PV Factor (to the First Premium Due Date)
w/o Campaign</t>
  </si>
  <si>
    <t>FV Factor (to the Last Premium Due Date)
w Campaign</t>
  </si>
  <si>
    <t>FV Factor (to the Last Premium Due Date)
w/o Campaign</t>
  </si>
  <si>
    <t>FV Factor Diference</t>
  </si>
  <si>
    <t>(USD)</t>
  </si>
  <si>
    <t>Effective Date</t>
  </si>
  <si>
    <t>Rate %</t>
  </si>
  <si>
    <t>Levy Cap</t>
  </si>
  <si>
    <t>01 Jan 2018 - 31 Mar 2019</t>
  </si>
  <si>
    <t>01 Apr 2019 - 31 Mar 2020</t>
  </si>
  <si>
    <t>01 Apr 2020 - 31 Mar 2021</t>
  </si>
  <si>
    <t>01 Apr 2021 - 15 Aug 2022</t>
  </si>
  <si>
    <t>16 Aug 2022 - 31 Dec 2022</t>
  </si>
  <si>
    <t>01 Jan 2023 onwards</t>
  </si>
  <si>
    <t xml:space="preserve">Total </t>
  </si>
  <si>
    <t>(a)</t>
  </si>
  <si>
    <t>(b)</t>
  </si>
  <si>
    <t>(c)</t>
  </si>
  <si>
    <t>2% interest part</t>
  </si>
  <si>
    <t>extra interest part</t>
  </si>
  <si>
    <t>^ The above amount of premium levy is for reference only. The actual amount of levy will be calculated based on the policy date of your policy.</t>
  </si>
  <si>
    <t>*Total First Year Payment = First Year Annual Premium (including Premium Levy) + First Year Extra Lump Sum (including Premium Levy)</t>
  </si>
  <si>
    <t>Notes</t>
  </si>
  <si>
    <t>below wording is for 4)</t>
  </si>
  <si>
    <t>1) If you want to apply the above Choice to Pay Up the Policy, you are required to pay First Year Annual Premium (including Premium Levy) and First Year Extra Lump Sum (including Premium Levy) as stated above when submitting the life insurance application, and this illustration should be duly signed and submitted with the life insurance application, otherwise the application for Choice to Pay Up the Policy will not be processed.</t>
  </si>
  <si>
    <t>2) The above Choice to Pay Up the Policy is only applicable to the premium of the Basic Plan.</t>
  </si>
  <si>
    <t>3) The above Choice to Pay Up the Policy is only applicable to the policy with premium payment in annual mode.</t>
  </si>
  <si>
    <t xml:space="preserve"> Extra Interest Rate (“Extra Interest Rate”) and Basic Prepaid Premium Interest Rate (the current interest rate offered is 2% per annum, but is not guaranteed). If the non-guaranteed Basic Prepaid Premium Interest Rate increases or decreases, the Extra Interest Rate will be adjusted accordingly to ensure the interest rate of This Offer reaches the guaranteed</t>
  </si>
  <si>
    <t>6) The accumulated premiums in the Premium Deposit Account will generate interest at a rate of 5% per annum (“Guaranteed Interest Rate for Prepaid Premium Offer”). Guaranteed Interest Rate for Prepaid Premium Offer refers to 3% Extra Interest Rate (“Extra Interest Rate”) and Basic Prepaid Premium Interest Rate (the current interest rate offered is 2% per annum, but is not guaranteed). If the non-guaranteed Basic Prepaid Premium Interest Rate increases or decreases, the Extra Interest Rate will be adjusted accordingly to ensure the interest rate of This Offer reaches the guaranteed 5%.</t>
  </si>
  <si>
    <t>6) The accumulated premiums in the Premium Deposit Account will generate interest at a rate determined by us. The current interest rate is 2% per annum which may vary from time to time without prior notice and is not guaranteed.</t>
  </si>
  <si>
    <t>7) Interest of the Guaranteed Interest Rate for Prepaid Premium Offer is determined based on the Premiums Payable (deducting the annual premium due and premium levy, with accumulated interest) from the policy issue date to the last premium payment due date by annum. Total Interest of the Extra Interest Rate will be automatically deposited to the premium deposit account before the last premium due date for premiums payable of that Policy year (include the premium levy). Interest of Basic Prepaid Premium Interest Rate will be automatically credited to the premium deposit account on the corresponding Policy Anniversary.</t>
  </si>
  <si>
    <t>7) The interest can be higher or lower than 2% per annum. If the interest rate is reduced in the future or any premium is paid after its due date, the extra lump sum paid in the first policy year under the above Choice to Pay Up the Policy will be insufficient to accumulate and to pay up the policy (including Premium Levy) and you are required to pay the outstanding premium (including Premium Levy) in order to maintain the policy in force. Otherwise, the policy will be terminated or continue to be in force but subject to an automatic premium loan. Termination of policy will result in loss of coverage. Upon early termination, you may also suffer a significant loss.</t>
  </si>
  <si>
    <t>You may withdraw the entire amount from the Premium Deposit Account before policy termination or maturity but any interest credited will be forfeited. We reserve the right of final decision on any withdrawal requests on the Premium Deposit Account.</t>
  </si>
  <si>
    <t>If there is any remaining balance in your Premium Deposit Account, it will be refunded upon termination or maturity of the policy.</t>
  </si>
  <si>
    <t>The value in Premium Deposit Account will not be paid as a part of benefit to the beneficiary on the death of the insured, but will be treated as the property or the estate of the Owner.</t>
  </si>
  <si>
    <t>The Company reserves the right not to accept the amount deposited into Premium Deposit Account.</t>
  </si>
  <si>
    <r>
      <rPr>
        <b/>
        <sz val="12"/>
        <rFont val="Times New Roman"/>
        <charset val="134"/>
      </rPr>
      <t>Declaration</t>
    </r>
    <r>
      <rPr>
        <sz val="12"/>
        <rFont val="Times New Roman"/>
        <charset val="134"/>
      </rPr>
      <t xml:space="preserve">
I acknowledge and confirm that I have carefully read and fully understood the contents of Choice to Pay Up the Policy in this prepayment illustration including the above notes and hereby agree to be bounded by them once the Choice to Pay Up the Policy has been accepted by the Company.</t>
    </r>
  </si>
  <si>
    <t xml:space="preserve">Name of Applicant: </t>
  </si>
  <si>
    <t>Date:</t>
  </si>
  <si>
    <t>Signature:</t>
  </si>
  <si>
    <t>Policy No:</t>
  </si>
  <si>
    <t>x</t>
  </si>
  <si>
    <r>
      <rPr>
        <sz val="12"/>
        <rFont val="細明體"/>
        <charset val="136"/>
      </rPr>
      <t>享富</t>
    </r>
    <r>
      <rPr>
        <sz val="8"/>
        <color rgb="FF000000"/>
        <rFont val="Arial"/>
        <charset val="134"/>
      </rPr>
      <t xml:space="preserve"> • </t>
    </r>
    <r>
      <rPr>
        <sz val="8"/>
        <color rgb="FF000000"/>
        <rFont val="新細明體"/>
        <charset val="136"/>
      </rPr>
      <t>傳家寶</t>
    </r>
    <r>
      <rPr>
        <sz val="8"/>
        <color rgb="FF000000"/>
        <rFont val="Arial"/>
        <charset val="134"/>
      </rPr>
      <t xml:space="preserve"> II</t>
    </r>
  </si>
  <si>
    <r>
      <rPr>
        <sz val="12"/>
        <rFont val="細明體"/>
        <charset val="136"/>
      </rPr>
      <t>創世</t>
    </r>
    <r>
      <rPr>
        <sz val="12"/>
        <rFont val="Times New Roman"/>
        <charset val="134"/>
      </rPr>
      <t xml:space="preserve"> • </t>
    </r>
    <r>
      <rPr>
        <sz val="12"/>
        <rFont val="細明體"/>
        <charset val="136"/>
      </rPr>
      <t>傳家寶</t>
    </r>
    <r>
      <rPr>
        <sz val="12"/>
        <rFont val="Times New Roman"/>
        <charset val="134"/>
      </rPr>
      <t xml:space="preserve"> II</t>
    </r>
  </si>
  <si>
    <t>Commision Sacrifice</t>
  </si>
  <si>
    <r>
      <rPr>
        <b/>
        <sz val="12"/>
        <rFont val="Times New Roman"/>
        <charset val="134"/>
      </rPr>
      <t>1</t>
    </r>
    <r>
      <rPr>
        <b/>
        <sz val="12"/>
        <rFont val="細明體"/>
        <charset val="136"/>
      </rPr>
      <t>年清繳保費選擇</t>
    </r>
  </si>
  <si>
    <r>
      <rPr>
        <sz val="12"/>
        <rFont val="細明體"/>
        <charset val="136"/>
      </rPr>
      <t>滿</t>
    </r>
    <r>
      <rPr>
        <sz val="12"/>
        <rFont val="Times New Roman"/>
        <charset val="134"/>
      </rPr>
      <t xml:space="preserve"> / </t>
    </r>
    <r>
      <rPr>
        <sz val="12"/>
        <rFont val="細明體"/>
        <charset val="136"/>
      </rPr>
      <t>年</t>
    </r>
  </si>
  <si>
    <t>每年保費</t>
  </si>
  <si>
    <t>保費徵費</t>
  </si>
  <si>
    <t>保費回贈</t>
  </si>
  <si>
    <t>額外
預繳保費利息</t>
  </si>
  <si>
    <t>淨年繳保費</t>
  </si>
  <si>
    <t>首年保費
(包含保費徵費)</t>
  </si>
  <si>
    <t>首年額外
繳交款項</t>
  </si>
  <si>
    <r>
      <rPr>
        <sz val="12"/>
        <rFont val="細明體"/>
        <charset val="136"/>
      </rPr>
      <t>首年繳交款項總額</t>
    </r>
    <r>
      <rPr>
        <sz val="12"/>
        <rFont val="Times New Roman"/>
        <charset val="134"/>
      </rPr>
      <t xml:space="preserve">*
</t>
    </r>
  </si>
  <si>
    <t>保費儲存戶口
結餘之
保證利息</t>
  </si>
  <si>
    <t>保費儲存
戶口結餘</t>
  </si>
  <si>
    <t>(美元)</t>
  </si>
  <si>
    <t>總金額</t>
  </si>
  <si>
    <r>
      <rPr>
        <sz val="12"/>
        <rFont val="Times New Roman"/>
        <charset val="134"/>
      </rPr>
      <t xml:space="preserve">^ </t>
    </r>
    <r>
      <rPr>
        <sz val="12"/>
        <rFont val="細明體"/>
        <charset val="136"/>
      </rPr>
      <t>上述保費徵費金額僅供參考，實際徵費金額將以您的保單日期計算</t>
    </r>
  </si>
  <si>
    <r>
      <rPr>
        <sz val="12"/>
        <rFont val="Times New Roman"/>
        <charset val="134"/>
      </rPr>
      <t>*</t>
    </r>
    <r>
      <rPr>
        <sz val="12"/>
        <rFont val="細明體"/>
        <charset val="136"/>
      </rPr>
      <t>首年繳交款項總額</t>
    </r>
    <r>
      <rPr>
        <sz val="12"/>
        <rFont val="Times New Roman"/>
        <charset val="134"/>
      </rPr>
      <t xml:space="preserve"> = </t>
    </r>
    <r>
      <rPr>
        <sz val="12"/>
        <rFont val="細明體"/>
        <charset val="136"/>
      </rPr>
      <t>首年保費(包含保費徵費)</t>
    </r>
    <r>
      <rPr>
        <sz val="12"/>
        <rFont val="Times New Roman"/>
        <charset val="134"/>
      </rPr>
      <t xml:space="preserve"> + </t>
    </r>
    <r>
      <rPr>
        <sz val="12"/>
        <rFont val="細明體"/>
        <charset val="136"/>
      </rPr>
      <t>首年額外繳交款項(包含保費徵費)</t>
    </r>
  </si>
  <si>
    <t>注意事項</t>
  </si>
  <si>
    <r>
      <rPr>
        <sz val="12"/>
        <rFont val="Times New Roman"/>
        <charset val="134"/>
      </rPr>
      <t>1)</t>
    </r>
    <r>
      <rPr>
        <sz val="12"/>
        <rFont val="細明體"/>
        <charset val="136"/>
      </rPr>
      <t>閣下如欲申請上列清繳保費選擇，必須在遞交人壽保險投保申請時，附上此清繳保費選擇並已簽妥以下聲明部份，同時繳交上列首年保費(包含保費徵費)及首年額外繳交款項(包含保費徵費)，否則有關之清繳保費選擇申請將不作處理。</t>
    </r>
  </si>
  <si>
    <r>
      <rPr>
        <sz val="12"/>
        <rFont val="Times New Roman"/>
        <charset val="134"/>
      </rPr>
      <t xml:space="preserve">2) </t>
    </r>
    <r>
      <rPr>
        <sz val="12"/>
        <rFont val="細明體"/>
        <charset val="136"/>
      </rPr>
      <t>上列清繳保費選擇只適用於基本計劃之保費。</t>
    </r>
  </si>
  <si>
    <r>
      <rPr>
        <sz val="12"/>
        <rFont val="Times New Roman"/>
        <charset val="134"/>
      </rPr>
      <t xml:space="preserve">3) </t>
    </r>
    <r>
      <rPr>
        <sz val="12"/>
        <rFont val="細明體"/>
        <charset val="136"/>
      </rPr>
      <t>上列清繳保費選擇只適用於保費繳付方式為年繳之計劃。</t>
    </r>
  </si>
  <si>
    <t>6)保費儲存戶口中預繳金額的每年結餘扣除每年應繳的年繳保費及保單徵費後，於整個保費繳付期可享保證首年6%年利率及第2至4年保證每年5%年利率之利息。特別優惠之年利率為(i)首年4%;及第2至4年3%的額外年利率（「額外年利率」）;及(ii)基本預繳保費年利率（現時年利率為2%，惟此利率並非保證）。如非保證之基本預繳保費年利率有增加或減少，額外年利率會作相應調整以確保特別優惠之年利率達至保證首年6%及第2至4年5%。</t>
  </si>
  <si>
    <t>6)以5%的年利率(「預繳保費保證利率優惠年利率」)積存在保費儲存戶口的金額將可獲派利息。預繳保費保證利率優惠年利率為3%額外年利率（「額外年利率」） 及基本預繳保費年利率（現時年利率為2%，惟此利率並非保證）。如非保證之基本預繳保費年利率有增加或減少，額外年利率會作相應調整以確保此優惠之年利率達至保證5%。</t>
  </si>
  <si>
    <t>6) 積存在保費儲存戶口的金額將可獲派利息，現時年利率為2厘，惟此利率並非保證，本公司保留更改有關利率之權利，毋須事先通知。</t>
  </si>
  <si>
    <t>7)預繳保費保證利率優惠之利息將根據應繳保費於保單繕發日至最後一期的保費繳付到期日的每年於扣除年繳保費和保單徵費並加上累積的利息後計算，額外年利率之利息總額將於最後一期的保費繳付到期日前自動存入保費儲存戶口以繳付該年度應繳的保費（包括保單徵費）。而基本預繳保費年利率之利息，會於相關保單週年日自動存入保費儲存戶口。</t>
  </si>
  <si>
    <t>7) 年利率可以高於或低於2%。若年利率於日後被調低或任何保費於該保費的到期日後才繳交，於上列清繳保費選擇下額外預繳的款項將不足以累積所需金額支付保費(包括保費徵費)，屆時你便需繳交未清繳之保費(包括保費徵費)以維持保單生效。否則，保單會被終止或於被執行自動保費貸款下繼續生效。保單終止會導致失去保障。當保單提早終止，您可能會蒙受重大損失。</t>
  </si>
  <si>
    <r>
      <rPr>
        <b/>
        <sz val="12"/>
        <rFont val="細明體"/>
        <charset val="136"/>
      </rPr>
      <t>聲明</t>
    </r>
    <r>
      <rPr>
        <sz val="12"/>
        <rFont val="Times New Roman"/>
        <charset val="134"/>
      </rPr>
      <t xml:space="preserve">
</t>
    </r>
    <r>
      <rPr>
        <sz val="12"/>
        <rFont val="細明體"/>
        <charset val="136"/>
      </rPr>
      <t>本人確認已審閱及明白此說明文件上的清繳保費選擇建議之內容，當中包括以上所列的注意事項，並同意當貴公司接受本人的投保申請後，本人將受到此說明文件上的清繳保費選擇建議之內容所限制。</t>
    </r>
    <r>
      <rPr>
        <sz val="12"/>
        <rFont val="Times New Roman"/>
        <charset val="134"/>
      </rPr>
      <t xml:space="preserve">
</t>
    </r>
  </si>
  <si>
    <r>
      <rPr>
        <sz val="12"/>
        <rFont val="細明體"/>
        <charset val="136"/>
      </rPr>
      <t>申請人姓名</t>
    </r>
    <r>
      <rPr>
        <sz val="12"/>
        <rFont val="Times New Roman"/>
        <charset val="134"/>
      </rPr>
      <t xml:space="preserve">: </t>
    </r>
  </si>
  <si>
    <r>
      <rPr>
        <sz val="12"/>
        <rFont val="細明體"/>
        <charset val="136"/>
      </rPr>
      <t>日期</t>
    </r>
    <r>
      <rPr>
        <sz val="12"/>
        <rFont val="Times New Roman"/>
        <charset val="134"/>
      </rPr>
      <t>:</t>
    </r>
  </si>
  <si>
    <r>
      <rPr>
        <sz val="12"/>
        <rFont val="細明體"/>
        <charset val="136"/>
      </rPr>
      <t>簽署</t>
    </r>
    <r>
      <rPr>
        <sz val="12"/>
        <rFont val="Times New Roman"/>
        <charset val="134"/>
      </rPr>
      <t>:</t>
    </r>
  </si>
  <si>
    <r>
      <rPr>
        <sz val="12"/>
        <rFont val="細明體"/>
        <charset val="136"/>
      </rPr>
      <t>保單號碼</t>
    </r>
    <r>
      <rPr>
        <sz val="12"/>
        <rFont val="Times New Roman"/>
        <charset val="134"/>
      </rPr>
      <t>:</t>
    </r>
  </si>
  <si>
    <r>
      <rPr>
        <sz val="12"/>
        <rFont val="細明體"/>
        <charset val="136"/>
      </rPr>
      <t>享富</t>
    </r>
    <r>
      <rPr>
        <sz val="12"/>
        <rFont val="Times New Roman"/>
        <charset val="134"/>
      </rPr>
      <t xml:space="preserve"> • </t>
    </r>
    <r>
      <rPr>
        <sz val="12"/>
        <rFont val="細明體"/>
        <charset val="136"/>
      </rPr>
      <t>传家宝</t>
    </r>
    <r>
      <rPr>
        <sz val="12"/>
        <rFont val="Times New Roman"/>
        <charset val="134"/>
      </rPr>
      <t xml:space="preserve"> II</t>
    </r>
  </si>
  <si>
    <r>
      <rPr>
        <sz val="12"/>
        <rFont val="細明體"/>
        <charset val="136"/>
      </rPr>
      <t>创世</t>
    </r>
    <r>
      <rPr>
        <sz val="12"/>
        <rFont val="Times New Roman"/>
        <charset val="134"/>
      </rPr>
      <t xml:space="preserve"> • </t>
    </r>
    <r>
      <rPr>
        <sz val="12"/>
        <rFont val="細明體"/>
        <charset val="136"/>
      </rPr>
      <t>传家宝</t>
    </r>
    <r>
      <rPr>
        <sz val="12"/>
        <rFont val="Times New Roman"/>
        <charset val="134"/>
      </rPr>
      <t xml:space="preserve"> II</t>
    </r>
  </si>
  <si>
    <r>
      <rPr>
        <b/>
        <sz val="12"/>
        <rFont val="Times New Roman"/>
        <charset val="134"/>
      </rPr>
      <t>1</t>
    </r>
    <r>
      <rPr>
        <b/>
        <sz val="12"/>
        <rFont val="細明體"/>
        <charset val="136"/>
      </rPr>
      <t>年清缴保费选择</t>
    </r>
  </si>
  <si>
    <r>
      <rPr>
        <sz val="12"/>
        <rFont val="細明體"/>
        <charset val="136"/>
      </rPr>
      <t>满</t>
    </r>
    <r>
      <rPr>
        <sz val="12"/>
        <rFont val="Times New Roman"/>
        <charset val="134"/>
      </rPr>
      <t xml:space="preserve"> / </t>
    </r>
    <r>
      <rPr>
        <sz val="12"/>
        <rFont val="細明體"/>
        <charset val="136"/>
      </rPr>
      <t>年</t>
    </r>
  </si>
  <si>
    <t>每年保费</t>
  </si>
  <si>
    <t>保费征费</t>
  </si>
  <si>
    <t>保费回贈</t>
  </si>
  <si>
    <t>额外
预缴保费利息</t>
  </si>
  <si>
    <t>首年保费
(包含保费征费)</t>
  </si>
  <si>
    <t>首年额外
缴交款项</t>
  </si>
  <si>
    <r>
      <rPr>
        <sz val="12"/>
        <rFont val="細明體"/>
        <charset val="136"/>
      </rPr>
      <t>首年缴交款项总额</t>
    </r>
    <r>
      <rPr>
        <sz val="12"/>
        <rFont val="Times New Roman"/>
        <charset val="134"/>
      </rPr>
      <t xml:space="preserve">*
</t>
    </r>
  </si>
  <si>
    <t>保费储存户口
结余之
保证利息</t>
  </si>
  <si>
    <t>保费储存
户口结余</t>
  </si>
  <si>
    <t>总金额</t>
  </si>
  <si>
    <r>
      <rPr>
        <sz val="12"/>
        <rFont val="Times New Roman"/>
        <charset val="134"/>
      </rPr>
      <t xml:space="preserve">^ </t>
    </r>
    <r>
      <rPr>
        <sz val="12"/>
        <rFont val="細明體"/>
        <charset val="136"/>
      </rPr>
      <t>上述保费征费金额仅供参考，实际征费金额将以您的保单日期计算</t>
    </r>
  </si>
  <si>
    <r>
      <rPr>
        <sz val="12"/>
        <rFont val="Times New Roman"/>
        <charset val="134"/>
      </rPr>
      <t>*</t>
    </r>
    <r>
      <rPr>
        <sz val="12"/>
        <rFont val="細明體"/>
        <charset val="136"/>
      </rPr>
      <t>首年缴交款项总额</t>
    </r>
    <r>
      <rPr>
        <sz val="12"/>
        <rFont val="Times New Roman"/>
        <charset val="134"/>
      </rPr>
      <t xml:space="preserve"> = </t>
    </r>
    <r>
      <rPr>
        <sz val="12"/>
        <rFont val="細明體"/>
        <charset val="136"/>
      </rPr>
      <t>首年保费(包含保费征费)</t>
    </r>
    <r>
      <rPr>
        <sz val="12"/>
        <rFont val="Times New Roman"/>
        <charset val="134"/>
      </rPr>
      <t xml:space="preserve"> + </t>
    </r>
    <r>
      <rPr>
        <sz val="12"/>
        <rFont val="細明體"/>
        <charset val="136"/>
      </rPr>
      <t>首年额外缴交款项</t>
    </r>
    <r>
      <rPr>
        <sz val="12"/>
        <rFont val="Times New Roman"/>
        <charset val="134"/>
      </rPr>
      <t>(包含保费征费)</t>
    </r>
  </si>
  <si>
    <r>
      <rPr>
        <b/>
        <sz val="14"/>
        <color theme="0"/>
        <rFont val="細明體"/>
        <charset val="136"/>
      </rPr>
      <t>由</t>
    </r>
    <r>
      <rPr>
        <b/>
        <sz val="14"/>
        <color theme="0"/>
        <rFont val="Times New Roman"/>
        <charset val="134"/>
      </rPr>
      <t>2017</t>
    </r>
    <r>
      <rPr>
        <b/>
        <sz val="14"/>
        <color theme="0"/>
        <rFont val="細明體"/>
        <charset val="136"/>
      </rPr>
      <t>年11月1日起，1年清缴保费选择不再適用於5年繳付期的「盛世• 传家宝」寿险计划 (尊尚版)</t>
    </r>
  </si>
  <si>
    <t>注意事项</t>
  </si>
  <si>
    <r>
      <rPr>
        <sz val="12"/>
        <rFont val="Times New Roman"/>
        <charset val="134"/>
      </rPr>
      <t>1)</t>
    </r>
    <r>
      <rPr>
        <sz val="12"/>
        <rFont val="細明體"/>
        <charset val="136"/>
      </rPr>
      <t>阁下如欲申请上列清缴保费选择，必须在递交人寿保险投保申请时，附上此清缴保费选择并已签妥以下声明部份，同时缴交上列首年保费(包含保费征费)及首年额外缴交款项(包含保费征费)，否则有关之清缴保费选择申请将不作处理。</t>
    </r>
  </si>
  <si>
    <r>
      <rPr>
        <sz val="12"/>
        <rFont val="Times New Roman"/>
        <charset val="134"/>
      </rPr>
      <t xml:space="preserve">2) </t>
    </r>
    <r>
      <rPr>
        <sz val="12"/>
        <rFont val="細明體"/>
        <charset val="136"/>
      </rPr>
      <t>上列清缴保费选择只适用于基本计划之保费。</t>
    </r>
  </si>
  <si>
    <r>
      <rPr>
        <sz val="12"/>
        <rFont val="Times New Roman"/>
        <charset val="134"/>
      </rPr>
      <t xml:space="preserve">3) </t>
    </r>
    <r>
      <rPr>
        <sz val="12"/>
        <rFont val="細明體"/>
        <charset val="136"/>
      </rPr>
      <t>上列清缴保费选择只适用于保费缴付方式为年缴之计划。</t>
    </r>
  </si>
  <si>
    <t>6)保费储存户口中预缴金额的每年结余扣除每年应缴的年缴保费及保单征费后，于整个保费缴付期可享保证首年6%年利率及第2至4年保证每年5%年利率之利息。特别优惠之年利率为(i)首年4%;及第2至4年3%的额外年利率（「额外年利率」）;及(ii)基本预缴保费年利率（现时年利率为2%，惟此利率并非保证）。如非保证之基本预缴保费年利率有增加或减少，额外年利率会作相应调整以确保特别优惠之年利率达至保证首年6%及第2至4年5%。</t>
  </si>
  <si>
    <t>6) 以5%的年利率(「预缴保费保证利率优惠年利率」)积存在保费储存户口的金额将可获派利息。预缴保费保证利率优惠年利率为3%额外年利率（「额外年利率」） 及基本预缴保费年利率（现时年利率为2%，惟此利率并非保证）。如非保证之基本预缴保费年利率有增加或减少，额外年利率会作相应调整以确保此优惠之年利率达至保证5%。</t>
  </si>
  <si>
    <t>6) 积存在保费储存户口的金额将可获派利息，现时年利率为2厘，惟此利率并非保证，本公司保留更改有关利率之权利，毋须事先通知。</t>
  </si>
  <si>
    <t>7)预缴保费保证利率优惠之利息将根据应缴保费于保单缮发日至最后一期的保费缴付到期日的每年于扣除年缴保费和保单征费并加上累积的利息后计算，额外年利率之利息总额将于最后一期的保费缴付到期日前自动存入保费储存户口以缴付该年度应缴的保费（包括保单征费）。而基本预缴保费年利率之利息，会于相关保单周年日自动存入保费储存户口。</t>
  </si>
  <si>
    <t>7) 年利率可以高于或低于2%。若年利率于日后被调低或任何保费于该保费的到期日后才缴交，于上列清缴保费选择下额外预缴的款项将不足以累积所需金额支付保费(包括保费征费)，届时你便需缴交未清缴之保费(包括保费征费)以维持保单生效。否则，保单会被终止或于被执行自动保费贷款下继续生效。保单终止会导致失去保障。当保单提早终止，您可能会蒙受重大损失。</t>
  </si>
  <si>
    <r>
      <rPr>
        <b/>
        <sz val="12"/>
        <rFont val="細明體"/>
        <charset val="136"/>
      </rPr>
      <t>声明</t>
    </r>
    <r>
      <rPr>
        <sz val="12"/>
        <rFont val="Times New Roman"/>
        <charset val="134"/>
      </rPr>
      <t xml:space="preserve">
</t>
    </r>
    <r>
      <rPr>
        <sz val="12"/>
        <rFont val="細明體"/>
        <charset val="136"/>
      </rPr>
      <t>本人确认已审阅及明白此说明文件上的清缴保费选择建议之内容，当中包括以上所列的注意事项，并同意当贵公司接受本人的投保申请后，本人将受到此说明文件上的清缴保费选择建议之内容所限制。</t>
    </r>
    <r>
      <rPr>
        <sz val="12"/>
        <rFont val="Times New Roman"/>
        <charset val="134"/>
      </rPr>
      <t xml:space="preserve">
</t>
    </r>
  </si>
  <si>
    <r>
      <rPr>
        <sz val="12"/>
        <rFont val="細明體"/>
        <charset val="136"/>
      </rPr>
      <t>申请人姓名</t>
    </r>
    <r>
      <rPr>
        <sz val="12"/>
        <rFont val="Times New Roman"/>
        <charset val="134"/>
      </rPr>
      <t xml:space="preserve">: </t>
    </r>
  </si>
  <si>
    <r>
      <rPr>
        <sz val="12"/>
        <rFont val="細明體"/>
        <charset val="136"/>
      </rPr>
      <t>签署</t>
    </r>
    <r>
      <rPr>
        <sz val="12"/>
        <rFont val="Times New Roman"/>
        <charset val="134"/>
      </rPr>
      <t>:</t>
    </r>
  </si>
  <si>
    <r>
      <rPr>
        <sz val="12"/>
        <rFont val="細明體"/>
        <charset val="136"/>
      </rPr>
      <t>保单号码</t>
    </r>
    <r>
      <rPr>
        <sz val="12"/>
        <rFont val="Times New Roman"/>
        <charset val="134"/>
      </rPr>
      <t>:</t>
    </r>
  </si>
  <si>
    <t>PD Interest</t>
  </si>
  <si>
    <t>Year</t>
  </si>
  <si>
    <t>Annual Extra Payment</t>
  </si>
  <si>
    <t>Total Annual Payment*</t>
  </si>
  <si>
    <r>
      <rPr>
        <sz val="12"/>
        <rFont val="Times New Roman"/>
        <charset val="134"/>
      </rPr>
      <t xml:space="preserve">Balance of Premium Deposit Account at </t>
    </r>
    <r>
      <rPr>
        <u/>
        <sz val="12"/>
        <rFont val="Times New Roman"/>
        <charset val="134"/>
      </rPr>
      <t>End of Year</t>
    </r>
  </si>
  <si>
    <t xml:space="preserve">Basic premium saved: </t>
  </si>
  <si>
    <t>From Premium Cal</t>
  </si>
  <si>
    <t>Premium Refund</t>
  </si>
  <si>
    <t>Plan</t>
  </si>
  <si>
    <t>Ccy</t>
  </si>
  <si>
    <t>Check Amount</t>
  </si>
  <si>
    <t>Discount Rate</t>
  </si>
  <si>
    <r>
      <rPr>
        <b/>
        <sz val="12"/>
        <rFont val="Times New Roman"/>
        <charset val="134"/>
      </rPr>
      <t>M</t>
    </r>
    <r>
      <rPr>
        <b/>
        <sz val="12"/>
        <rFont val="Times New Roman"/>
        <charset val="134"/>
      </rPr>
      <t>in Prem</t>
    </r>
  </si>
  <si>
    <r>
      <rPr>
        <b/>
        <sz val="12"/>
        <rFont val="Times New Roman"/>
        <charset val="134"/>
      </rPr>
      <t>M</t>
    </r>
    <r>
      <rPr>
        <b/>
        <sz val="12"/>
        <rFont val="Times New Roman"/>
        <charset val="134"/>
      </rPr>
      <t>ax Prem</t>
    </r>
  </si>
  <si>
    <t>NRRBRCU2</t>
  </si>
  <si>
    <t>NRRBRCH2</t>
  </si>
  <si>
    <t>Interim</t>
  </si>
  <si>
    <t>Std Prem Rate</t>
  </si>
  <si>
    <t>Size Discount</t>
  </si>
  <si>
    <t>SI</t>
  </si>
  <si>
    <t>NRRBRCC2</t>
  </si>
  <si>
    <t>Resulting AP</t>
  </si>
  <si>
    <t>Input by prepayment</t>
  </si>
  <si>
    <t>Prelim AP</t>
  </si>
  <si>
    <t>AP using prelim refund rate</t>
  </si>
  <si>
    <t>NRRBRCU5</t>
  </si>
  <si>
    <t>Prem Refund Rate</t>
  </si>
  <si>
    <t>Prelim refund rate</t>
  </si>
  <si>
    <t>Prem Refund</t>
  </si>
  <si>
    <t>Actual refund rate</t>
  </si>
  <si>
    <t>Basic refund</t>
  </si>
  <si>
    <t>NRRBRCH5</t>
  </si>
  <si>
    <t>NRRBRCC5</t>
  </si>
  <si>
    <t>Final:</t>
  </si>
  <si>
    <t>Refund uplift on July 1, 2024</t>
  </si>
  <si>
    <t>Premium Mapping</t>
  </si>
  <si>
    <t>Premium Refund USD</t>
  </si>
  <si>
    <t>Premium Mapping USD</t>
  </si>
  <si>
    <t>-</t>
  </si>
  <si>
    <t>Premium Mapping for 2-Pay USD</t>
  </si>
  <si>
    <t>Premium Mapping for 5-Pay USD</t>
  </si>
  <si>
    <t>Premium Refund HKD</t>
  </si>
  <si>
    <t>Premium Mapping HKD</t>
  </si>
  <si>
    <t>Premium Mapping for 2-Pay HKD</t>
  </si>
  <si>
    <t>Premium Mapping for 5-Pay HKD</t>
  </si>
  <si>
    <t>Premium Refund CNY</t>
  </si>
  <si>
    <t>Premium Mapping CNY</t>
  </si>
  <si>
    <t>Premium Mapping for 2-Pay CNY</t>
  </si>
  <si>
    <t>Premium Mapping for 5-Pay CNY</t>
  </si>
  <si>
    <t>Premium.dbf</t>
  </si>
  <si>
    <t>KEY</t>
  </si>
  <si>
    <t>PLAN</t>
  </si>
  <si>
    <t>SEX</t>
  </si>
  <si>
    <t>AGE</t>
  </si>
  <si>
    <t>S</t>
  </si>
  <si>
    <t>NRRBRCU2M000</t>
  </si>
  <si>
    <t>M</t>
  </si>
  <si>
    <t>NRRBRCU2M001</t>
  </si>
  <si>
    <t>NRRBRCU2M002</t>
  </si>
  <si>
    <t>NRRBRCU2M003</t>
  </si>
  <si>
    <t>NRRBRCU2M004</t>
  </si>
  <si>
    <t>NRRBRCU2M005</t>
  </si>
  <si>
    <t>NRRBRCU2M006</t>
  </si>
  <si>
    <t>NRRBRCU2M007</t>
  </si>
  <si>
    <t>NRRBRCU2M008</t>
  </si>
  <si>
    <t>NRRBRCU2M009</t>
  </si>
  <si>
    <t>NRRBRCU2M010</t>
  </si>
  <si>
    <t>NRRBRCU2M011</t>
  </si>
  <si>
    <t>NRRBRCU2M012</t>
  </si>
  <si>
    <t>NRRBRCU2M013</t>
  </si>
  <si>
    <t>NRRBRCU2M014</t>
  </si>
  <si>
    <t>NRRBRCU2M015</t>
  </si>
  <si>
    <t>NRRBRCU2M016</t>
  </si>
  <si>
    <t>NRRBRCU2M017</t>
  </si>
  <si>
    <t>NRRBRCU2M018</t>
  </si>
  <si>
    <t>NRRBRCU2M019</t>
  </si>
  <si>
    <t>NRRBRCU2M020</t>
  </si>
  <si>
    <t>NRRBRCU2M021</t>
  </si>
  <si>
    <t>NRRBRCU2M022</t>
  </si>
  <si>
    <t>NRRBRCU2M023</t>
  </si>
  <si>
    <t>NRRBRCU2M024</t>
  </si>
  <si>
    <t>NRRBRCU2M025</t>
  </si>
  <si>
    <t>NRRBRCU2M026</t>
  </si>
  <si>
    <t>NRRBRCU2M027</t>
  </si>
  <si>
    <t>NRRBRCU2M028</t>
  </si>
  <si>
    <t>NRRBRCU2M029</t>
  </si>
  <si>
    <t>NRRBRCU2M030</t>
  </si>
  <si>
    <t>NRRBRCU2M031</t>
  </si>
  <si>
    <t>NRRBRCU2M032</t>
  </si>
  <si>
    <t>NRRBRCU2M033</t>
  </si>
  <si>
    <t>NRRBRCU2M034</t>
  </si>
  <si>
    <t>NRRBRCU2M035</t>
  </si>
  <si>
    <t>NRRBRCU2M036</t>
  </si>
  <si>
    <t>NRRBRCU2M037</t>
  </si>
  <si>
    <t>NRRBRCU2M038</t>
  </si>
  <si>
    <t>NRRBRCU2M039</t>
  </si>
  <si>
    <t>NRRBRCU2M040</t>
  </si>
  <si>
    <t>NRRBRCU2M041</t>
  </si>
  <si>
    <t>NRRBRCU2M042</t>
  </si>
  <si>
    <t>NRRBRCU2M043</t>
  </si>
  <si>
    <t>NRRBRCU2M044</t>
  </si>
  <si>
    <t>NRRBRCU2M045</t>
  </si>
  <si>
    <t>NRRBRCU2M046</t>
  </si>
  <si>
    <t>NRRBRCU2M047</t>
  </si>
  <si>
    <t>NRRBRCU2M048</t>
  </si>
  <si>
    <t>NRRBRCU2M049</t>
  </si>
  <si>
    <t>NRRBRCU2M050</t>
  </si>
  <si>
    <t>NRRBRCU2M051</t>
  </si>
  <si>
    <t>NRRBRCU2M052</t>
  </si>
  <si>
    <t>NRRBRCU2M053</t>
  </si>
  <si>
    <t>NRRBRCU2M054</t>
  </si>
  <si>
    <t>NRRBRCU2M055</t>
  </si>
  <si>
    <t>NRRBRCU2M056</t>
  </si>
  <si>
    <t>NRRBRCU2M057</t>
  </si>
  <si>
    <t>NRRBRCU2M058</t>
  </si>
  <si>
    <t>NRRBRCU2M059</t>
  </si>
  <si>
    <t>NRRBRCU2M060</t>
  </si>
  <si>
    <t>NRRBRCU2M061</t>
  </si>
  <si>
    <t>NRRBRCU2M062</t>
  </si>
  <si>
    <t>NRRBRCU2M063</t>
  </si>
  <si>
    <t>NRRBRCU2M064</t>
  </si>
  <si>
    <t>NRRBRCU2M065</t>
  </si>
  <si>
    <t>NRRBRCU2M066</t>
  </si>
  <si>
    <t>NRRBRCU2M067</t>
  </si>
  <si>
    <t>NRRBRCU2M068</t>
  </si>
  <si>
    <t>NRRBRCU2M069</t>
  </si>
  <si>
    <t>NRRBRCU2M070</t>
  </si>
  <si>
    <t>NRRBRCU2M071</t>
  </si>
  <si>
    <t>NRRBRCU2M072</t>
  </si>
  <si>
    <t>NRRBRCU2M073</t>
  </si>
  <si>
    <t>NRRBRCU2M074</t>
  </si>
  <si>
    <t>NRRBRCU2M075</t>
  </si>
  <si>
    <t>NRRBRCU2M076</t>
  </si>
  <si>
    <t>NRRBRCU2M077</t>
  </si>
  <si>
    <t>NRRBRCU2M078</t>
  </si>
  <si>
    <t>NRRBRCU2M079</t>
  </si>
  <si>
    <t>NRRBRCU2M080</t>
  </si>
  <si>
    <t>NRRBRCU2M081</t>
  </si>
  <si>
    <t>NRRBRCU2M082</t>
  </si>
  <si>
    <t>NRRBRCU2M083</t>
  </si>
  <si>
    <t>NRRBRCU2M084</t>
  </si>
  <si>
    <t>NRRBRCU2M085</t>
  </si>
  <si>
    <t>NRRBRCU2F000</t>
  </si>
  <si>
    <t>F</t>
  </si>
  <si>
    <t>NRRBRCU2F001</t>
  </si>
  <si>
    <t>NRRBRCU2F002</t>
  </si>
  <si>
    <t>NRRBRCU2F003</t>
  </si>
  <si>
    <t>NRRBRCU2F004</t>
  </si>
  <si>
    <t>NRRBRCU2F005</t>
  </si>
  <si>
    <t>NRRBRCU2F006</t>
  </si>
  <si>
    <t>NRRBRCU2F007</t>
  </si>
  <si>
    <t>NRRBRCU2F008</t>
  </si>
  <si>
    <t>NRRBRCU2F009</t>
  </si>
  <si>
    <t>NRRBRCU2F010</t>
  </si>
  <si>
    <t>NRRBRCU2F011</t>
  </si>
  <si>
    <t>NRRBRCU2F012</t>
  </si>
  <si>
    <t>NRRBRCU2F013</t>
  </si>
  <si>
    <t>NRRBRCU2F014</t>
  </si>
  <si>
    <t>NRRBRCU2F015</t>
  </si>
  <si>
    <t>NRRBRCU2F016</t>
  </si>
  <si>
    <t>NRRBRCU2F017</t>
  </si>
  <si>
    <t>NRRBRCU2F018</t>
  </si>
  <si>
    <t>NRRBRCU2F019</t>
  </si>
  <si>
    <t>NRRBRCU2F020</t>
  </si>
  <si>
    <t>NRRBRCU2F021</t>
  </si>
  <si>
    <t>NRRBRCU2F022</t>
  </si>
  <si>
    <t>NRRBRCU2F023</t>
  </si>
  <si>
    <t>NRRBRCU2F024</t>
  </si>
  <si>
    <t>NRRBRCU2F025</t>
  </si>
  <si>
    <t>NRRBRCU2F026</t>
  </si>
  <si>
    <t>NRRBRCU2F027</t>
  </si>
  <si>
    <t>NRRBRCU2F028</t>
  </si>
  <si>
    <t>NRRBRCU2F029</t>
  </si>
  <si>
    <t>NRRBRCU2F030</t>
  </si>
  <si>
    <t>NRRBRCU2F031</t>
  </si>
  <si>
    <t>NRRBRCU2F032</t>
  </si>
  <si>
    <t>NRRBRCU2F033</t>
  </si>
  <si>
    <t>NRRBRCU2F034</t>
  </si>
  <si>
    <t>NRRBRCU2F035</t>
  </si>
  <si>
    <t>NRRBRCU2F036</t>
  </si>
  <si>
    <t>NRRBRCU2F037</t>
  </si>
  <si>
    <t>NRRBRCU2F038</t>
  </si>
  <si>
    <t>NRRBRCU2F039</t>
  </si>
  <si>
    <t>NRRBRCU2F040</t>
  </si>
  <si>
    <t>NRRBRCU2F041</t>
  </si>
  <si>
    <t>NRRBRCU2F042</t>
  </si>
  <si>
    <t>NRRBRCU2F043</t>
  </si>
  <si>
    <t>NRRBRCU2F044</t>
  </si>
  <si>
    <t>NRRBRCU2F045</t>
  </si>
  <si>
    <t>NRRBRCU2F046</t>
  </si>
  <si>
    <t>NRRBRCU2F047</t>
  </si>
  <si>
    <t>NRRBRCU2F048</t>
  </si>
  <si>
    <t>NRRBRCU2F049</t>
  </si>
  <si>
    <t>NRRBRCU2F050</t>
  </si>
  <si>
    <t>NRRBRCU2F051</t>
  </si>
  <si>
    <t>NRRBRCU2F052</t>
  </si>
  <si>
    <t>NRRBRCU2F053</t>
  </si>
  <si>
    <t>NRRBRCU2F054</t>
  </si>
  <si>
    <t>NRRBRCU2F055</t>
  </si>
  <si>
    <t>NRRBRCU2F056</t>
  </si>
  <si>
    <t>NRRBRCU2F057</t>
  </si>
  <si>
    <t>NRRBRCU2F058</t>
  </si>
  <si>
    <t>NRRBRCU2F059</t>
  </si>
  <si>
    <t>NRRBRCU2F060</t>
  </si>
  <si>
    <t>NRRBRCU2F061</t>
  </si>
  <si>
    <t>NRRBRCU2F062</t>
  </si>
  <si>
    <t>NRRBRCU2F063</t>
  </si>
  <si>
    <t>NRRBRCU2F064</t>
  </si>
  <si>
    <t>NRRBRCU2F065</t>
  </si>
  <si>
    <t>NRRBRCU2F066</t>
  </si>
  <si>
    <t>NRRBRCU2F067</t>
  </si>
  <si>
    <t>NRRBRCU2F068</t>
  </si>
  <si>
    <t>NRRBRCU2F069</t>
  </si>
  <si>
    <t>NRRBRCU2F070</t>
  </si>
  <si>
    <t>NRRBRCU2F071</t>
  </si>
  <si>
    <t>NRRBRCU2F072</t>
  </si>
  <si>
    <t>NRRBRCU2F073</t>
  </si>
  <si>
    <t>NRRBRCU2F074</t>
  </si>
  <si>
    <t>NRRBRCU2F075</t>
  </si>
  <si>
    <t>NRRBRCU2F076</t>
  </si>
  <si>
    <t>NRRBRCU2F077</t>
  </si>
  <si>
    <t>NRRBRCU2F078</t>
  </si>
  <si>
    <t>NRRBRCU2F079</t>
  </si>
  <si>
    <t>NRRBRCU2F080</t>
  </si>
  <si>
    <t>NRRBRCU2F081</t>
  </si>
  <si>
    <t>NRRBRCU2F082</t>
  </si>
  <si>
    <t>NRRBRCU2F083</t>
  </si>
  <si>
    <t>NRRBRCU2F084</t>
  </si>
  <si>
    <t>NRRBRCU2F085</t>
  </si>
  <si>
    <t>NRRBRCU2AM000</t>
  </si>
  <si>
    <t>NRRBRCU2A</t>
  </si>
  <si>
    <t>NRRBRCU2AM001</t>
  </si>
  <si>
    <t>NRRBRCU2AM002</t>
  </si>
  <si>
    <t>NRRBRCU2AM003</t>
  </si>
  <si>
    <t>NRRBRCU2AM004</t>
  </si>
  <si>
    <t>NRRBRCU2AM005</t>
  </si>
  <si>
    <t>NRRBRCU2AM006</t>
  </si>
  <si>
    <t>NRRBRCU2AM007</t>
  </si>
  <si>
    <t>NRRBRCU2AM008</t>
  </si>
  <si>
    <t>NRRBRCU2AM009</t>
  </si>
  <si>
    <t>NRRBRCU2AM010</t>
  </si>
  <si>
    <t>NRRBRCU2AM011</t>
  </si>
  <si>
    <t>NRRBRCU2AM012</t>
  </si>
  <si>
    <t>NRRBRCU2AM013</t>
  </si>
  <si>
    <t>NRRBRCU2AM014</t>
  </si>
  <si>
    <t>NRRBRCU2AM015</t>
  </si>
  <si>
    <t>NRRBRCU2AM016</t>
  </si>
  <si>
    <t>NRRBRCU2AM017</t>
  </si>
  <si>
    <t>NRRBRCU2AM018</t>
  </si>
  <si>
    <t>NRRBRCU2AM019</t>
  </si>
  <si>
    <t>NRRBRCU2AM020</t>
  </si>
  <si>
    <t>NRRBRCU2AM021</t>
  </si>
  <si>
    <t>NRRBRCU2AM022</t>
  </si>
  <si>
    <t>NRRBRCU2AM023</t>
  </si>
  <si>
    <t>NRRBRCU2AM024</t>
  </si>
  <si>
    <t>NRRBRCU2AM025</t>
  </si>
  <si>
    <t>NRRBRCU2AM026</t>
  </si>
  <si>
    <t>NRRBRCU2AM027</t>
  </si>
  <si>
    <t>NRRBRCU2AM028</t>
  </si>
  <si>
    <t>NRRBRCU2AM029</t>
  </si>
  <si>
    <t>NRRBRCU2AM030</t>
  </si>
  <si>
    <t>NRRBRCU2AM031</t>
  </si>
  <si>
    <t>NRRBRCU2AM032</t>
  </si>
  <si>
    <t>NRRBRCU2AM033</t>
  </si>
  <si>
    <t>NRRBRCU2AM034</t>
  </si>
  <si>
    <t>NRRBRCU2AM035</t>
  </si>
  <si>
    <t>NRRBRCU2AM036</t>
  </si>
  <si>
    <t>NRRBRCU2AM037</t>
  </si>
  <si>
    <t>NRRBRCU2AM038</t>
  </si>
  <si>
    <t>NRRBRCU2AM039</t>
  </si>
  <si>
    <t>NRRBRCU2AM040</t>
  </si>
  <si>
    <t>NRRBRCU2AM041</t>
  </si>
  <si>
    <t>NRRBRCU2AM042</t>
  </si>
  <si>
    <t>NRRBRCU2AM043</t>
  </si>
  <si>
    <t>NRRBRCU2AM044</t>
  </si>
  <si>
    <t>NRRBRCU2AM045</t>
  </si>
  <si>
    <t>NRRBRCU2AM046</t>
  </si>
  <si>
    <t>NRRBRCU2AM047</t>
  </si>
  <si>
    <t>NRRBRCU2AM048</t>
  </si>
  <si>
    <t>NRRBRCU2AM049</t>
  </si>
  <si>
    <t>NRRBRCU2AM050</t>
  </si>
  <si>
    <t>NRRBRCU2AM051</t>
  </si>
  <si>
    <t>NRRBRCU2AM052</t>
  </si>
  <si>
    <t>NRRBRCU2AM053</t>
  </si>
  <si>
    <t>NRRBRCU2AM054</t>
  </si>
  <si>
    <t>NRRBRCU2AM055</t>
  </si>
  <si>
    <t>NRRBRCU2AM056</t>
  </si>
  <si>
    <t>NRRBRCU2AM057</t>
  </si>
  <si>
    <t>NRRBRCU2AM058</t>
  </si>
  <si>
    <t>NRRBRCU2AM059</t>
  </si>
  <si>
    <t>NRRBRCU2AM060</t>
  </si>
  <si>
    <t>NRRBRCU2AM061</t>
  </si>
  <si>
    <t>NRRBRCU2AM062</t>
  </si>
  <si>
    <t>NRRBRCU2AM063</t>
  </si>
  <si>
    <t>NRRBRCU2AM064</t>
  </si>
  <si>
    <t>NRRBRCU2AM065</t>
  </si>
  <si>
    <t>NRRBRCU2AM066</t>
  </si>
  <si>
    <t>NRRBRCU2AM067</t>
  </si>
  <si>
    <t>NRRBRCU2AM068</t>
  </si>
  <si>
    <t>NRRBRCU2AM069</t>
  </si>
  <si>
    <t>NRRBRCU2AM070</t>
  </si>
  <si>
    <t>NRRBRCU2AM071</t>
  </si>
  <si>
    <t>NRRBRCU2AM072</t>
  </si>
  <si>
    <t>NRRBRCU2AM073</t>
  </si>
  <si>
    <t>NRRBRCU2AM074</t>
  </si>
  <si>
    <t>NRRBRCU2AM075</t>
  </si>
  <si>
    <t>NRRBRCU2AM076</t>
  </si>
  <si>
    <t>NRRBRCU2AM077</t>
  </si>
  <si>
    <t>NRRBRCU2AM078</t>
  </si>
  <si>
    <t>NRRBRCU2AM079</t>
  </si>
  <si>
    <t>NRRBRCU2AM080</t>
  </si>
  <si>
    <t>NRRBRCU2AM081</t>
  </si>
  <si>
    <t>NRRBRCU2AM082</t>
  </si>
  <si>
    <t>NRRBRCU2AM083</t>
  </si>
  <si>
    <t>NRRBRCU2AM084</t>
  </si>
  <si>
    <t>NRRBRCU2AM085</t>
  </si>
  <si>
    <t>NRRBRCU2AF000</t>
  </si>
  <si>
    <t>NRRBRCU2AF001</t>
  </si>
  <si>
    <t>NRRBRCU2AF002</t>
  </si>
  <si>
    <t>NRRBRCU2AF003</t>
  </si>
  <si>
    <t>NRRBRCU2AF004</t>
  </si>
  <si>
    <t>NRRBRCU2AF005</t>
  </si>
  <si>
    <t>NRRBRCU2AF006</t>
  </si>
  <si>
    <t>NRRBRCU2AF007</t>
  </si>
  <si>
    <t>NRRBRCU2AF008</t>
  </si>
  <si>
    <t>NRRBRCU2AF009</t>
  </si>
  <si>
    <t>NRRBRCU2AF010</t>
  </si>
  <si>
    <t>NRRBRCU2AF011</t>
  </si>
  <si>
    <t>NRRBRCU2AF012</t>
  </si>
  <si>
    <t>NRRBRCU2AF013</t>
  </si>
  <si>
    <t>NRRBRCU2AF014</t>
  </si>
  <si>
    <t>NRRBRCU2AF015</t>
  </si>
  <si>
    <t>NRRBRCU2AF016</t>
  </si>
  <si>
    <t>NRRBRCU2AF017</t>
  </si>
  <si>
    <t>NRRBRCU2AF018</t>
  </si>
  <si>
    <t>NRRBRCU2AF019</t>
  </si>
  <si>
    <t>NRRBRCU2AF020</t>
  </si>
  <si>
    <t>NRRBRCU2AF021</t>
  </si>
  <si>
    <t>NRRBRCU2AF022</t>
  </si>
  <si>
    <t>NRRBRCU2AF023</t>
  </si>
  <si>
    <t>NRRBRCU2AF024</t>
  </si>
  <si>
    <t>NRRBRCU2AF025</t>
  </si>
  <si>
    <t>NRRBRCU2AF026</t>
  </si>
  <si>
    <t>NRRBRCU2AF027</t>
  </si>
  <si>
    <t>NRRBRCU2AF028</t>
  </si>
  <si>
    <t>NRRBRCU2AF029</t>
  </si>
  <si>
    <t>NRRBRCU2AF030</t>
  </si>
  <si>
    <t>NRRBRCU2AF031</t>
  </si>
  <si>
    <t>NRRBRCU2AF032</t>
  </si>
  <si>
    <t>NRRBRCU2AF033</t>
  </si>
  <si>
    <t>NRRBRCU2AF034</t>
  </si>
  <si>
    <t>NRRBRCU2AF035</t>
  </si>
  <si>
    <t>NRRBRCU2AF036</t>
  </si>
  <si>
    <t>NRRBRCU2AF037</t>
  </si>
  <si>
    <t>NRRBRCU2AF038</t>
  </si>
  <si>
    <t>NRRBRCU2AF039</t>
  </si>
  <si>
    <t>NRRBRCU2AF040</t>
  </si>
  <si>
    <t>NRRBRCU2AF041</t>
  </si>
  <si>
    <t>NRRBRCU2AF042</t>
  </si>
  <si>
    <t>NRRBRCU2AF043</t>
  </si>
  <si>
    <t>NRRBRCU2AF044</t>
  </si>
  <si>
    <t>NRRBRCU2AF045</t>
  </si>
  <si>
    <t>NRRBRCU2AF046</t>
  </si>
  <si>
    <t>NRRBRCU2AF047</t>
  </si>
  <si>
    <t>NRRBRCU2AF048</t>
  </si>
  <si>
    <t>NRRBRCU2AF049</t>
  </si>
  <si>
    <t>NRRBRCU2AF050</t>
  </si>
  <si>
    <t>NRRBRCU2AF051</t>
  </si>
  <si>
    <t>NRRBRCU2AF052</t>
  </si>
  <si>
    <t>NRRBRCU2AF053</t>
  </si>
  <si>
    <t>NRRBRCU2AF054</t>
  </si>
  <si>
    <t>NRRBRCU2AF055</t>
  </si>
  <si>
    <t>NRRBRCU2AF056</t>
  </si>
  <si>
    <t>NRRBRCU2AF057</t>
  </si>
  <si>
    <t>NRRBRCU2AF058</t>
  </si>
  <si>
    <t>NRRBRCU2AF059</t>
  </si>
  <si>
    <t>NRRBRCU2AF060</t>
  </si>
  <si>
    <t>NRRBRCU2AF061</t>
  </si>
  <si>
    <t>NRRBRCU2AF062</t>
  </si>
  <si>
    <t>NRRBRCU2AF063</t>
  </si>
  <si>
    <t>NRRBRCU2AF064</t>
  </si>
  <si>
    <t>NRRBRCU2AF065</t>
  </si>
  <si>
    <t>NRRBRCU2AF066</t>
  </si>
  <si>
    <t>NRRBRCU2AF067</t>
  </si>
  <si>
    <t>NRRBRCU2AF068</t>
  </si>
  <si>
    <t>NRRBRCU2AF069</t>
  </si>
  <si>
    <t>NRRBRCU2AF070</t>
  </si>
  <si>
    <t>NRRBRCU2AF071</t>
  </si>
  <si>
    <t>NRRBRCU2AF072</t>
  </si>
  <si>
    <t>NRRBRCU2AF073</t>
  </si>
  <si>
    <t>NRRBRCU2AF074</t>
  </si>
  <si>
    <t>NRRBRCU2AF075</t>
  </si>
  <si>
    <t>NRRBRCU2AF076</t>
  </si>
  <si>
    <t>NRRBRCU2AF077</t>
  </si>
  <si>
    <t>NRRBRCU2AF078</t>
  </si>
  <si>
    <t>NRRBRCU2AF079</t>
  </si>
  <si>
    <t>NRRBRCU2AF080</t>
  </si>
  <si>
    <t>NRRBRCU2AF081</t>
  </si>
  <si>
    <t>NRRBRCU2AF082</t>
  </si>
  <si>
    <t>NRRBRCU2AF083</t>
  </si>
  <si>
    <t>NRRBRCU2AF084</t>
  </si>
  <si>
    <t>NRRBRCU2AF085</t>
  </si>
  <si>
    <t>NRRBRCH2M000</t>
  </si>
  <si>
    <t>NRRBRCH2M001</t>
  </si>
  <si>
    <t>NRRBRCH2M002</t>
  </si>
  <si>
    <t>NRRBRCH2M003</t>
  </si>
  <si>
    <t>NRRBRCH2M004</t>
  </si>
  <si>
    <t>NRRBRCH2M005</t>
  </si>
  <si>
    <t>NRRBRCH2M006</t>
  </si>
  <si>
    <t>NRRBRCH2M007</t>
  </si>
  <si>
    <t>NRRBRCH2M008</t>
  </si>
  <si>
    <t>NRRBRCH2M009</t>
  </si>
  <si>
    <t>NRRBRCH2M010</t>
  </si>
  <si>
    <t>NRRBRCH2M011</t>
  </si>
  <si>
    <t>NRRBRCH2M012</t>
  </si>
  <si>
    <t>NRRBRCH2M013</t>
  </si>
  <si>
    <t>NRRBRCH2M014</t>
  </si>
  <si>
    <t>NRRBRCH2M015</t>
  </si>
  <si>
    <t>NRRBRCH2M016</t>
  </si>
  <si>
    <t>NRRBRCH2M017</t>
  </si>
  <si>
    <t>NRRBRCH2M018</t>
  </si>
  <si>
    <t>NRRBRCH2M019</t>
  </si>
  <si>
    <t>NRRBRCH2M020</t>
  </si>
  <si>
    <t>NRRBRCH2M021</t>
  </si>
  <si>
    <t>NRRBRCH2M022</t>
  </si>
  <si>
    <t>NRRBRCH2M023</t>
  </si>
  <si>
    <t>NRRBRCH2M024</t>
  </si>
  <si>
    <t>NRRBRCH2M025</t>
  </si>
  <si>
    <t>NRRBRCH2M026</t>
  </si>
  <si>
    <t>NRRBRCH2M027</t>
  </si>
  <si>
    <t>NRRBRCH2M028</t>
  </si>
  <si>
    <t>NRRBRCH2M029</t>
  </si>
  <si>
    <t>NRRBRCH2M030</t>
  </si>
  <si>
    <t>NRRBRCH2M031</t>
  </si>
  <si>
    <t>NRRBRCH2M032</t>
  </si>
  <si>
    <t>NRRBRCH2M033</t>
  </si>
  <si>
    <t>NRRBRCH2M034</t>
  </si>
  <si>
    <t>NRRBRCH2M035</t>
  </si>
  <si>
    <t>NRRBRCH2M036</t>
  </si>
  <si>
    <t>NRRBRCH2M037</t>
  </si>
  <si>
    <t>NRRBRCH2M038</t>
  </si>
  <si>
    <t>NRRBRCH2M039</t>
  </si>
  <si>
    <t>NRRBRCH2M040</t>
  </si>
  <si>
    <t>NRRBRCH2M041</t>
  </si>
  <si>
    <t>NRRBRCH2M042</t>
  </si>
  <si>
    <t>NRRBRCH2M043</t>
  </si>
  <si>
    <t>NRRBRCH2M044</t>
  </si>
  <si>
    <t>NRRBRCH2M045</t>
  </si>
  <si>
    <t>NRRBRCH2M046</t>
  </si>
  <si>
    <t>NRRBRCH2M047</t>
  </si>
  <si>
    <t>NRRBRCH2M048</t>
  </si>
  <si>
    <t>NRRBRCH2M049</t>
  </si>
  <si>
    <t>NRRBRCH2M050</t>
  </si>
  <si>
    <t>NRRBRCH2M051</t>
  </si>
  <si>
    <t>NRRBRCH2M052</t>
  </si>
  <si>
    <t>NRRBRCH2M053</t>
  </si>
  <si>
    <t>NRRBRCH2M054</t>
  </si>
  <si>
    <t>NRRBRCH2M055</t>
  </si>
  <si>
    <t>NRRBRCH2M056</t>
  </si>
  <si>
    <t>NRRBRCH2M057</t>
  </si>
  <si>
    <t>NRRBRCH2M058</t>
  </si>
  <si>
    <t>NRRBRCH2M059</t>
  </si>
  <si>
    <t>NRRBRCH2M060</t>
  </si>
  <si>
    <t>NRRBRCH2M061</t>
  </si>
  <si>
    <t>NRRBRCH2M062</t>
  </si>
  <si>
    <t>NRRBRCH2M063</t>
  </si>
  <si>
    <t>NRRBRCH2M064</t>
  </si>
  <si>
    <t>NRRBRCH2M065</t>
  </si>
  <si>
    <t>NRRBRCH2M066</t>
  </si>
  <si>
    <t>NRRBRCH2M067</t>
  </si>
  <si>
    <t>NRRBRCH2M068</t>
  </si>
  <si>
    <t>NRRBRCH2M069</t>
  </si>
  <si>
    <t>NRRBRCH2M070</t>
  </si>
  <si>
    <t>NRRBRCH2M071</t>
  </si>
  <si>
    <t>NRRBRCH2M072</t>
  </si>
  <si>
    <t>NRRBRCH2M073</t>
  </si>
  <si>
    <t>NRRBRCH2M074</t>
  </si>
  <si>
    <t>NRRBRCH2M075</t>
  </si>
  <si>
    <t>NRRBRCH2M076</t>
  </si>
  <si>
    <t>NRRBRCH2M077</t>
  </si>
  <si>
    <t>NRRBRCH2M078</t>
  </si>
  <si>
    <t>NRRBRCH2M079</t>
  </si>
  <si>
    <t>NRRBRCH2M080</t>
  </si>
  <si>
    <t>NRRBRCH2M081</t>
  </si>
  <si>
    <t>NRRBRCH2M082</t>
  </si>
  <si>
    <t>NRRBRCH2M083</t>
  </si>
  <si>
    <t>NRRBRCH2M084</t>
  </si>
  <si>
    <t>NRRBRCH2M085</t>
  </si>
  <si>
    <t>NRRBRCH2F000</t>
  </si>
  <si>
    <t>NRRBRCH2F001</t>
  </si>
  <si>
    <t>NRRBRCH2F002</t>
  </si>
  <si>
    <t>NRRBRCH2F003</t>
  </si>
  <si>
    <t>NRRBRCH2F004</t>
  </si>
  <si>
    <t>NRRBRCH2F005</t>
  </si>
  <si>
    <t>NRRBRCH2F006</t>
  </si>
  <si>
    <t>NRRBRCH2F007</t>
  </si>
  <si>
    <t>NRRBRCH2F008</t>
  </si>
  <si>
    <t>NRRBRCH2F009</t>
  </si>
  <si>
    <t>NRRBRCH2F010</t>
  </si>
  <si>
    <t>NRRBRCH2F011</t>
  </si>
  <si>
    <t>NRRBRCH2F012</t>
  </si>
  <si>
    <t>NRRBRCH2F013</t>
  </si>
  <si>
    <t>NRRBRCH2F014</t>
  </si>
  <si>
    <t>NRRBRCH2F015</t>
  </si>
  <si>
    <t>NRRBRCH2F016</t>
  </si>
  <si>
    <t>NRRBRCH2F017</t>
  </si>
  <si>
    <t>NRRBRCH2F018</t>
  </si>
  <si>
    <t>NRRBRCH2F019</t>
  </si>
  <si>
    <t>NRRBRCH2F020</t>
  </si>
  <si>
    <t>NRRBRCH2F021</t>
  </si>
  <si>
    <t>NRRBRCH2F022</t>
  </si>
  <si>
    <t>NRRBRCH2F023</t>
  </si>
  <si>
    <t>NRRBRCH2F024</t>
  </si>
  <si>
    <t>NRRBRCH2F025</t>
  </si>
  <si>
    <t>NRRBRCH2F026</t>
  </si>
  <si>
    <t>NRRBRCH2F027</t>
  </si>
  <si>
    <t>NRRBRCH2F028</t>
  </si>
  <si>
    <t>NRRBRCH2F029</t>
  </si>
  <si>
    <t>NRRBRCH2F030</t>
  </si>
  <si>
    <t>NRRBRCH2F031</t>
  </si>
  <si>
    <t>NRRBRCH2F032</t>
  </si>
  <si>
    <t>NRRBRCH2F033</t>
  </si>
  <si>
    <t>NRRBRCH2F034</t>
  </si>
  <si>
    <t>NRRBRCH2F035</t>
  </si>
  <si>
    <t>NRRBRCH2F036</t>
  </si>
  <si>
    <t>NRRBRCH2F037</t>
  </si>
  <si>
    <t>NRRBRCH2F038</t>
  </si>
  <si>
    <t>NRRBRCH2F039</t>
  </si>
  <si>
    <t>NRRBRCH2F040</t>
  </si>
  <si>
    <t>NRRBRCH2F041</t>
  </si>
  <si>
    <t>NRRBRCH2F042</t>
  </si>
  <si>
    <t>NRRBRCH2F043</t>
  </si>
  <si>
    <t>NRRBRCH2F044</t>
  </si>
  <si>
    <t>NRRBRCH2F045</t>
  </si>
  <si>
    <t>NRRBRCH2F046</t>
  </si>
  <si>
    <t>NRRBRCH2F047</t>
  </si>
  <si>
    <t>NRRBRCH2F048</t>
  </si>
  <si>
    <t>NRRBRCH2F049</t>
  </si>
  <si>
    <t>NRRBRCH2F050</t>
  </si>
  <si>
    <t>NRRBRCH2F051</t>
  </si>
  <si>
    <t>NRRBRCH2F052</t>
  </si>
  <si>
    <t>NRRBRCH2F053</t>
  </si>
  <si>
    <t>NRRBRCH2F054</t>
  </si>
  <si>
    <t>NRRBRCH2F055</t>
  </si>
  <si>
    <t>NRRBRCH2F056</t>
  </si>
  <si>
    <t>NRRBRCH2F057</t>
  </si>
  <si>
    <t>NRRBRCH2F058</t>
  </si>
  <si>
    <t>NRRBRCH2F059</t>
  </si>
  <si>
    <t>NRRBRCH2F060</t>
  </si>
  <si>
    <t>NRRBRCH2F061</t>
  </si>
  <si>
    <t>NRRBRCH2F062</t>
  </si>
  <si>
    <t>NRRBRCH2F063</t>
  </si>
  <si>
    <t>NRRBRCH2F064</t>
  </si>
  <si>
    <t>NRRBRCH2F065</t>
  </si>
  <si>
    <t>NRRBRCH2F066</t>
  </si>
  <si>
    <t>NRRBRCH2F067</t>
  </si>
  <si>
    <t>NRRBRCH2F068</t>
  </si>
  <si>
    <t>NRRBRCH2F069</t>
  </si>
  <si>
    <t>NRRBRCH2F070</t>
  </si>
  <si>
    <t>NRRBRCH2F071</t>
  </si>
  <si>
    <t>NRRBRCH2F072</t>
  </si>
  <si>
    <t>NRRBRCH2F073</t>
  </si>
  <si>
    <t>NRRBRCH2F074</t>
  </si>
  <si>
    <t>NRRBRCH2F075</t>
  </si>
  <si>
    <t>NRRBRCH2F076</t>
  </si>
  <si>
    <t>NRRBRCH2F077</t>
  </si>
  <si>
    <t>NRRBRCH2F078</t>
  </si>
  <si>
    <t>NRRBRCH2F079</t>
  </si>
  <si>
    <t>NRRBRCH2F080</t>
  </si>
  <si>
    <t>NRRBRCH2F081</t>
  </si>
  <si>
    <t>NRRBRCH2F082</t>
  </si>
  <si>
    <t>NRRBRCH2F083</t>
  </si>
  <si>
    <t>NRRBRCH2F084</t>
  </si>
  <si>
    <t>NRRBRCH2F085</t>
  </si>
  <si>
    <t>NRRBRCH2AM000</t>
  </si>
  <si>
    <t>NRRBRCH2A</t>
  </si>
  <si>
    <t>NRRBRCH2AM001</t>
  </si>
  <si>
    <t>NRRBRCH2AM002</t>
  </si>
  <si>
    <t>NRRBRCH2AM003</t>
  </si>
  <si>
    <t>NRRBRCH2AM004</t>
  </si>
  <si>
    <t>NRRBRCH2AM005</t>
  </si>
  <si>
    <t>NRRBRCH2AM006</t>
  </si>
  <si>
    <t>NRRBRCH2AM007</t>
  </si>
  <si>
    <t>NRRBRCH2AM008</t>
  </si>
  <si>
    <t>NRRBRCH2AM009</t>
  </si>
  <si>
    <t>NRRBRCH2AM010</t>
  </si>
  <si>
    <t>NRRBRCH2AM011</t>
  </si>
  <si>
    <t>NRRBRCH2AM012</t>
  </si>
  <si>
    <t>NRRBRCH2AM013</t>
  </si>
  <si>
    <t>NRRBRCH2AM014</t>
  </si>
  <si>
    <t>NRRBRCH2AM015</t>
  </si>
  <si>
    <t>NRRBRCH2AM016</t>
  </si>
  <si>
    <t>NRRBRCH2AM017</t>
  </si>
  <si>
    <t>NRRBRCH2AM018</t>
  </si>
  <si>
    <t>NRRBRCH2AM019</t>
  </si>
  <si>
    <t>NRRBRCH2AM020</t>
  </si>
  <si>
    <t>NRRBRCH2AM021</t>
  </si>
  <si>
    <t>NRRBRCH2AM022</t>
  </si>
  <si>
    <t>NRRBRCH2AM023</t>
  </si>
  <si>
    <t>NRRBRCH2AM024</t>
  </si>
  <si>
    <t>NRRBRCH2AM025</t>
  </si>
  <si>
    <t>NRRBRCH2AM026</t>
  </si>
  <si>
    <t>NRRBRCH2AM027</t>
  </si>
  <si>
    <t>NRRBRCH2AM028</t>
  </si>
  <si>
    <t>NRRBRCH2AM029</t>
  </si>
  <si>
    <t>NRRBRCH2AM030</t>
  </si>
  <si>
    <t>NRRBRCH2AM031</t>
  </si>
  <si>
    <t>NRRBRCH2AM032</t>
  </si>
  <si>
    <t>NRRBRCH2AM033</t>
  </si>
  <si>
    <t>NRRBRCH2AM034</t>
  </si>
  <si>
    <t>NRRBRCH2AM035</t>
  </si>
  <si>
    <t>NRRBRCH2AM036</t>
  </si>
  <si>
    <t>NRRBRCH2AM037</t>
  </si>
  <si>
    <t>NRRBRCH2AM038</t>
  </si>
  <si>
    <t>NRRBRCH2AM039</t>
  </si>
  <si>
    <t>NRRBRCH2AM040</t>
  </si>
  <si>
    <t>NRRBRCH2AM041</t>
  </si>
  <si>
    <t>NRRBRCH2AM042</t>
  </si>
  <si>
    <t>NRRBRCH2AM043</t>
  </si>
  <si>
    <t>NRRBRCH2AM044</t>
  </si>
  <si>
    <t>NRRBRCH2AM045</t>
  </si>
  <si>
    <t>NRRBRCH2AM046</t>
  </si>
  <si>
    <t>NRRBRCH2AM047</t>
  </si>
  <si>
    <t>NRRBRCH2AM048</t>
  </si>
  <si>
    <t>NRRBRCH2AM049</t>
  </si>
  <si>
    <t>NRRBRCH2AM050</t>
  </si>
  <si>
    <t>NRRBRCH2AM051</t>
  </si>
  <si>
    <t>NRRBRCH2AM052</t>
  </si>
  <si>
    <t>NRRBRCH2AM053</t>
  </si>
  <si>
    <t>NRRBRCH2AM054</t>
  </si>
  <si>
    <t>NRRBRCH2AM055</t>
  </si>
  <si>
    <t>NRRBRCH2AM056</t>
  </si>
  <si>
    <t>NRRBRCH2AM057</t>
  </si>
  <si>
    <t>NRRBRCH2AM058</t>
  </si>
  <si>
    <t>NRRBRCH2AM059</t>
  </si>
  <si>
    <t>NRRBRCH2AM060</t>
  </si>
  <si>
    <t>NRRBRCH2AM061</t>
  </si>
  <si>
    <t>NRRBRCH2AM062</t>
  </si>
  <si>
    <t>NRRBRCH2AM063</t>
  </si>
  <si>
    <t>NRRBRCH2AM064</t>
  </si>
  <si>
    <t>NRRBRCH2AM065</t>
  </si>
  <si>
    <t>NRRBRCH2AM066</t>
  </si>
  <si>
    <t>NRRBRCH2AM067</t>
  </si>
  <si>
    <t>NRRBRCH2AM068</t>
  </si>
  <si>
    <t>NRRBRCH2AM069</t>
  </si>
  <si>
    <t>NRRBRCH2AM070</t>
  </si>
  <si>
    <t>NRRBRCH2AM071</t>
  </si>
  <si>
    <t>NRRBRCH2AM072</t>
  </si>
  <si>
    <t>NRRBRCH2AM073</t>
  </si>
  <si>
    <t>NRRBRCH2AM074</t>
  </si>
  <si>
    <t>NRRBRCH2AM075</t>
  </si>
  <si>
    <t>NRRBRCH2AM076</t>
  </si>
  <si>
    <t>NRRBRCH2AM077</t>
  </si>
  <si>
    <t>NRRBRCH2AM078</t>
  </si>
  <si>
    <t>NRRBRCH2AM079</t>
  </si>
  <si>
    <t>NRRBRCH2AM080</t>
  </si>
  <si>
    <t>NRRBRCH2AM081</t>
  </si>
  <si>
    <t>NRRBRCH2AM082</t>
  </si>
  <si>
    <t>NRRBRCH2AM083</t>
  </si>
  <si>
    <t>NRRBRCH2AM084</t>
  </si>
  <si>
    <t>NRRBRCH2AM085</t>
  </si>
  <si>
    <t>NRRBRCH2AF000</t>
  </si>
  <si>
    <t>NRRBRCH2AF001</t>
  </si>
  <si>
    <t>NRRBRCH2AF002</t>
  </si>
  <si>
    <t>NRRBRCH2AF003</t>
  </si>
  <si>
    <t>NRRBRCH2AF004</t>
  </si>
  <si>
    <t>NRRBRCH2AF005</t>
  </si>
  <si>
    <t>NRRBRCH2AF006</t>
  </si>
  <si>
    <t>NRRBRCH2AF007</t>
  </si>
  <si>
    <t>NRRBRCH2AF008</t>
  </si>
  <si>
    <t>NRRBRCH2AF009</t>
  </si>
  <si>
    <t>NRRBRCH2AF010</t>
  </si>
  <si>
    <t>NRRBRCH2AF011</t>
  </si>
  <si>
    <t>NRRBRCH2AF012</t>
  </si>
  <si>
    <t>NRRBRCH2AF013</t>
  </si>
  <si>
    <t>NRRBRCH2AF014</t>
  </si>
  <si>
    <t>NRRBRCH2AF015</t>
  </si>
  <si>
    <t>NRRBRCH2AF016</t>
  </si>
  <si>
    <t>NRRBRCH2AF017</t>
  </si>
  <si>
    <t>NRRBRCH2AF018</t>
  </si>
  <si>
    <t>NRRBRCH2AF019</t>
  </si>
  <si>
    <t>NRRBRCH2AF020</t>
  </si>
  <si>
    <t>NRRBRCH2AF021</t>
  </si>
  <si>
    <t>NRRBRCH2AF022</t>
  </si>
  <si>
    <t>NRRBRCH2AF023</t>
  </si>
  <si>
    <t>NRRBRCH2AF024</t>
  </si>
  <si>
    <t>NRRBRCH2AF025</t>
  </si>
  <si>
    <t>NRRBRCH2AF026</t>
  </si>
  <si>
    <t>NRRBRCH2AF027</t>
  </si>
  <si>
    <t>NRRBRCH2AF028</t>
  </si>
  <si>
    <t>NRRBRCH2AF029</t>
  </si>
  <si>
    <t>NRRBRCH2AF030</t>
  </si>
  <si>
    <t>NRRBRCH2AF031</t>
  </si>
  <si>
    <t>NRRBRCH2AF032</t>
  </si>
  <si>
    <t>NRRBRCH2AF033</t>
  </si>
  <si>
    <t>NRRBRCH2AF034</t>
  </si>
  <si>
    <t>NRRBRCH2AF035</t>
  </si>
  <si>
    <t>NRRBRCH2AF036</t>
  </si>
  <si>
    <t>NRRBRCH2AF037</t>
  </si>
  <si>
    <t>NRRBRCH2AF038</t>
  </si>
  <si>
    <t>NRRBRCH2AF039</t>
  </si>
  <si>
    <t>NRRBRCH2AF040</t>
  </si>
  <si>
    <t>NRRBRCH2AF041</t>
  </si>
  <si>
    <t>NRRBRCH2AF042</t>
  </si>
  <si>
    <t>NRRBRCH2AF043</t>
  </si>
  <si>
    <t>NRRBRCH2AF044</t>
  </si>
  <si>
    <t>NRRBRCH2AF045</t>
  </si>
  <si>
    <t>NRRBRCH2AF046</t>
  </si>
  <si>
    <t>NRRBRCH2AF047</t>
  </si>
  <si>
    <t>NRRBRCH2AF048</t>
  </si>
  <si>
    <t>NRRBRCH2AF049</t>
  </si>
  <si>
    <t>NRRBRCH2AF050</t>
  </si>
  <si>
    <t>NRRBRCH2AF051</t>
  </si>
  <si>
    <t>NRRBRCH2AF052</t>
  </si>
  <si>
    <t>NRRBRCH2AF053</t>
  </si>
  <si>
    <t>NRRBRCH2AF054</t>
  </si>
  <si>
    <t>NRRBRCH2AF055</t>
  </si>
  <si>
    <t>NRRBRCH2AF056</t>
  </si>
  <si>
    <t>NRRBRCH2AF057</t>
  </si>
  <si>
    <t>NRRBRCH2AF058</t>
  </si>
  <si>
    <t>NRRBRCH2AF059</t>
  </si>
  <si>
    <t>NRRBRCH2AF060</t>
  </si>
  <si>
    <t>NRRBRCH2AF061</t>
  </si>
  <si>
    <t>NRRBRCH2AF062</t>
  </si>
  <si>
    <t>NRRBRCH2AF063</t>
  </si>
  <si>
    <t>NRRBRCH2AF064</t>
  </si>
  <si>
    <t>NRRBRCH2AF065</t>
  </si>
  <si>
    <t>NRRBRCH2AF066</t>
  </si>
  <si>
    <t>NRRBRCH2AF067</t>
  </si>
  <si>
    <t>NRRBRCH2AF068</t>
  </si>
  <si>
    <t>NRRBRCH2AF069</t>
  </si>
  <si>
    <t>NRRBRCH2AF070</t>
  </si>
  <si>
    <t>NRRBRCH2AF071</t>
  </si>
  <si>
    <t>NRRBRCH2AF072</t>
  </si>
  <si>
    <t>NRRBRCH2AF073</t>
  </si>
  <si>
    <t>NRRBRCH2AF074</t>
  </si>
  <si>
    <t>NRRBRCH2AF075</t>
  </si>
  <si>
    <t>NRRBRCH2AF076</t>
  </si>
  <si>
    <t>NRRBRCH2AF077</t>
  </si>
  <si>
    <t>NRRBRCH2AF078</t>
  </si>
  <si>
    <t>NRRBRCH2AF079</t>
  </si>
  <si>
    <t>NRRBRCH2AF080</t>
  </si>
  <si>
    <t>NRRBRCH2AF081</t>
  </si>
  <si>
    <t>NRRBRCH2AF082</t>
  </si>
  <si>
    <t>NRRBRCH2AF083</t>
  </si>
  <si>
    <t>NRRBRCH2AF084</t>
  </si>
  <si>
    <t>NRRBRCH2AF085</t>
  </si>
  <si>
    <t>NRRBRCC2M000</t>
  </si>
  <si>
    <t>NRRBRCC2M001</t>
  </si>
  <si>
    <t>NRRBRCC2M002</t>
  </si>
  <si>
    <t>NRRBRCC2M003</t>
  </si>
  <si>
    <t>NRRBRCC2M004</t>
  </si>
  <si>
    <t>NRRBRCC2M005</t>
  </si>
  <si>
    <t>NRRBRCC2M006</t>
  </si>
  <si>
    <t>NRRBRCC2M007</t>
  </si>
  <si>
    <t>NRRBRCC2M008</t>
  </si>
  <si>
    <t>NRRBRCC2M009</t>
  </si>
  <si>
    <t>NRRBRCC2M010</t>
  </si>
  <si>
    <t>NRRBRCC2M011</t>
  </si>
  <si>
    <t>NRRBRCC2M012</t>
  </si>
  <si>
    <t>NRRBRCC2M013</t>
  </si>
  <si>
    <t>NRRBRCC2M014</t>
  </si>
  <si>
    <t>NRRBRCC2M015</t>
  </si>
  <si>
    <t>NRRBRCC2M016</t>
  </si>
  <si>
    <t>NRRBRCC2M017</t>
  </si>
  <si>
    <t>NRRBRCC2M018</t>
  </si>
  <si>
    <t>NRRBRCC2M019</t>
  </si>
  <si>
    <t>NRRBRCC2M020</t>
  </si>
  <si>
    <t>NRRBRCC2M021</t>
  </si>
  <si>
    <t>NRRBRCC2M022</t>
  </si>
  <si>
    <t>NRRBRCC2M023</t>
  </si>
  <si>
    <t>NRRBRCC2M024</t>
  </si>
  <si>
    <t>NRRBRCC2M025</t>
  </si>
  <si>
    <t>NRRBRCC2M026</t>
  </si>
  <si>
    <t>NRRBRCC2M027</t>
  </si>
  <si>
    <t>NRRBRCC2M028</t>
  </si>
  <si>
    <t>NRRBRCC2M029</t>
  </si>
  <si>
    <t>NRRBRCC2M030</t>
  </si>
  <si>
    <t>NRRBRCC2M031</t>
  </si>
  <si>
    <t>NRRBRCC2M032</t>
  </si>
  <si>
    <t>NRRBRCC2M033</t>
  </si>
  <si>
    <t>NRRBRCC2M034</t>
  </si>
  <si>
    <t>NRRBRCC2M035</t>
  </si>
  <si>
    <t>NRRBRCC2M036</t>
  </si>
  <si>
    <t>NRRBRCC2M037</t>
  </si>
  <si>
    <t>NRRBRCC2M038</t>
  </si>
  <si>
    <t>NRRBRCC2M039</t>
  </si>
  <si>
    <t>NRRBRCC2M040</t>
  </si>
  <si>
    <t>NRRBRCC2M041</t>
  </si>
  <si>
    <t>NRRBRCC2M042</t>
  </si>
  <si>
    <t>NRRBRCC2M043</t>
  </si>
  <si>
    <t>NRRBRCC2M044</t>
  </si>
  <si>
    <t>NRRBRCC2M045</t>
  </si>
  <si>
    <t>NRRBRCC2M046</t>
  </si>
  <si>
    <t>NRRBRCC2M047</t>
  </si>
  <si>
    <t>NRRBRCC2M048</t>
  </si>
  <si>
    <t>NRRBRCC2M049</t>
  </si>
  <si>
    <t>NRRBRCC2M050</t>
  </si>
  <si>
    <t>NRRBRCC2M051</t>
  </si>
  <si>
    <t>NRRBRCC2M052</t>
  </si>
  <si>
    <t>NRRBRCC2M053</t>
  </si>
  <si>
    <t>NRRBRCC2M054</t>
  </si>
  <si>
    <t>NRRBRCC2M055</t>
  </si>
  <si>
    <t>NRRBRCC2M056</t>
  </si>
  <si>
    <t>NRRBRCC2M057</t>
  </si>
  <si>
    <t>NRRBRCC2M058</t>
  </si>
  <si>
    <t>NRRBRCC2M059</t>
  </si>
  <si>
    <t>NRRBRCC2M060</t>
  </si>
  <si>
    <t>NRRBRCC2M061</t>
  </si>
  <si>
    <t>NRRBRCC2M062</t>
  </si>
  <si>
    <t>NRRBRCC2M063</t>
  </si>
  <si>
    <t>NRRBRCC2M064</t>
  </si>
  <si>
    <t>NRRBRCC2M065</t>
  </si>
  <si>
    <t>NRRBRCC2M066</t>
  </si>
  <si>
    <t>NRRBRCC2M067</t>
  </si>
  <si>
    <t>NRRBRCC2M068</t>
  </si>
  <si>
    <t>NRRBRCC2M069</t>
  </si>
  <si>
    <t>NRRBRCC2M070</t>
  </si>
  <si>
    <t>NRRBRCC2M071</t>
  </si>
  <si>
    <t>NRRBRCC2M072</t>
  </si>
  <si>
    <t>NRRBRCC2M073</t>
  </si>
  <si>
    <t>NRRBRCC2M074</t>
  </si>
  <si>
    <t>NRRBRCC2M075</t>
  </si>
  <si>
    <t>NRRBRCC2M076</t>
  </si>
  <si>
    <t>NRRBRCC2M077</t>
  </si>
  <si>
    <t>NRRBRCC2M078</t>
  </si>
  <si>
    <t>NRRBRCC2M079</t>
  </si>
  <si>
    <t>NRRBRCC2M080</t>
  </si>
  <si>
    <t>NRRBRCC2M081</t>
  </si>
  <si>
    <t>NRRBRCC2M082</t>
  </si>
  <si>
    <t>NRRBRCC2M083</t>
  </si>
  <si>
    <t>NRRBRCC2M084</t>
  </si>
  <si>
    <t>NRRBRCC2M085</t>
  </si>
  <si>
    <t>NRRBRCC2F000</t>
  </si>
  <si>
    <t>NRRBRCC2F001</t>
  </si>
  <si>
    <t>NRRBRCC2F002</t>
  </si>
  <si>
    <t>NRRBRCC2F003</t>
  </si>
  <si>
    <t>NRRBRCC2F004</t>
  </si>
  <si>
    <t>NRRBRCC2F005</t>
  </si>
  <si>
    <t>NRRBRCC2F006</t>
  </si>
  <si>
    <t>NRRBRCC2F007</t>
  </si>
  <si>
    <t>NRRBRCC2F008</t>
  </si>
  <si>
    <t>NRRBRCC2F009</t>
  </si>
  <si>
    <t>NRRBRCC2F010</t>
  </si>
  <si>
    <t>NRRBRCC2F011</t>
  </si>
  <si>
    <t>NRRBRCC2F012</t>
  </si>
  <si>
    <t>NRRBRCC2F013</t>
  </si>
  <si>
    <t>NRRBRCC2F014</t>
  </si>
  <si>
    <t>NRRBRCC2F015</t>
  </si>
  <si>
    <t>NRRBRCC2F016</t>
  </si>
  <si>
    <t>NRRBRCC2F017</t>
  </si>
  <si>
    <t>NRRBRCC2F018</t>
  </si>
  <si>
    <t>NRRBRCC2F019</t>
  </si>
  <si>
    <t>NRRBRCC2F020</t>
  </si>
  <si>
    <t>NRRBRCC2F021</t>
  </si>
  <si>
    <t>NRRBRCC2F022</t>
  </si>
  <si>
    <t>NRRBRCC2F023</t>
  </si>
  <si>
    <t>NRRBRCC2F024</t>
  </si>
  <si>
    <t>NRRBRCC2F025</t>
  </si>
  <si>
    <t>NRRBRCC2F026</t>
  </si>
  <si>
    <t>NRRBRCC2F027</t>
  </si>
  <si>
    <t>NRRBRCC2F028</t>
  </si>
  <si>
    <t>NRRBRCC2F029</t>
  </si>
  <si>
    <t>NRRBRCC2F030</t>
  </si>
  <si>
    <t>NRRBRCC2F031</t>
  </si>
  <si>
    <t>NRRBRCC2F032</t>
  </si>
  <si>
    <t>NRRBRCC2F033</t>
  </si>
  <si>
    <t>NRRBRCC2F034</t>
  </si>
  <si>
    <t>NRRBRCC2F035</t>
  </si>
  <si>
    <t>NRRBRCC2F036</t>
  </si>
  <si>
    <t>NRRBRCC2F037</t>
  </si>
  <si>
    <t>NRRBRCC2F038</t>
  </si>
  <si>
    <t>NRRBRCC2F039</t>
  </si>
  <si>
    <t>NRRBRCC2F040</t>
  </si>
  <si>
    <t>NRRBRCC2F041</t>
  </si>
  <si>
    <t>NRRBRCC2F042</t>
  </si>
  <si>
    <t>NRRBRCC2F043</t>
  </si>
  <si>
    <t>NRRBRCC2F044</t>
  </si>
  <si>
    <t>NRRBRCC2F045</t>
  </si>
  <si>
    <t>NRRBRCC2F046</t>
  </si>
  <si>
    <t>NRRBRCC2F047</t>
  </si>
  <si>
    <t>NRRBRCC2F048</t>
  </si>
  <si>
    <t>NRRBRCC2F049</t>
  </si>
  <si>
    <t>NRRBRCC2F050</t>
  </si>
  <si>
    <t>NRRBRCC2F051</t>
  </si>
  <si>
    <t>NRRBRCC2F052</t>
  </si>
  <si>
    <t>NRRBRCC2F053</t>
  </si>
  <si>
    <t>NRRBRCC2F054</t>
  </si>
  <si>
    <t>NRRBRCC2F055</t>
  </si>
  <si>
    <t>NRRBRCC2F056</t>
  </si>
  <si>
    <t>NRRBRCC2F057</t>
  </si>
  <si>
    <t>NRRBRCC2F058</t>
  </si>
  <si>
    <t>NRRBRCC2F059</t>
  </si>
  <si>
    <t>NRRBRCC2F060</t>
  </si>
  <si>
    <t>NRRBRCC2F061</t>
  </si>
  <si>
    <t>NRRBRCC2F062</t>
  </si>
  <si>
    <t>NRRBRCC2F063</t>
  </si>
  <si>
    <t>NRRBRCC2F064</t>
  </si>
  <si>
    <t>NRRBRCC2F065</t>
  </si>
  <si>
    <t>NRRBRCC2F066</t>
  </si>
  <si>
    <t>NRRBRCC2F067</t>
  </si>
  <si>
    <t>NRRBRCC2F068</t>
  </si>
  <si>
    <t>NRRBRCC2F069</t>
  </si>
  <si>
    <t>NRRBRCC2F070</t>
  </si>
  <si>
    <t>NRRBRCC2F071</t>
  </si>
  <si>
    <t>NRRBRCC2F072</t>
  </si>
  <si>
    <t>NRRBRCC2F073</t>
  </si>
  <si>
    <t>NRRBRCC2F074</t>
  </si>
  <si>
    <t>NRRBRCC2F075</t>
  </si>
  <si>
    <t>NRRBRCC2F076</t>
  </si>
  <si>
    <t>NRRBRCC2F077</t>
  </si>
  <si>
    <t>NRRBRCC2F078</t>
  </si>
  <si>
    <t>NRRBRCC2F079</t>
  </si>
  <si>
    <t>NRRBRCC2F080</t>
  </si>
  <si>
    <t>NRRBRCC2F081</t>
  </si>
  <si>
    <t>NRRBRCC2F082</t>
  </si>
  <si>
    <t>NRRBRCC2F083</t>
  </si>
  <si>
    <t>NRRBRCC2F084</t>
  </si>
  <si>
    <t>NRRBRCC2F085</t>
  </si>
  <si>
    <t>NRRBRCC2AM000</t>
  </si>
  <si>
    <t>NRRBRCC2A</t>
  </si>
  <si>
    <t>NRRBRCC2AM001</t>
  </si>
  <si>
    <t>NRRBRCC2AM002</t>
  </si>
  <si>
    <t>NRRBRCC2AM003</t>
  </si>
  <si>
    <t>NRRBRCC2AM004</t>
  </si>
  <si>
    <t>NRRBRCC2AM005</t>
  </si>
  <si>
    <t>NRRBRCC2AM006</t>
  </si>
  <si>
    <t>NRRBRCC2AM007</t>
  </si>
  <si>
    <t>NRRBRCC2AM008</t>
  </si>
  <si>
    <t>NRRBRCC2AM009</t>
  </si>
  <si>
    <t>NRRBRCC2AM010</t>
  </si>
  <si>
    <t>NRRBRCC2AM011</t>
  </si>
  <si>
    <t>NRRBRCC2AM012</t>
  </si>
  <si>
    <t>NRRBRCC2AM013</t>
  </si>
  <si>
    <t>NRRBRCC2AM014</t>
  </si>
  <si>
    <t>NRRBRCC2AM015</t>
  </si>
  <si>
    <t>NRRBRCC2AM016</t>
  </si>
  <si>
    <t>NRRBRCC2AM017</t>
  </si>
  <si>
    <t>NRRBRCC2AM018</t>
  </si>
  <si>
    <t>NRRBRCC2AM019</t>
  </si>
  <si>
    <t>NRRBRCC2AM020</t>
  </si>
  <si>
    <t>NRRBRCC2AM021</t>
  </si>
  <si>
    <t>NRRBRCC2AM022</t>
  </si>
  <si>
    <t>NRRBRCC2AM023</t>
  </si>
  <si>
    <t>NRRBRCC2AM024</t>
  </si>
  <si>
    <t>NRRBRCC2AM025</t>
  </si>
  <si>
    <t>NRRBRCC2AM026</t>
  </si>
  <si>
    <t>NRRBRCC2AM027</t>
  </si>
  <si>
    <t>NRRBRCC2AM028</t>
  </si>
  <si>
    <t>NRRBRCC2AM029</t>
  </si>
  <si>
    <t>NRRBRCC2AM030</t>
  </si>
  <si>
    <t>NRRBRCC2AM031</t>
  </si>
  <si>
    <t>NRRBRCC2AM032</t>
  </si>
  <si>
    <t>NRRBRCC2AM033</t>
  </si>
  <si>
    <t>NRRBRCC2AM034</t>
  </si>
  <si>
    <t>NRRBRCC2AM035</t>
  </si>
  <si>
    <t>NRRBRCC2AM036</t>
  </si>
  <si>
    <t>NRRBRCC2AM037</t>
  </si>
  <si>
    <t>NRRBRCC2AM038</t>
  </si>
  <si>
    <t>NRRBRCC2AM039</t>
  </si>
  <si>
    <t>NRRBRCC2AM040</t>
  </si>
  <si>
    <t>NRRBRCC2AM041</t>
  </si>
  <si>
    <t>NRRBRCC2AM042</t>
  </si>
  <si>
    <t>NRRBRCC2AM043</t>
  </si>
  <si>
    <t>NRRBRCC2AM044</t>
  </si>
  <si>
    <t>NRRBRCC2AM045</t>
  </si>
  <si>
    <t>NRRBRCC2AM046</t>
  </si>
  <si>
    <t>NRRBRCC2AM047</t>
  </si>
  <si>
    <t>NRRBRCC2AM048</t>
  </si>
  <si>
    <t>NRRBRCC2AM049</t>
  </si>
  <si>
    <t>NRRBRCC2AM050</t>
  </si>
  <si>
    <t>NRRBRCC2AM051</t>
  </si>
  <si>
    <t>NRRBRCC2AM052</t>
  </si>
  <si>
    <t>NRRBRCC2AM053</t>
  </si>
  <si>
    <t>NRRBRCC2AM054</t>
  </si>
  <si>
    <t>NRRBRCC2AM055</t>
  </si>
  <si>
    <t>NRRBRCC2AM056</t>
  </si>
  <si>
    <t>NRRBRCC2AM057</t>
  </si>
  <si>
    <t>NRRBRCC2AM058</t>
  </si>
  <si>
    <t>NRRBRCC2AM059</t>
  </si>
  <si>
    <t>NRRBRCC2AM060</t>
  </si>
  <si>
    <t>NRRBRCC2AM061</t>
  </si>
  <si>
    <t>NRRBRCC2AM062</t>
  </si>
  <si>
    <t>NRRBRCC2AM063</t>
  </si>
  <si>
    <t>NRRBRCC2AM064</t>
  </si>
  <si>
    <t>NRRBRCC2AM065</t>
  </si>
  <si>
    <t>NRRBRCC2AM066</t>
  </si>
  <si>
    <t>NRRBRCC2AM067</t>
  </si>
  <si>
    <t>NRRBRCC2AM068</t>
  </si>
  <si>
    <t>NRRBRCC2AM069</t>
  </si>
  <si>
    <t>NRRBRCC2AM070</t>
  </si>
  <si>
    <t>NRRBRCC2AM071</t>
  </si>
  <si>
    <t>NRRBRCC2AM072</t>
  </si>
  <si>
    <t>NRRBRCC2AM073</t>
  </si>
  <si>
    <t>NRRBRCC2AM074</t>
  </si>
  <si>
    <t>NRRBRCC2AM075</t>
  </si>
  <si>
    <t>NRRBRCC2AM076</t>
  </si>
  <si>
    <t>NRRBRCC2AM077</t>
  </si>
  <si>
    <t>NRRBRCC2AM078</t>
  </si>
  <si>
    <t>NRRBRCC2AM079</t>
  </si>
  <si>
    <t>NRRBRCC2AM080</t>
  </si>
  <si>
    <t>NRRBRCC2AM081</t>
  </si>
  <si>
    <t>NRRBRCC2AM082</t>
  </si>
  <si>
    <t>NRRBRCC2AM083</t>
  </si>
  <si>
    <t>NRRBRCC2AM084</t>
  </si>
  <si>
    <t>NRRBRCC2AM085</t>
  </si>
  <si>
    <t>NRRBRCC2AF000</t>
  </si>
  <si>
    <t>NRRBRCC2AF001</t>
  </si>
  <si>
    <t>NRRBRCC2AF002</t>
  </si>
  <si>
    <t>NRRBRCC2AF003</t>
  </si>
  <si>
    <t>NRRBRCC2AF004</t>
  </si>
  <si>
    <t>NRRBRCC2AF005</t>
  </si>
  <si>
    <t>NRRBRCC2AF006</t>
  </si>
  <si>
    <t>NRRBRCC2AF007</t>
  </si>
  <si>
    <t>NRRBRCC2AF008</t>
  </si>
  <si>
    <t>NRRBRCC2AF009</t>
  </si>
  <si>
    <t>NRRBRCC2AF010</t>
  </si>
  <si>
    <t>NRRBRCC2AF011</t>
  </si>
  <si>
    <t>NRRBRCC2AF012</t>
  </si>
  <si>
    <t>NRRBRCC2AF013</t>
  </si>
  <si>
    <t>NRRBRCC2AF014</t>
  </si>
  <si>
    <t>NRRBRCC2AF015</t>
  </si>
  <si>
    <t>NRRBRCC2AF016</t>
  </si>
  <si>
    <t>NRRBRCC2AF017</t>
  </si>
  <si>
    <t>NRRBRCC2AF018</t>
  </si>
  <si>
    <t>NRRBRCC2AF019</t>
  </si>
  <si>
    <t>NRRBRCC2AF020</t>
  </si>
  <si>
    <t>NRRBRCC2AF021</t>
  </si>
  <si>
    <t>NRRBRCC2AF022</t>
  </si>
  <si>
    <t>NRRBRCC2AF023</t>
  </si>
  <si>
    <t>NRRBRCC2AF024</t>
  </si>
  <si>
    <t>NRRBRCC2AF025</t>
  </si>
  <si>
    <t>NRRBRCC2AF026</t>
  </si>
  <si>
    <t>NRRBRCC2AF027</t>
  </si>
  <si>
    <t>NRRBRCC2AF028</t>
  </si>
  <si>
    <t>NRRBRCC2AF029</t>
  </si>
  <si>
    <t>NRRBRCC2AF030</t>
  </si>
  <si>
    <t>NRRBRCC2AF031</t>
  </si>
  <si>
    <t>NRRBRCC2AF032</t>
  </si>
  <si>
    <t>NRRBRCC2AF033</t>
  </si>
  <si>
    <t>NRRBRCC2AF034</t>
  </si>
  <si>
    <t>NRRBRCC2AF035</t>
  </si>
  <si>
    <t>NRRBRCC2AF036</t>
  </si>
  <si>
    <t>NRRBRCC2AF037</t>
  </si>
  <si>
    <t>NRRBRCC2AF038</t>
  </si>
  <si>
    <t>NRRBRCC2AF039</t>
  </si>
  <si>
    <t>NRRBRCC2AF040</t>
  </si>
  <si>
    <t>NRRBRCC2AF041</t>
  </si>
  <si>
    <t>NRRBRCC2AF042</t>
  </si>
  <si>
    <t>NRRBRCC2AF043</t>
  </si>
  <si>
    <t>NRRBRCC2AF044</t>
  </si>
  <si>
    <t>NRRBRCC2AF045</t>
  </si>
  <si>
    <t>NRRBRCC2AF046</t>
  </si>
  <si>
    <t>NRRBRCC2AF047</t>
  </si>
  <si>
    <t>NRRBRCC2AF048</t>
  </si>
  <si>
    <t>NRRBRCC2AF049</t>
  </si>
  <si>
    <t>NRRBRCC2AF050</t>
  </si>
  <si>
    <t>NRRBRCC2AF051</t>
  </si>
  <si>
    <t>NRRBRCC2AF052</t>
  </si>
  <si>
    <t>NRRBRCC2AF053</t>
  </si>
  <si>
    <t>NRRBRCC2AF054</t>
  </si>
  <si>
    <t>NRRBRCC2AF055</t>
  </si>
  <si>
    <t>NRRBRCC2AF056</t>
  </si>
  <si>
    <t>NRRBRCC2AF057</t>
  </si>
  <si>
    <t>NRRBRCC2AF058</t>
  </si>
  <si>
    <t>NRRBRCC2AF059</t>
  </si>
  <si>
    <t>NRRBRCC2AF060</t>
  </si>
  <si>
    <t>NRRBRCC2AF061</t>
  </si>
  <si>
    <t>NRRBRCC2AF062</t>
  </si>
  <si>
    <t>NRRBRCC2AF063</t>
  </si>
  <si>
    <t>NRRBRCC2AF064</t>
  </si>
  <si>
    <t>NRRBRCC2AF065</t>
  </si>
  <si>
    <t>NRRBRCC2AF066</t>
  </si>
  <si>
    <t>NRRBRCC2AF067</t>
  </si>
  <si>
    <t>NRRBRCC2AF068</t>
  </si>
  <si>
    <t>NRRBRCC2AF069</t>
  </si>
  <si>
    <t>NRRBRCC2AF070</t>
  </si>
  <si>
    <t>NRRBRCC2AF071</t>
  </si>
  <si>
    <t>NRRBRCC2AF072</t>
  </si>
  <si>
    <t>NRRBRCC2AF073</t>
  </si>
  <si>
    <t>NRRBRCC2AF074</t>
  </si>
  <si>
    <t>NRRBRCC2AF075</t>
  </si>
  <si>
    <t>NRRBRCC2AF076</t>
  </si>
  <si>
    <t>NRRBRCC2AF077</t>
  </si>
  <si>
    <t>NRRBRCC2AF078</t>
  </si>
  <si>
    <t>NRRBRCC2AF079</t>
  </si>
  <si>
    <t>NRRBRCC2AF080</t>
  </si>
  <si>
    <t>NRRBRCC2AF081</t>
  </si>
  <si>
    <t>NRRBRCC2AF082</t>
  </si>
  <si>
    <t>NRRBRCC2AF083</t>
  </si>
  <si>
    <t>NRRBRCC2AF084</t>
  </si>
  <si>
    <t>NRRBRCC2AF085</t>
  </si>
  <si>
    <t>NRRBRCU5M000</t>
  </si>
  <si>
    <t>NRRBRCU5M001</t>
  </si>
  <si>
    <t>NRRBRCU5M002</t>
  </si>
  <si>
    <t>NRRBRCU5M003</t>
  </si>
  <si>
    <t>NRRBRCU5M004</t>
  </si>
  <si>
    <t>NRRBRCU5M005</t>
  </si>
  <si>
    <t>NRRBRCU5M006</t>
  </si>
  <si>
    <t>NRRBRCU5M007</t>
  </si>
  <si>
    <t>NRRBRCU5M008</t>
  </si>
  <si>
    <t>NRRBRCU5M009</t>
  </si>
  <si>
    <t>NRRBRCU5M010</t>
  </si>
  <si>
    <t>NRRBRCU5M011</t>
  </si>
  <si>
    <t>NRRBRCU5M012</t>
  </si>
  <si>
    <t>NRRBRCU5M013</t>
  </si>
  <si>
    <t>NRRBRCU5M014</t>
  </si>
  <si>
    <t>NRRBRCU5M015</t>
  </si>
  <si>
    <t>NRRBRCU5M016</t>
  </si>
  <si>
    <t>NRRBRCU5M017</t>
  </si>
  <si>
    <t>NRRBRCU5M018</t>
  </si>
  <si>
    <t>NRRBRCU5M019</t>
  </si>
  <si>
    <t>NRRBRCU5M020</t>
  </si>
  <si>
    <t>NRRBRCU5M021</t>
  </si>
  <si>
    <t>NRRBRCU5M022</t>
  </si>
  <si>
    <t>NRRBRCU5M023</t>
  </si>
  <si>
    <t>NRRBRCU5M024</t>
  </si>
  <si>
    <t>NRRBRCU5M025</t>
  </si>
  <si>
    <t>NRRBRCU5M026</t>
  </si>
  <si>
    <t>NRRBRCU5M027</t>
  </si>
  <si>
    <t>NRRBRCU5M028</t>
  </si>
  <si>
    <t>NRRBRCU5M029</t>
  </si>
  <si>
    <t>NRRBRCU5M030</t>
  </si>
  <si>
    <t>NRRBRCU5M031</t>
  </si>
  <si>
    <t>NRRBRCU5M032</t>
  </si>
  <si>
    <t>NRRBRCU5M033</t>
  </si>
  <si>
    <t>NRRBRCU5M034</t>
  </si>
  <si>
    <t>NRRBRCU5M035</t>
  </si>
  <si>
    <t>NRRBRCU5M036</t>
  </si>
  <si>
    <t>NRRBRCU5M037</t>
  </si>
  <si>
    <t>NRRBRCU5M038</t>
  </si>
  <si>
    <t>NRRBRCU5M039</t>
  </si>
  <si>
    <t>NRRBRCU5M040</t>
  </si>
  <si>
    <t>NRRBRCU5M041</t>
  </si>
  <si>
    <t>NRRBRCU5M042</t>
  </si>
  <si>
    <t>NRRBRCU5M043</t>
  </si>
  <si>
    <t>NRRBRCU5M044</t>
  </si>
  <si>
    <t>NRRBRCU5M045</t>
  </si>
  <si>
    <t>NRRBRCU5M046</t>
  </si>
  <si>
    <t>NRRBRCU5M047</t>
  </si>
  <si>
    <t>NRRBRCU5M048</t>
  </si>
  <si>
    <t>NRRBRCU5M049</t>
  </si>
  <si>
    <t>NRRBRCU5M050</t>
  </si>
  <si>
    <t>NRRBRCU5M051</t>
  </si>
  <si>
    <t>NRRBRCU5M052</t>
  </si>
  <si>
    <t>NRRBRCU5M053</t>
  </si>
  <si>
    <t>NRRBRCU5M054</t>
  </si>
  <si>
    <t>NRRBRCU5M055</t>
  </si>
  <si>
    <t>NRRBRCU5M056</t>
  </si>
  <si>
    <t>NRRBRCU5M057</t>
  </si>
  <si>
    <t>NRRBRCU5M058</t>
  </si>
  <si>
    <t>NRRBRCU5M059</t>
  </si>
  <si>
    <t>NRRBRCU5M060</t>
  </si>
  <si>
    <t>NRRBRCU5M061</t>
  </si>
  <si>
    <t>NRRBRCU5M062</t>
  </si>
  <si>
    <t>NRRBRCU5M063</t>
  </si>
  <si>
    <t>NRRBRCU5M064</t>
  </si>
  <si>
    <t>NRRBRCU5M065</t>
  </si>
  <si>
    <t>NRRBRCU5M066</t>
  </si>
  <si>
    <t>NRRBRCU5M067</t>
  </si>
  <si>
    <t>NRRBRCU5M068</t>
  </si>
  <si>
    <t>NRRBRCU5M069</t>
  </si>
  <si>
    <t>NRRBRCU5M070</t>
  </si>
  <si>
    <t>NRRBRCU5M071</t>
  </si>
  <si>
    <t>NRRBRCU5M072</t>
  </si>
  <si>
    <t>NRRBRCU5M073</t>
  </si>
  <si>
    <t>NRRBRCU5M074</t>
  </si>
  <si>
    <t>NRRBRCU5M075</t>
  </si>
  <si>
    <t>NRRBRCU5M076</t>
  </si>
  <si>
    <t>NRRBRCU5M077</t>
  </si>
  <si>
    <t>NRRBRCU5M078</t>
  </si>
  <si>
    <t>NRRBRCU5M079</t>
  </si>
  <si>
    <t>NRRBRCU5M080</t>
  </si>
  <si>
    <t>NRRBRCU5M081</t>
  </si>
  <si>
    <t>NRRBRCU5M082</t>
  </si>
  <si>
    <t>NRRBRCU5M083</t>
  </si>
  <si>
    <t>NRRBRCU5M084</t>
  </si>
  <si>
    <t>NRRBRCU5M085</t>
  </si>
  <si>
    <t>NRRBRCU5F000</t>
  </si>
  <si>
    <t>NRRBRCU5F001</t>
  </si>
  <si>
    <t>NRRBRCU5F002</t>
  </si>
  <si>
    <t>NRRBRCU5F003</t>
  </si>
  <si>
    <t>NRRBRCU5F004</t>
  </si>
  <si>
    <t>NRRBRCU5F005</t>
  </si>
  <si>
    <t>NRRBRCU5F006</t>
  </si>
  <si>
    <t>NRRBRCU5F007</t>
  </si>
  <si>
    <t>NRRBRCU5F008</t>
  </si>
  <si>
    <t>NRRBRCU5F009</t>
  </si>
  <si>
    <t>NRRBRCU5F010</t>
  </si>
  <si>
    <t>NRRBRCU5F011</t>
  </si>
  <si>
    <t>NRRBRCU5F012</t>
  </si>
  <si>
    <t>NRRBRCU5F013</t>
  </si>
  <si>
    <t>NRRBRCU5F014</t>
  </si>
  <si>
    <t>NRRBRCU5F015</t>
  </si>
  <si>
    <t>NRRBRCU5F016</t>
  </si>
  <si>
    <t>NRRBRCU5F017</t>
  </si>
  <si>
    <t>NRRBRCU5F018</t>
  </si>
  <si>
    <t>NRRBRCU5F019</t>
  </si>
  <si>
    <t>NRRBRCU5F020</t>
  </si>
  <si>
    <t>NRRBRCU5F021</t>
  </si>
  <si>
    <t>NRRBRCU5F022</t>
  </si>
  <si>
    <t>NRRBRCU5F023</t>
  </si>
  <si>
    <t>NRRBRCU5F024</t>
  </si>
  <si>
    <t>NRRBRCU5F025</t>
  </si>
  <si>
    <t>NRRBRCU5F026</t>
  </si>
  <si>
    <t>NRRBRCU5F027</t>
  </si>
  <si>
    <t>NRRBRCU5F028</t>
  </si>
  <si>
    <t>NRRBRCU5F029</t>
  </si>
  <si>
    <t>NRRBRCU5F030</t>
  </si>
  <si>
    <t>NRRBRCU5F031</t>
  </si>
  <si>
    <t>NRRBRCU5F032</t>
  </si>
  <si>
    <t>NRRBRCU5F033</t>
  </si>
  <si>
    <t>NRRBRCU5F034</t>
  </si>
  <si>
    <t>NRRBRCU5F035</t>
  </si>
  <si>
    <t>NRRBRCU5F036</t>
  </si>
  <si>
    <t>NRRBRCU5F037</t>
  </si>
  <si>
    <t>NRRBRCU5F038</t>
  </si>
  <si>
    <t>NRRBRCU5F039</t>
  </si>
  <si>
    <t>NRRBRCU5F040</t>
  </si>
  <si>
    <t>NRRBRCU5F041</t>
  </si>
  <si>
    <t>NRRBRCU5F042</t>
  </si>
  <si>
    <t>NRRBRCU5F043</t>
  </si>
  <si>
    <t>NRRBRCU5F044</t>
  </si>
  <si>
    <t>NRRBRCU5F045</t>
  </si>
  <si>
    <t>NRRBRCU5F046</t>
  </si>
  <si>
    <t>NRRBRCU5F047</t>
  </si>
  <si>
    <t>NRRBRCU5F048</t>
  </si>
  <si>
    <t>NRRBRCU5F049</t>
  </si>
  <si>
    <t>NRRBRCU5F050</t>
  </si>
  <si>
    <t>NRRBRCU5F051</t>
  </si>
  <si>
    <t>NRRBRCU5F052</t>
  </si>
  <si>
    <t>NRRBRCU5F053</t>
  </si>
  <si>
    <t>NRRBRCU5F054</t>
  </si>
  <si>
    <t>NRRBRCU5F055</t>
  </si>
  <si>
    <t>NRRBRCU5F056</t>
  </si>
  <si>
    <t>NRRBRCU5F057</t>
  </si>
  <si>
    <t>NRRBRCU5F058</t>
  </si>
  <si>
    <t>NRRBRCU5F059</t>
  </si>
  <si>
    <t>NRRBRCU5F060</t>
  </si>
  <si>
    <t>NRRBRCU5F061</t>
  </si>
  <si>
    <t>NRRBRCU5F062</t>
  </si>
  <si>
    <t>NRRBRCU5F063</t>
  </si>
  <si>
    <t>NRRBRCU5F064</t>
  </si>
  <si>
    <t>NRRBRCU5F065</t>
  </si>
  <si>
    <t>NRRBRCU5F066</t>
  </si>
  <si>
    <t>NRRBRCU5F067</t>
  </si>
  <si>
    <t>NRRBRCU5F068</t>
  </si>
  <si>
    <t>NRRBRCU5F069</t>
  </si>
  <si>
    <t>NRRBRCU5F070</t>
  </si>
  <si>
    <t>NRRBRCU5F071</t>
  </si>
  <si>
    <t>NRRBRCU5F072</t>
  </si>
  <si>
    <t>NRRBRCU5F073</t>
  </si>
  <si>
    <t>NRRBRCU5F074</t>
  </si>
  <si>
    <t>NRRBRCU5F075</t>
  </si>
  <si>
    <t>NRRBRCU5F076</t>
  </si>
  <si>
    <t>NRRBRCU5F077</t>
  </si>
  <si>
    <t>NRRBRCU5F078</t>
  </si>
  <si>
    <t>NRRBRCU5F079</t>
  </si>
  <si>
    <t>NRRBRCU5F080</t>
  </si>
  <si>
    <t>NRRBRCU5F081</t>
  </si>
  <si>
    <t>NRRBRCU5F082</t>
  </si>
  <si>
    <t>NRRBRCU5F083</t>
  </si>
  <si>
    <t>NRRBRCU5F084</t>
  </si>
  <si>
    <t>NRRBRCU5F085</t>
  </si>
  <si>
    <t>NRRBRCU5AM000</t>
  </si>
  <si>
    <t>NRRBRCU5A</t>
  </si>
  <si>
    <t>NRRBRCU5AM001</t>
  </si>
  <si>
    <t>NRRBRCU5AM002</t>
  </si>
  <si>
    <t>NRRBRCU5AM003</t>
  </si>
  <si>
    <t>NRRBRCU5AM004</t>
  </si>
  <si>
    <t>NRRBRCU5AM005</t>
  </si>
  <si>
    <t>NRRBRCU5AM006</t>
  </si>
  <si>
    <t>NRRBRCU5AM007</t>
  </si>
  <si>
    <t>NRRBRCU5AM008</t>
  </si>
  <si>
    <t>NRRBRCU5AM009</t>
  </si>
  <si>
    <t>NRRBRCU5AM010</t>
  </si>
  <si>
    <t>NRRBRCU5AM011</t>
  </si>
  <si>
    <t>NRRBRCU5AM012</t>
  </si>
  <si>
    <t>NRRBRCU5AM013</t>
  </si>
  <si>
    <t>NRRBRCU5AM014</t>
  </si>
  <si>
    <t>NRRBRCU5AM015</t>
  </si>
  <si>
    <t>NRRBRCU5AM016</t>
  </si>
  <si>
    <t>NRRBRCU5AM017</t>
  </si>
  <si>
    <t>NRRBRCU5AM018</t>
  </si>
  <si>
    <t>NRRBRCU5AM019</t>
  </si>
  <si>
    <t>NRRBRCU5AM020</t>
  </si>
  <si>
    <t>NRRBRCU5AM021</t>
  </si>
  <si>
    <t>NRRBRCU5AM022</t>
  </si>
  <si>
    <t>NRRBRCU5AM023</t>
  </si>
  <si>
    <t>NRRBRCU5AM024</t>
  </si>
  <si>
    <t>NRRBRCU5AM025</t>
  </si>
  <si>
    <t>NRRBRCU5AM026</t>
  </si>
  <si>
    <t>NRRBRCU5AM027</t>
  </si>
  <si>
    <t>NRRBRCU5AM028</t>
  </si>
  <si>
    <t>NRRBRCU5AM029</t>
  </si>
  <si>
    <t>NRRBRCU5AM030</t>
  </si>
  <si>
    <t>NRRBRCU5AM031</t>
  </si>
  <si>
    <t>NRRBRCU5AM032</t>
  </si>
  <si>
    <t>NRRBRCU5AM033</t>
  </si>
  <si>
    <t>NRRBRCU5AM034</t>
  </si>
  <si>
    <t>NRRBRCU5AM035</t>
  </si>
  <si>
    <t>NRRBRCU5AM036</t>
  </si>
  <si>
    <t>NRRBRCU5AM037</t>
  </si>
  <si>
    <t>NRRBRCU5AM038</t>
  </si>
  <si>
    <t>NRRBRCU5AM039</t>
  </si>
  <si>
    <t>NRRBRCU5AM040</t>
  </si>
  <si>
    <t>NRRBRCU5AM041</t>
  </si>
  <si>
    <t>NRRBRCU5AM042</t>
  </si>
  <si>
    <t>NRRBRCU5AM043</t>
  </si>
  <si>
    <t>NRRBRCU5AM044</t>
  </si>
  <si>
    <t>NRRBRCU5AM045</t>
  </si>
  <si>
    <t>NRRBRCU5AM046</t>
  </si>
  <si>
    <t>NRRBRCU5AM047</t>
  </si>
  <si>
    <t>NRRBRCU5AM048</t>
  </si>
  <si>
    <t>NRRBRCU5AM049</t>
  </si>
  <si>
    <t>NRRBRCU5AM050</t>
  </si>
  <si>
    <t>NRRBRCU5AM051</t>
  </si>
  <si>
    <t>NRRBRCU5AM052</t>
  </si>
  <si>
    <t>NRRBRCU5AM053</t>
  </si>
  <si>
    <t>NRRBRCU5AM054</t>
  </si>
  <si>
    <t>NRRBRCU5AM055</t>
  </si>
  <si>
    <t>NRRBRCU5AM056</t>
  </si>
  <si>
    <t>NRRBRCU5AM057</t>
  </si>
  <si>
    <t>NRRBRCU5AM058</t>
  </si>
  <si>
    <t>NRRBRCU5AM059</t>
  </si>
  <si>
    <t>NRRBRCU5AM060</t>
  </si>
  <si>
    <t>NRRBRCU5AM061</t>
  </si>
  <si>
    <t>NRRBRCU5AM062</t>
  </si>
  <si>
    <t>NRRBRCU5AM063</t>
  </si>
  <si>
    <t>NRRBRCU5AM064</t>
  </si>
  <si>
    <t>NRRBRCU5AM065</t>
  </si>
  <si>
    <t>NRRBRCU5AM066</t>
  </si>
  <si>
    <t>NRRBRCU5AM067</t>
  </si>
  <si>
    <t>NRRBRCU5AM068</t>
  </si>
  <si>
    <t>NRRBRCU5AM069</t>
  </si>
  <si>
    <t>NRRBRCU5AM070</t>
  </si>
  <si>
    <t>NRRBRCU5AM071</t>
  </si>
  <si>
    <t>NRRBRCU5AM072</t>
  </si>
  <si>
    <t>NRRBRCU5AM073</t>
  </si>
  <si>
    <t>NRRBRCU5AM074</t>
  </si>
  <si>
    <t>NRRBRCU5AM075</t>
  </si>
  <si>
    <t>NRRBRCU5AM076</t>
  </si>
  <si>
    <t>NRRBRCU5AM077</t>
  </si>
  <si>
    <t>NRRBRCU5AM078</t>
  </si>
  <si>
    <t>NRRBRCU5AM079</t>
  </si>
  <si>
    <t>NRRBRCU5AM080</t>
  </si>
  <si>
    <t>NRRBRCU5AM081</t>
  </si>
  <si>
    <t>NRRBRCU5AM082</t>
  </si>
  <si>
    <t>NRRBRCU5AM083</t>
  </si>
  <si>
    <t>NRRBRCU5AM084</t>
  </si>
  <si>
    <t>NRRBRCU5AM085</t>
  </si>
  <si>
    <t>NRRBRCU5AF000</t>
  </si>
  <si>
    <t>NRRBRCU5AF001</t>
  </si>
  <si>
    <t>NRRBRCU5AF002</t>
  </si>
  <si>
    <t>NRRBRCU5AF003</t>
  </si>
  <si>
    <t>NRRBRCU5AF004</t>
  </si>
  <si>
    <t>NRRBRCU5AF005</t>
  </si>
  <si>
    <t>NRRBRCU5AF006</t>
  </si>
  <si>
    <t>NRRBRCU5AF007</t>
  </si>
  <si>
    <t>NRRBRCU5AF008</t>
  </si>
  <si>
    <t>NRRBRCU5AF009</t>
  </si>
  <si>
    <t>NRRBRCU5AF010</t>
  </si>
  <si>
    <t>NRRBRCU5AF011</t>
  </si>
  <si>
    <t>NRRBRCU5AF012</t>
  </si>
  <si>
    <t>NRRBRCU5AF013</t>
  </si>
  <si>
    <t>NRRBRCU5AF014</t>
  </si>
  <si>
    <t>NRRBRCU5AF015</t>
  </si>
  <si>
    <t>NRRBRCU5AF016</t>
  </si>
  <si>
    <t>NRRBRCU5AF017</t>
  </si>
  <si>
    <t>NRRBRCU5AF018</t>
  </si>
  <si>
    <t>NRRBRCU5AF019</t>
  </si>
  <si>
    <t>NRRBRCU5AF020</t>
  </si>
  <si>
    <t>NRRBRCU5AF021</t>
  </si>
  <si>
    <t>NRRBRCU5AF022</t>
  </si>
  <si>
    <t>NRRBRCU5AF023</t>
  </si>
  <si>
    <t>NRRBRCU5AF024</t>
  </si>
  <si>
    <t>NRRBRCU5AF025</t>
  </si>
  <si>
    <t>NRRBRCU5AF026</t>
  </si>
  <si>
    <t>NRRBRCU5AF027</t>
  </si>
  <si>
    <t>NRRBRCU5AF028</t>
  </si>
  <si>
    <t>NRRBRCU5AF029</t>
  </si>
  <si>
    <t>NRRBRCU5AF030</t>
  </si>
  <si>
    <t>NRRBRCU5AF031</t>
  </si>
  <si>
    <t>NRRBRCU5AF032</t>
  </si>
  <si>
    <t>NRRBRCU5AF033</t>
  </si>
  <si>
    <t>NRRBRCU5AF034</t>
  </si>
  <si>
    <t>NRRBRCU5AF035</t>
  </si>
  <si>
    <t>NRRBRCU5AF036</t>
  </si>
  <si>
    <t>NRRBRCU5AF037</t>
  </si>
  <si>
    <t>NRRBRCU5AF038</t>
  </si>
  <si>
    <t>NRRBRCU5AF039</t>
  </si>
  <si>
    <t>NRRBRCU5AF040</t>
  </si>
  <si>
    <t>NRRBRCU5AF041</t>
  </si>
  <si>
    <t>NRRBRCU5AF042</t>
  </si>
  <si>
    <t>NRRBRCU5AF043</t>
  </si>
  <si>
    <t>NRRBRCU5AF044</t>
  </si>
  <si>
    <t>NRRBRCU5AF045</t>
  </si>
  <si>
    <t>NRRBRCU5AF046</t>
  </si>
  <si>
    <t>NRRBRCU5AF047</t>
  </si>
  <si>
    <t>NRRBRCU5AF048</t>
  </si>
  <si>
    <t>NRRBRCU5AF049</t>
  </si>
  <si>
    <t>NRRBRCU5AF050</t>
  </si>
  <si>
    <t>NRRBRCU5AF051</t>
  </si>
  <si>
    <t>NRRBRCU5AF052</t>
  </si>
  <si>
    <t>NRRBRCU5AF053</t>
  </si>
  <si>
    <t>NRRBRCU5AF054</t>
  </si>
  <si>
    <t>NRRBRCU5AF055</t>
  </si>
  <si>
    <t>NRRBRCU5AF056</t>
  </si>
  <si>
    <t>NRRBRCU5AF057</t>
  </si>
  <si>
    <t>NRRBRCU5AF058</t>
  </si>
  <si>
    <t>NRRBRCU5AF059</t>
  </si>
  <si>
    <t>NRRBRCU5AF060</t>
  </si>
  <si>
    <t>NRRBRCU5AF061</t>
  </si>
  <si>
    <t>NRRBRCU5AF062</t>
  </si>
  <si>
    <t>NRRBRCU5AF063</t>
  </si>
  <si>
    <t>NRRBRCU5AF064</t>
  </si>
  <si>
    <t>NRRBRCU5AF065</t>
  </si>
  <si>
    <t>NRRBRCU5AF066</t>
  </si>
  <si>
    <t>NRRBRCU5AF067</t>
  </si>
  <si>
    <t>NRRBRCU5AF068</t>
  </si>
  <si>
    <t>NRRBRCU5AF069</t>
  </si>
  <si>
    <t>NRRBRCU5AF070</t>
  </si>
  <si>
    <t>NRRBRCU5AF071</t>
  </si>
  <si>
    <t>NRRBRCU5AF072</t>
  </si>
  <si>
    <t>NRRBRCU5AF073</t>
  </si>
  <si>
    <t>NRRBRCU5AF074</t>
  </si>
  <si>
    <t>NRRBRCU5AF075</t>
  </si>
  <si>
    <t>NRRBRCU5AF076</t>
  </si>
  <si>
    <t>NRRBRCU5AF077</t>
  </si>
  <si>
    <t>NRRBRCU5AF078</t>
  </si>
  <si>
    <t>NRRBRCU5AF079</t>
  </si>
  <si>
    <t>NRRBRCU5AF080</t>
  </si>
  <si>
    <t>NRRBRCU5AF081</t>
  </si>
  <si>
    <t>NRRBRCU5AF082</t>
  </si>
  <si>
    <t>NRRBRCU5AF083</t>
  </si>
  <si>
    <t>NRRBRCU5AF084</t>
  </si>
  <si>
    <t>NRRBRCU5AF085</t>
  </si>
  <si>
    <t>NRRBRCH5M000</t>
  </si>
  <si>
    <t>NRRBRCH5M001</t>
  </si>
  <si>
    <t>NRRBRCH5M002</t>
  </si>
  <si>
    <t>NRRBRCH5M003</t>
  </si>
  <si>
    <t>NRRBRCH5M004</t>
  </si>
  <si>
    <t>NRRBRCH5M005</t>
  </si>
  <si>
    <t>NRRBRCH5M006</t>
  </si>
  <si>
    <t>NRRBRCH5M007</t>
  </si>
  <si>
    <t>NRRBRCH5M008</t>
  </si>
  <si>
    <t>NRRBRCH5M009</t>
  </si>
  <si>
    <t>NRRBRCH5M010</t>
  </si>
  <si>
    <t>NRRBRCH5M011</t>
  </si>
  <si>
    <t>NRRBRCH5M012</t>
  </si>
  <si>
    <t>NRRBRCH5M013</t>
  </si>
  <si>
    <t>NRRBRCH5M014</t>
  </si>
  <si>
    <t>NRRBRCH5M015</t>
  </si>
  <si>
    <t>NRRBRCH5M016</t>
  </si>
  <si>
    <t>NRRBRCH5M017</t>
  </si>
  <si>
    <t>NRRBRCH5M018</t>
  </si>
  <si>
    <t>NRRBRCH5M019</t>
  </si>
  <si>
    <t>NRRBRCH5M020</t>
  </si>
  <si>
    <t>NRRBRCH5M021</t>
  </si>
  <si>
    <t>NRRBRCH5M022</t>
  </si>
  <si>
    <t>NRRBRCH5M023</t>
  </si>
  <si>
    <t>NRRBRCH5M024</t>
  </si>
  <si>
    <t>NRRBRCH5M025</t>
  </si>
  <si>
    <t>NRRBRCH5M026</t>
  </si>
  <si>
    <t>NRRBRCH5M027</t>
  </si>
  <si>
    <t>NRRBRCH5M028</t>
  </si>
  <si>
    <t>NRRBRCH5M029</t>
  </si>
  <si>
    <t>NRRBRCH5M030</t>
  </si>
  <si>
    <t>NRRBRCH5M031</t>
  </si>
  <si>
    <t>NRRBRCH5M032</t>
  </si>
  <si>
    <t>NRRBRCH5M033</t>
  </si>
  <si>
    <t>NRRBRCH5M034</t>
  </si>
  <si>
    <t>NRRBRCH5M035</t>
  </si>
  <si>
    <t>NRRBRCH5M036</t>
  </si>
  <si>
    <t>NRRBRCH5M037</t>
  </si>
  <si>
    <t>NRRBRCH5M038</t>
  </si>
  <si>
    <t>NRRBRCH5M039</t>
  </si>
  <si>
    <t>NRRBRCH5M040</t>
  </si>
  <si>
    <t>NRRBRCH5M041</t>
  </si>
  <si>
    <t>NRRBRCH5M042</t>
  </si>
  <si>
    <t>NRRBRCH5M043</t>
  </si>
  <si>
    <t>NRRBRCH5M044</t>
  </si>
  <si>
    <t>NRRBRCH5M045</t>
  </si>
  <si>
    <t>NRRBRCH5M046</t>
  </si>
  <si>
    <t>NRRBRCH5M047</t>
  </si>
  <si>
    <t>NRRBRCH5M048</t>
  </si>
  <si>
    <t>NRRBRCH5M049</t>
  </si>
  <si>
    <t>NRRBRCH5M050</t>
  </si>
  <si>
    <t>NRRBRCH5M051</t>
  </si>
  <si>
    <t>NRRBRCH5M052</t>
  </si>
  <si>
    <t>NRRBRCH5M053</t>
  </si>
  <si>
    <t>NRRBRCH5M054</t>
  </si>
  <si>
    <t>NRRBRCH5M055</t>
  </si>
  <si>
    <t>NRRBRCH5M056</t>
  </si>
  <si>
    <t>NRRBRCH5M057</t>
  </si>
  <si>
    <t>NRRBRCH5M058</t>
  </si>
  <si>
    <t>NRRBRCH5M059</t>
  </si>
  <si>
    <t>NRRBRCH5M060</t>
  </si>
  <si>
    <t>NRRBRCH5M061</t>
  </si>
  <si>
    <t>NRRBRCH5M062</t>
  </si>
  <si>
    <t>NRRBRCH5M063</t>
  </si>
  <si>
    <t>NRRBRCH5M064</t>
  </si>
  <si>
    <t>NRRBRCH5M065</t>
  </si>
  <si>
    <t>NRRBRCH5M066</t>
  </si>
  <si>
    <t>NRRBRCH5M067</t>
  </si>
  <si>
    <t>NRRBRCH5M068</t>
  </si>
  <si>
    <t>NRRBRCH5M069</t>
  </si>
  <si>
    <t>NRRBRCH5M070</t>
  </si>
  <si>
    <t>NRRBRCH5M071</t>
  </si>
  <si>
    <t>NRRBRCH5M072</t>
  </si>
  <si>
    <t>NRRBRCH5M073</t>
  </si>
  <si>
    <t>NRRBRCH5M074</t>
  </si>
  <si>
    <t>NRRBRCH5M075</t>
  </si>
  <si>
    <t>NRRBRCH5M076</t>
  </si>
  <si>
    <t>NRRBRCH5M077</t>
  </si>
  <si>
    <t>NRRBRCH5M078</t>
  </si>
  <si>
    <t>NRRBRCH5M079</t>
  </si>
  <si>
    <t>NRRBRCH5M080</t>
  </si>
  <si>
    <t>NRRBRCH5M081</t>
  </si>
  <si>
    <t>NRRBRCH5M082</t>
  </si>
  <si>
    <t>NRRBRCH5M083</t>
  </si>
  <si>
    <t>NRRBRCH5M084</t>
  </si>
  <si>
    <t>NRRBRCH5M085</t>
  </si>
  <si>
    <t>NRRBRCH5F000</t>
  </si>
  <si>
    <t>NRRBRCH5F001</t>
  </si>
  <si>
    <t>NRRBRCH5F002</t>
  </si>
  <si>
    <t>NRRBRCH5F003</t>
  </si>
  <si>
    <t>NRRBRCH5F004</t>
  </si>
  <si>
    <t>NRRBRCH5F005</t>
  </si>
  <si>
    <t>NRRBRCH5F006</t>
  </si>
  <si>
    <t>NRRBRCH5F007</t>
  </si>
  <si>
    <t>NRRBRCH5F008</t>
  </si>
  <si>
    <t>NRRBRCH5F009</t>
  </si>
  <si>
    <t>NRRBRCH5F010</t>
  </si>
  <si>
    <t>NRRBRCH5F011</t>
  </si>
  <si>
    <t>NRRBRCH5F012</t>
  </si>
  <si>
    <t>NRRBRCH5F013</t>
  </si>
  <si>
    <t>NRRBRCH5F014</t>
  </si>
  <si>
    <t>NRRBRCH5F015</t>
  </si>
  <si>
    <t>NRRBRCH5F016</t>
  </si>
  <si>
    <t>NRRBRCH5F017</t>
  </si>
  <si>
    <t>NRRBRCH5F018</t>
  </si>
  <si>
    <t>NRRBRCH5F019</t>
  </si>
  <si>
    <t>NRRBRCH5F020</t>
  </si>
  <si>
    <t>NRRBRCH5F021</t>
  </si>
  <si>
    <t>NRRBRCH5F022</t>
  </si>
  <si>
    <t>NRRBRCH5F023</t>
  </si>
  <si>
    <t>NRRBRCH5F024</t>
  </si>
  <si>
    <t>NRRBRCH5F025</t>
  </si>
  <si>
    <t>NRRBRCH5F026</t>
  </si>
  <si>
    <t>NRRBRCH5F027</t>
  </si>
  <si>
    <t>NRRBRCH5F028</t>
  </si>
  <si>
    <t>NRRBRCH5F029</t>
  </si>
  <si>
    <t>NRRBRCH5F030</t>
  </si>
  <si>
    <t>NRRBRCH5F031</t>
  </si>
  <si>
    <t>NRRBRCH5F032</t>
  </si>
  <si>
    <t>NRRBRCH5F033</t>
  </si>
  <si>
    <t>NRRBRCH5F034</t>
  </si>
  <si>
    <t>NRRBRCH5F035</t>
  </si>
  <si>
    <t>NRRBRCH5F036</t>
  </si>
  <si>
    <t>NRRBRCH5F037</t>
  </si>
  <si>
    <t>NRRBRCH5F038</t>
  </si>
  <si>
    <t>NRRBRCH5F039</t>
  </si>
  <si>
    <t>NRRBRCH5F040</t>
  </si>
  <si>
    <t>NRRBRCH5F041</t>
  </si>
  <si>
    <t>NRRBRCH5F042</t>
  </si>
  <si>
    <t>NRRBRCH5F043</t>
  </si>
  <si>
    <t>NRRBRCH5F044</t>
  </si>
  <si>
    <t>NRRBRCH5F045</t>
  </si>
  <si>
    <t>NRRBRCH5F046</t>
  </si>
  <si>
    <t>NRRBRCH5F047</t>
  </si>
  <si>
    <t>NRRBRCH5F048</t>
  </si>
  <si>
    <t>NRRBRCH5F049</t>
  </si>
  <si>
    <t>NRRBRCH5F050</t>
  </si>
  <si>
    <t>NRRBRCH5F051</t>
  </si>
  <si>
    <t>NRRBRCH5F052</t>
  </si>
  <si>
    <t>NRRBRCH5F053</t>
  </si>
  <si>
    <t>NRRBRCH5F054</t>
  </si>
  <si>
    <t>NRRBRCH5F055</t>
  </si>
  <si>
    <t>NRRBRCH5F056</t>
  </si>
  <si>
    <t>NRRBRCH5F057</t>
  </si>
  <si>
    <t>NRRBRCH5F058</t>
  </si>
  <si>
    <t>NRRBRCH5F059</t>
  </si>
  <si>
    <t>NRRBRCH5F060</t>
  </si>
  <si>
    <t>NRRBRCH5F061</t>
  </si>
  <si>
    <t>NRRBRCH5F062</t>
  </si>
  <si>
    <t>NRRBRCH5F063</t>
  </si>
  <si>
    <t>NRRBRCH5F064</t>
  </si>
  <si>
    <t>NRRBRCH5F065</t>
  </si>
  <si>
    <t>NRRBRCH5F066</t>
  </si>
  <si>
    <t>NRRBRCH5F067</t>
  </si>
  <si>
    <t>NRRBRCH5F068</t>
  </si>
  <si>
    <t>NRRBRCH5F069</t>
  </si>
  <si>
    <t>NRRBRCH5F070</t>
  </si>
  <si>
    <t>NRRBRCH5F071</t>
  </si>
  <si>
    <t>NRRBRCH5F072</t>
  </si>
  <si>
    <t>NRRBRCH5F073</t>
  </si>
  <si>
    <t>NRRBRCH5F074</t>
  </si>
  <si>
    <t>NRRBRCH5F075</t>
  </si>
  <si>
    <t>NRRBRCH5F076</t>
  </si>
  <si>
    <t>NRRBRCH5F077</t>
  </si>
  <si>
    <t>NRRBRCH5F078</t>
  </si>
  <si>
    <t>NRRBRCH5F079</t>
  </si>
  <si>
    <t>NRRBRCH5F080</t>
  </si>
  <si>
    <t>NRRBRCH5F081</t>
  </si>
  <si>
    <t>NRRBRCH5F082</t>
  </si>
  <si>
    <t>NRRBRCH5F083</t>
  </si>
  <si>
    <t>NRRBRCH5F084</t>
  </si>
  <si>
    <t>NRRBRCH5F085</t>
  </si>
  <si>
    <t>NRRBRCH5AM000</t>
  </si>
  <si>
    <t>NRRBRCH5A</t>
  </si>
  <si>
    <t>NRRBRCH5AM001</t>
  </si>
  <si>
    <t>NRRBRCH5AM002</t>
  </si>
  <si>
    <t>NRRBRCH5AM003</t>
  </si>
  <si>
    <t>NRRBRCH5AM004</t>
  </si>
  <si>
    <t>NRRBRCH5AM005</t>
  </si>
  <si>
    <t>NRRBRCH5AM006</t>
  </si>
  <si>
    <t>NRRBRCH5AM007</t>
  </si>
  <si>
    <t>NRRBRCH5AM008</t>
  </si>
  <si>
    <t>NRRBRCH5AM009</t>
  </si>
  <si>
    <t>NRRBRCH5AM010</t>
  </si>
  <si>
    <t>NRRBRCH5AM011</t>
  </si>
  <si>
    <t>NRRBRCH5AM012</t>
  </si>
  <si>
    <t>NRRBRCH5AM013</t>
  </si>
  <si>
    <t>NRRBRCH5AM014</t>
  </si>
  <si>
    <t>NRRBRCH5AM015</t>
  </si>
  <si>
    <t>NRRBRCH5AM016</t>
  </si>
  <si>
    <t>NRRBRCH5AM017</t>
  </si>
  <si>
    <t>NRRBRCH5AM018</t>
  </si>
  <si>
    <t>NRRBRCH5AM019</t>
  </si>
  <si>
    <t>NRRBRCH5AM020</t>
  </si>
  <si>
    <t>NRRBRCH5AM021</t>
  </si>
  <si>
    <t>NRRBRCH5AM022</t>
  </si>
  <si>
    <t>NRRBRCH5AM023</t>
  </si>
  <si>
    <t>NRRBRCH5AM024</t>
  </si>
  <si>
    <t>NRRBRCH5AM025</t>
  </si>
  <si>
    <t>NRRBRCH5AM026</t>
  </si>
  <si>
    <t>NRRBRCH5AM027</t>
  </si>
  <si>
    <t>NRRBRCH5AM028</t>
  </si>
  <si>
    <t>NRRBRCH5AM029</t>
  </si>
  <si>
    <t>NRRBRCH5AM030</t>
  </si>
  <si>
    <t>NRRBRCH5AM031</t>
  </si>
  <si>
    <t>NRRBRCH5AM032</t>
  </si>
  <si>
    <t>NRRBRCH5AM033</t>
  </si>
  <si>
    <t>NRRBRCH5AM034</t>
  </si>
  <si>
    <t>NRRBRCH5AM035</t>
  </si>
  <si>
    <t>NRRBRCH5AM036</t>
  </si>
  <si>
    <t>NRRBRCH5AM037</t>
  </si>
  <si>
    <t>NRRBRCH5AM038</t>
  </si>
  <si>
    <t>NRRBRCH5AM039</t>
  </si>
  <si>
    <t>NRRBRCH5AM040</t>
  </si>
  <si>
    <t>NRRBRCH5AM041</t>
  </si>
  <si>
    <t>NRRBRCH5AM042</t>
  </si>
  <si>
    <t>NRRBRCH5AM043</t>
  </si>
  <si>
    <t>NRRBRCH5AM044</t>
  </si>
  <si>
    <t>NRRBRCH5AM045</t>
  </si>
  <si>
    <t>NRRBRCH5AM046</t>
  </si>
  <si>
    <t>NRRBRCH5AM047</t>
  </si>
  <si>
    <t>NRRBRCH5AM048</t>
  </si>
  <si>
    <t>NRRBRCH5AM049</t>
  </si>
  <si>
    <t>NRRBRCH5AM050</t>
  </si>
  <si>
    <t>NRRBRCH5AM051</t>
  </si>
  <si>
    <t>NRRBRCH5AM052</t>
  </si>
  <si>
    <t>NRRBRCH5AM053</t>
  </si>
  <si>
    <t>NRRBRCH5AM054</t>
  </si>
  <si>
    <t>NRRBRCH5AM055</t>
  </si>
  <si>
    <t>NRRBRCH5AM056</t>
  </si>
  <si>
    <t>NRRBRCH5AM057</t>
  </si>
  <si>
    <t>NRRBRCH5AM058</t>
  </si>
  <si>
    <t>NRRBRCH5AM059</t>
  </si>
  <si>
    <t>NRRBRCH5AM060</t>
  </si>
  <si>
    <t>NRRBRCH5AM061</t>
  </si>
  <si>
    <t>NRRBRCH5AM062</t>
  </si>
  <si>
    <t>NRRBRCH5AM063</t>
  </si>
  <si>
    <t>NRRBRCH5AM064</t>
  </si>
  <si>
    <t>NRRBRCH5AM065</t>
  </si>
  <si>
    <t>NRRBRCH5AM066</t>
  </si>
  <si>
    <t>NRRBRCH5AM067</t>
  </si>
  <si>
    <t>NRRBRCH5AM068</t>
  </si>
  <si>
    <t>NRRBRCH5AM069</t>
  </si>
  <si>
    <t>NRRBRCH5AM070</t>
  </si>
  <si>
    <t>NRRBRCH5AM071</t>
  </si>
  <si>
    <t>NRRBRCH5AM072</t>
  </si>
  <si>
    <t>NRRBRCH5AM073</t>
  </si>
  <si>
    <t>NRRBRCH5AM074</t>
  </si>
  <si>
    <t>NRRBRCH5AM075</t>
  </si>
  <si>
    <t>NRRBRCH5AM076</t>
  </si>
  <si>
    <t>NRRBRCH5AM077</t>
  </si>
  <si>
    <t>NRRBRCH5AM078</t>
  </si>
  <si>
    <t>NRRBRCH5AM079</t>
  </si>
  <si>
    <t>NRRBRCH5AM080</t>
  </si>
  <si>
    <t>NRRBRCH5AM081</t>
  </si>
  <si>
    <t>NRRBRCH5AM082</t>
  </si>
  <si>
    <t>NRRBRCH5AM083</t>
  </si>
  <si>
    <t>NRRBRCH5AM084</t>
  </si>
  <si>
    <t>NRRBRCH5AM085</t>
  </si>
  <si>
    <t>NRRBRCH5AF000</t>
  </si>
  <si>
    <t>NRRBRCH5AF001</t>
  </si>
  <si>
    <t>NRRBRCH5AF002</t>
  </si>
  <si>
    <t>NRRBRCH5AF003</t>
  </si>
  <si>
    <t>NRRBRCH5AF004</t>
  </si>
  <si>
    <t>NRRBRCH5AF005</t>
  </si>
  <si>
    <t>NRRBRCH5AF006</t>
  </si>
  <si>
    <t>NRRBRCH5AF007</t>
  </si>
  <si>
    <t>NRRBRCH5AF008</t>
  </si>
  <si>
    <t>NRRBRCH5AF009</t>
  </si>
  <si>
    <t>NRRBRCH5AF010</t>
  </si>
  <si>
    <t>NRRBRCH5AF011</t>
  </si>
  <si>
    <t>NRRBRCH5AF012</t>
  </si>
  <si>
    <t>NRRBRCH5AF013</t>
  </si>
  <si>
    <t>NRRBRCH5AF014</t>
  </si>
  <si>
    <t>NRRBRCH5AF015</t>
  </si>
  <si>
    <t>NRRBRCH5AF016</t>
  </si>
  <si>
    <t>NRRBRCH5AF017</t>
  </si>
  <si>
    <t>NRRBRCH5AF018</t>
  </si>
  <si>
    <t>NRRBRCH5AF019</t>
  </si>
  <si>
    <t>NRRBRCH5AF020</t>
  </si>
  <si>
    <t>NRRBRCH5AF021</t>
  </si>
  <si>
    <t>NRRBRCH5AF022</t>
  </si>
  <si>
    <t>NRRBRCH5AF023</t>
  </si>
  <si>
    <t>NRRBRCH5AF024</t>
  </si>
  <si>
    <t>NRRBRCH5AF025</t>
  </si>
  <si>
    <t>NRRBRCH5AF026</t>
  </si>
  <si>
    <t>NRRBRCH5AF027</t>
  </si>
  <si>
    <t>NRRBRCH5AF028</t>
  </si>
  <si>
    <t>NRRBRCH5AF029</t>
  </si>
  <si>
    <t>NRRBRCH5AF030</t>
  </si>
  <si>
    <t>NRRBRCH5AF031</t>
  </si>
  <si>
    <t>NRRBRCH5AF032</t>
  </si>
  <si>
    <t>NRRBRCH5AF033</t>
  </si>
  <si>
    <t>NRRBRCH5AF034</t>
  </si>
  <si>
    <t>NRRBRCH5AF035</t>
  </si>
  <si>
    <t>NRRBRCH5AF036</t>
  </si>
  <si>
    <t>NRRBRCH5AF037</t>
  </si>
  <si>
    <t>NRRBRCH5AF038</t>
  </si>
  <si>
    <t>NRRBRCH5AF039</t>
  </si>
  <si>
    <t>NRRBRCH5AF040</t>
  </si>
  <si>
    <t>NRRBRCH5AF041</t>
  </si>
  <si>
    <t>NRRBRCH5AF042</t>
  </si>
  <si>
    <t>NRRBRCH5AF043</t>
  </si>
  <si>
    <t>NRRBRCH5AF044</t>
  </si>
  <si>
    <t>NRRBRCH5AF045</t>
  </si>
  <si>
    <t>NRRBRCH5AF046</t>
  </si>
  <si>
    <t>NRRBRCH5AF047</t>
  </si>
  <si>
    <t>NRRBRCH5AF048</t>
  </si>
  <si>
    <t>NRRBRCH5AF049</t>
  </si>
  <si>
    <t>NRRBRCH5AF050</t>
  </si>
  <si>
    <t>NRRBRCH5AF051</t>
  </si>
  <si>
    <t>NRRBRCH5AF052</t>
  </si>
  <si>
    <t>NRRBRCH5AF053</t>
  </si>
  <si>
    <t>NRRBRCH5AF054</t>
  </si>
  <si>
    <t>NRRBRCH5AF055</t>
  </si>
  <si>
    <t>NRRBRCH5AF056</t>
  </si>
  <si>
    <t>NRRBRCH5AF057</t>
  </si>
  <si>
    <t>NRRBRCH5AF058</t>
  </si>
  <si>
    <t>NRRBRCH5AF059</t>
  </si>
  <si>
    <t>NRRBRCH5AF060</t>
  </si>
  <si>
    <t>NRRBRCH5AF061</t>
  </si>
  <si>
    <t>NRRBRCH5AF062</t>
  </si>
  <si>
    <t>NRRBRCH5AF063</t>
  </si>
  <si>
    <t>NRRBRCH5AF064</t>
  </si>
  <si>
    <t>NRRBRCH5AF065</t>
  </si>
  <si>
    <t>NRRBRCH5AF066</t>
  </si>
  <si>
    <t>NRRBRCH5AF067</t>
  </si>
  <si>
    <t>NRRBRCH5AF068</t>
  </si>
  <si>
    <t>NRRBRCH5AF069</t>
  </si>
  <si>
    <t>NRRBRCH5AF070</t>
  </si>
  <si>
    <t>NRRBRCH5AF071</t>
  </si>
  <si>
    <t>NRRBRCH5AF072</t>
  </si>
  <si>
    <t>NRRBRCH5AF073</t>
  </si>
  <si>
    <t>NRRBRCH5AF074</t>
  </si>
  <si>
    <t>NRRBRCH5AF075</t>
  </si>
  <si>
    <t>NRRBRCH5AF076</t>
  </si>
  <si>
    <t>NRRBRCH5AF077</t>
  </si>
  <si>
    <t>NRRBRCH5AF078</t>
  </si>
  <si>
    <t>NRRBRCH5AF079</t>
  </si>
  <si>
    <t>NRRBRCH5AF080</t>
  </si>
  <si>
    <t>NRRBRCH5AF081</t>
  </si>
  <si>
    <t>NRRBRCH5AF082</t>
  </si>
  <si>
    <t>NRRBRCH5AF083</t>
  </si>
  <si>
    <t>NRRBRCH5AF084</t>
  </si>
  <si>
    <t>NRRBRCH5AF085</t>
  </si>
  <si>
    <t>NRRBRCC5M000</t>
  </si>
  <si>
    <t>NRRBRCC5M001</t>
  </si>
  <si>
    <t>NRRBRCC5M002</t>
  </si>
  <si>
    <t>NRRBRCC5M003</t>
  </si>
  <si>
    <t>NRRBRCC5M004</t>
  </si>
  <si>
    <t>NRRBRCC5M005</t>
  </si>
  <si>
    <t>NRRBRCC5M006</t>
  </si>
  <si>
    <t>NRRBRCC5M007</t>
  </si>
  <si>
    <t>NRRBRCC5M008</t>
  </si>
  <si>
    <t>NRRBRCC5M009</t>
  </si>
  <si>
    <t>NRRBRCC5M010</t>
  </si>
  <si>
    <t>NRRBRCC5M011</t>
  </si>
  <si>
    <t>NRRBRCC5M012</t>
  </si>
  <si>
    <t>NRRBRCC5M013</t>
  </si>
  <si>
    <t>NRRBRCC5M014</t>
  </si>
  <si>
    <t>NRRBRCC5M015</t>
  </si>
  <si>
    <t>NRRBRCC5M016</t>
  </si>
  <si>
    <t>NRRBRCC5M017</t>
  </si>
  <si>
    <t>NRRBRCC5M018</t>
  </si>
  <si>
    <t>NRRBRCC5M019</t>
  </si>
  <si>
    <t>NRRBRCC5M020</t>
  </si>
  <si>
    <t>NRRBRCC5M021</t>
  </si>
  <si>
    <t>NRRBRCC5M022</t>
  </si>
  <si>
    <t>NRRBRCC5M023</t>
  </si>
  <si>
    <t>NRRBRCC5M024</t>
  </si>
  <si>
    <t>NRRBRCC5M025</t>
  </si>
  <si>
    <t>NRRBRCC5M026</t>
  </si>
  <si>
    <t>NRRBRCC5M027</t>
  </si>
  <si>
    <t>NRRBRCC5M028</t>
  </si>
  <si>
    <t>NRRBRCC5M029</t>
  </si>
  <si>
    <t>NRRBRCC5M030</t>
  </si>
  <si>
    <t>NRRBRCC5M031</t>
  </si>
  <si>
    <t>NRRBRCC5M032</t>
  </si>
  <si>
    <t>NRRBRCC5M033</t>
  </si>
  <si>
    <t>NRRBRCC5M034</t>
  </si>
  <si>
    <t>NRRBRCC5M035</t>
  </si>
  <si>
    <t>NRRBRCC5M036</t>
  </si>
  <si>
    <t>NRRBRCC5M037</t>
  </si>
  <si>
    <t>NRRBRCC5M038</t>
  </si>
  <si>
    <t>NRRBRCC5M039</t>
  </si>
  <si>
    <t>NRRBRCC5M040</t>
  </si>
  <si>
    <t>NRRBRCC5M041</t>
  </si>
  <si>
    <t>NRRBRCC5M042</t>
  </si>
  <si>
    <t>NRRBRCC5M043</t>
  </si>
  <si>
    <t>NRRBRCC5M044</t>
  </si>
  <si>
    <t>NRRBRCC5M045</t>
  </si>
  <si>
    <t>NRRBRCC5M046</t>
  </si>
  <si>
    <t>NRRBRCC5M047</t>
  </si>
  <si>
    <t>NRRBRCC5M048</t>
  </si>
  <si>
    <t>NRRBRCC5M049</t>
  </si>
  <si>
    <t>NRRBRCC5M050</t>
  </si>
  <si>
    <t>NRRBRCC5M051</t>
  </si>
  <si>
    <t>NRRBRCC5M052</t>
  </si>
  <si>
    <t>NRRBRCC5M053</t>
  </si>
  <si>
    <t>NRRBRCC5M054</t>
  </si>
  <si>
    <t>NRRBRCC5M055</t>
  </si>
  <si>
    <t>NRRBRCC5M056</t>
  </si>
  <si>
    <t>NRRBRCC5M057</t>
  </si>
  <si>
    <t>NRRBRCC5M058</t>
  </si>
  <si>
    <t>NRRBRCC5M059</t>
  </si>
  <si>
    <t>NRRBRCC5M060</t>
  </si>
  <si>
    <t>NRRBRCC5M061</t>
  </si>
  <si>
    <t>NRRBRCC5M062</t>
  </si>
  <si>
    <t>NRRBRCC5M063</t>
  </si>
  <si>
    <t>NRRBRCC5M064</t>
  </si>
  <si>
    <t>NRRBRCC5M065</t>
  </si>
  <si>
    <t>NRRBRCC5M066</t>
  </si>
  <si>
    <t>NRRBRCC5M067</t>
  </si>
  <si>
    <t>NRRBRCC5M068</t>
  </si>
  <si>
    <t>NRRBRCC5M069</t>
  </si>
  <si>
    <t>NRRBRCC5M070</t>
  </si>
  <si>
    <t>NRRBRCC5M071</t>
  </si>
  <si>
    <t>NRRBRCC5M072</t>
  </si>
  <si>
    <t>NRRBRCC5M073</t>
  </si>
  <si>
    <t>NRRBRCC5M074</t>
  </si>
  <si>
    <t>NRRBRCC5M075</t>
  </si>
  <si>
    <t>NRRBRCC5M076</t>
  </si>
  <si>
    <t>NRRBRCC5M077</t>
  </si>
  <si>
    <t>NRRBRCC5M078</t>
  </si>
  <si>
    <t>NRRBRCC5M079</t>
  </si>
  <si>
    <t>NRRBRCC5M080</t>
  </si>
  <si>
    <t>NRRBRCC5M081</t>
  </si>
  <si>
    <t>NRRBRCC5M082</t>
  </si>
  <si>
    <t>NRRBRCC5M083</t>
  </si>
  <si>
    <t>NRRBRCC5M084</t>
  </si>
  <si>
    <t>NRRBRCC5M085</t>
  </si>
  <si>
    <t>NRRBRCC5F000</t>
  </si>
  <si>
    <t>NRRBRCC5F001</t>
  </si>
  <si>
    <t>NRRBRCC5F002</t>
  </si>
  <si>
    <t>NRRBRCC5F003</t>
  </si>
  <si>
    <t>NRRBRCC5F004</t>
  </si>
  <si>
    <t>NRRBRCC5F005</t>
  </si>
  <si>
    <t>NRRBRCC5F006</t>
  </si>
  <si>
    <t>NRRBRCC5F007</t>
  </si>
  <si>
    <t>NRRBRCC5F008</t>
  </si>
  <si>
    <t>NRRBRCC5F009</t>
  </si>
  <si>
    <t>NRRBRCC5F010</t>
  </si>
  <si>
    <t>NRRBRCC5F011</t>
  </si>
  <si>
    <t>NRRBRCC5F012</t>
  </si>
  <si>
    <t>NRRBRCC5F013</t>
  </si>
  <si>
    <t>NRRBRCC5F014</t>
  </si>
  <si>
    <t>NRRBRCC5F015</t>
  </si>
  <si>
    <t>NRRBRCC5F016</t>
  </si>
  <si>
    <t>NRRBRCC5F017</t>
  </si>
  <si>
    <t>NRRBRCC5F018</t>
  </si>
  <si>
    <t>NRRBRCC5F019</t>
  </si>
  <si>
    <t>NRRBRCC5F020</t>
  </si>
  <si>
    <t>NRRBRCC5F021</t>
  </si>
  <si>
    <t>NRRBRCC5F022</t>
  </si>
  <si>
    <t>NRRBRCC5F023</t>
  </si>
  <si>
    <t>NRRBRCC5F024</t>
  </si>
  <si>
    <t>NRRBRCC5F025</t>
  </si>
  <si>
    <t>NRRBRCC5F026</t>
  </si>
  <si>
    <t>NRRBRCC5F027</t>
  </si>
  <si>
    <t>NRRBRCC5F028</t>
  </si>
  <si>
    <t>NRRBRCC5F029</t>
  </si>
  <si>
    <t>NRRBRCC5F030</t>
  </si>
  <si>
    <t>NRRBRCC5F031</t>
  </si>
  <si>
    <t>NRRBRCC5F032</t>
  </si>
  <si>
    <t>NRRBRCC5F033</t>
  </si>
  <si>
    <t>NRRBRCC5F034</t>
  </si>
  <si>
    <t>NRRBRCC5F035</t>
  </si>
  <si>
    <t>NRRBRCC5F036</t>
  </si>
  <si>
    <t>NRRBRCC5F037</t>
  </si>
  <si>
    <t>NRRBRCC5F038</t>
  </si>
  <si>
    <t>NRRBRCC5F039</t>
  </si>
  <si>
    <t>NRRBRCC5F040</t>
  </si>
  <si>
    <t>NRRBRCC5F041</t>
  </si>
  <si>
    <t>NRRBRCC5F042</t>
  </si>
  <si>
    <t>NRRBRCC5F043</t>
  </si>
  <si>
    <t>NRRBRCC5F044</t>
  </si>
  <si>
    <t>NRRBRCC5F045</t>
  </si>
  <si>
    <t>NRRBRCC5F046</t>
  </si>
  <si>
    <t>NRRBRCC5F047</t>
  </si>
  <si>
    <t>NRRBRCC5F048</t>
  </si>
  <si>
    <t>NRRBRCC5F049</t>
  </si>
  <si>
    <t>NRRBRCC5F050</t>
  </si>
  <si>
    <t>NRRBRCC5F051</t>
  </si>
  <si>
    <t>NRRBRCC5F052</t>
  </si>
  <si>
    <t>NRRBRCC5F053</t>
  </si>
  <si>
    <t>NRRBRCC5F054</t>
  </si>
  <si>
    <t>NRRBRCC5F055</t>
  </si>
  <si>
    <t>NRRBRCC5F056</t>
  </si>
  <si>
    <t>NRRBRCC5F057</t>
  </si>
  <si>
    <t>NRRBRCC5F058</t>
  </si>
  <si>
    <t>NRRBRCC5F059</t>
  </si>
  <si>
    <t>NRRBRCC5F060</t>
  </si>
  <si>
    <t>NRRBRCC5F061</t>
  </si>
  <si>
    <t>NRRBRCC5F062</t>
  </si>
  <si>
    <t>NRRBRCC5F063</t>
  </si>
  <si>
    <t>NRRBRCC5F064</t>
  </si>
  <si>
    <t>NRRBRCC5F065</t>
  </si>
  <si>
    <t>NRRBRCC5F066</t>
  </si>
  <si>
    <t>NRRBRCC5F067</t>
  </si>
  <si>
    <t>NRRBRCC5F068</t>
  </si>
  <si>
    <t>NRRBRCC5F069</t>
  </si>
  <si>
    <t>NRRBRCC5F070</t>
  </si>
  <si>
    <t>NRRBRCC5F071</t>
  </si>
  <si>
    <t>NRRBRCC5F072</t>
  </si>
  <si>
    <t>NRRBRCC5F073</t>
  </si>
  <si>
    <t>NRRBRCC5F074</t>
  </si>
  <si>
    <t>NRRBRCC5F075</t>
  </si>
  <si>
    <t>NRRBRCC5F076</t>
  </si>
  <si>
    <t>NRRBRCC5F077</t>
  </si>
  <si>
    <t>NRRBRCC5F078</t>
  </si>
  <si>
    <t>NRRBRCC5F079</t>
  </si>
  <si>
    <t>NRRBRCC5F080</t>
  </si>
  <si>
    <t>NRRBRCC5F081</t>
  </si>
  <si>
    <t>NRRBRCC5F082</t>
  </si>
  <si>
    <t>NRRBRCC5F083</t>
  </si>
  <si>
    <t>NRRBRCC5F084</t>
  </si>
  <si>
    <t>NRRBRCC5F085</t>
  </si>
  <si>
    <t>NRRBRCC5AM000</t>
  </si>
  <si>
    <t>NRRBRCC5A</t>
  </si>
  <si>
    <t>NRRBRCC5AM001</t>
  </si>
  <si>
    <t>NRRBRCC5AM002</t>
  </si>
  <si>
    <t>NRRBRCC5AM003</t>
  </si>
  <si>
    <t>NRRBRCC5AM004</t>
  </si>
  <si>
    <t>NRRBRCC5AM005</t>
  </si>
  <si>
    <t>NRRBRCC5AM006</t>
  </si>
  <si>
    <t>NRRBRCC5AM007</t>
  </si>
  <si>
    <t>NRRBRCC5AM008</t>
  </si>
  <si>
    <t>NRRBRCC5AM009</t>
  </si>
  <si>
    <t>NRRBRCC5AM010</t>
  </si>
  <si>
    <t>NRRBRCC5AM011</t>
  </si>
  <si>
    <t>NRRBRCC5AM012</t>
  </si>
  <si>
    <t>NRRBRCC5AM013</t>
  </si>
  <si>
    <t>NRRBRCC5AM014</t>
  </si>
  <si>
    <t>NRRBRCC5AM015</t>
  </si>
  <si>
    <t>NRRBRCC5AM016</t>
  </si>
  <si>
    <t>NRRBRCC5AM017</t>
  </si>
  <si>
    <t>NRRBRCC5AM018</t>
  </si>
  <si>
    <t>NRRBRCC5AM019</t>
  </si>
  <si>
    <t>NRRBRCC5AM020</t>
  </si>
  <si>
    <t>NRRBRCC5AM021</t>
  </si>
  <si>
    <t>NRRBRCC5AM022</t>
  </si>
  <si>
    <t>NRRBRCC5AM023</t>
  </si>
  <si>
    <t>NRRBRCC5AM024</t>
  </si>
  <si>
    <t>NRRBRCC5AM025</t>
  </si>
  <si>
    <t>NRRBRCC5AM026</t>
  </si>
  <si>
    <t>NRRBRCC5AM027</t>
  </si>
  <si>
    <t>NRRBRCC5AM028</t>
  </si>
  <si>
    <t>NRRBRCC5AM029</t>
  </si>
  <si>
    <t>NRRBRCC5AM030</t>
  </si>
  <si>
    <t>NRRBRCC5AM031</t>
  </si>
  <si>
    <t>NRRBRCC5AM032</t>
  </si>
  <si>
    <t>NRRBRCC5AM033</t>
  </si>
  <si>
    <t>NRRBRCC5AM034</t>
  </si>
  <si>
    <t>NRRBRCC5AM035</t>
  </si>
  <si>
    <t>NRRBRCC5AM036</t>
  </si>
  <si>
    <t>NRRBRCC5AM037</t>
  </si>
  <si>
    <t>NRRBRCC5AM038</t>
  </si>
  <si>
    <t>NRRBRCC5AM039</t>
  </si>
  <si>
    <t>NRRBRCC5AM040</t>
  </si>
  <si>
    <t>NRRBRCC5AM041</t>
  </si>
  <si>
    <t>NRRBRCC5AM042</t>
  </si>
  <si>
    <t>NRRBRCC5AM043</t>
  </si>
  <si>
    <t>NRRBRCC5AM044</t>
  </si>
  <si>
    <t>NRRBRCC5AM045</t>
  </si>
  <si>
    <t>NRRBRCC5AM046</t>
  </si>
  <si>
    <t>NRRBRCC5AM047</t>
  </si>
  <si>
    <t>NRRBRCC5AM048</t>
  </si>
  <si>
    <t>NRRBRCC5AM049</t>
  </si>
  <si>
    <t>NRRBRCC5AM050</t>
  </si>
  <si>
    <t>NRRBRCC5AM051</t>
  </si>
  <si>
    <t>NRRBRCC5AM052</t>
  </si>
  <si>
    <t>NRRBRCC5AM053</t>
  </si>
  <si>
    <t>NRRBRCC5AM054</t>
  </si>
  <si>
    <t>NRRBRCC5AM055</t>
  </si>
  <si>
    <t>NRRBRCC5AM056</t>
  </si>
  <si>
    <t>NRRBRCC5AM057</t>
  </si>
  <si>
    <t>NRRBRCC5AM058</t>
  </si>
  <si>
    <t>NRRBRCC5AM059</t>
  </si>
  <si>
    <t>NRRBRCC5AM060</t>
  </si>
  <si>
    <t>NRRBRCC5AM061</t>
  </si>
  <si>
    <t>NRRBRCC5AM062</t>
  </si>
  <si>
    <t>NRRBRCC5AM063</t>
  </si>
  <si>
    <t>NRRBRCC5AM064</t>
  </si>
  <si>
    <t>NRRBRCC5AM065</t>
  </si>
  <si>
    <t>NRRBRCC5AM066</t>
  </si>
  <si>
    <t>NRRBRCC5AM067</t>
  </si>
  <si>
    <t>NRRBRCC5AM068</t>
  </si>
  <si>
    <t>NRRBRCC5AM069</t>
  </si>
  <si>
    <t>NRRBRCC5AM070</t>
  </si>
  <si>
    <t>NRRBRCC5AM071</t>
  </si>
  <si>
    <t>NRRBRCC5AM072</t>
  </si>
  <si>
    <t>NRRBRCC5AM073</t>
  </si>
  <si>
    <t>NRRBRCC5AM074</t>
  </si>
  <si>
    <t>NRRBRCC5AM075</t>
  </si>
  <si>
    <t>NRRBRCC5AM076</t>
  </si>
  <si>
    <t>NRRBRCC5AM077</t>
  </si>
  <si>
    <t>NRRBRCC5AM078</t>
  </si>
  <si>
    <t>NRRBRCC5AM079</t>
  </si>
  <si>
    <t>NRRBRCC5AM080</t>
  </si>
  <si>
    <t>NRRBRCC5AM081</t>
  </si>
  <si>
    <t>NRRBRCC5AM082</t>
  </si>
  <si>
    <t>NRRBRCC5AM083</t>
  </si>
  <si>
    <t>NRRBRCC5AM084</t>
  </si>
  <si>
    <t>NRRBRCC5AM085</t>
  </si>
  <si>
    <t>NRRBRCC5AF000</t>
  </si>
  <si>
    <t>NRRBRCC5AF001</t>
  </si>
  <si>
    <t>NRRBRCC5AF002</t>
  </si>
  <si>
    <t>NRRBRCC5AF003</t>
  </si>
  <si>
    <t>NRRBRCC5AF004</t>
  </si>
  <si>
    <t>NRRBRCC5AF005</t>
  </si>
  <si>
    <t>NRRBRCC5AF006</t>
  </si>
  <si>
    <t>NRRBRCC5AF007</t>
  </si>
  <si>
    <t>NRRBRCC5AF008</t>
  </si>
  <si>
    <t>NRRBRCC5AF009</t>
  </si>
  <si>
    <t>NRRBRCC5AF010</t>
  </si>
  <si>
    <t>NRRBRCC5AF011</t>
  </si>
  <si>
    <t>NRRBRCC5AF012</t>
  </si>
  <si>
    <t>NRRBRCC5AF013</t>
  </si>
  <si>
    <t>NRRBRCC5AF014</t>
  </si>
  <si>
    <t>NRRBRCC5AF015</t>
  </si>
  <si>
    <t>NRRBRCC5AF016</t>
  </si>
  <si>
    <t>NRRBRCC5AF017</t>
  </si>
  <si>
    <t>NRRBRCC5AF018</t>
  </si>
  <si>
    <t>NRRBRCC5AF019</t>
  </si>
  <si>
    <t>NRRBRCC5AF020</t>
  </si>
  <si>
    <t>NRRBRCC5AF021</t>
  </si>
  <si>
    <t>NRRBRCC5AF022</t>
  </si>
  <si>
    <t>NRRBRCC5AF023</t>
  </si>
  <si>
    <t>NRRBRCC5AF024</t>
  </si>
  <si>
    <t>NRRBRCC5AF025</t>
  </si>
  <si>
    <t>NRRBRCC5AF026</t>
  </si>
  <si>
    <t>NRRBRCC5AF027</t>
  </si>
  <si>
    <t>NRRBRCC5AF028</t>
  </si>
  <si>
    <t>NRRBRCC5AF029</t>
  </si>
  <si>
    <t>NRRBRCC5AF030</t>
  </si>
  <si>
    <t>NRRBRCC5AF031</t>
  </si>
  <si>
    <t>NRRBRCC5AF032</t>
  </si>
  <si>
    <t>NRRBRCC5AF033</t>
  </si>
  <si>
    <t>NRRBRCC5AF034</t>
  </si>
  <si>
    <t>NRRBRCC5AF035</t>
  </si>
  <si>
    <t>NRRBRCC5AF036</t>
  </si>
  <si>
    <t>NRRBRCC5AF037</t>
  </si>
  <si>
    <t>NRRBRCC5AF038</t>
  </si>
  <si>
    <t>NRRBRCC5AF039</t>
  </si>
  <si>
    <t>NRRBRCC5AF040</t>
  </si>
  <si>
    <t>NRRBRCC5AF041</t>
  </si>
  <si>
    <t>NRRBRCC5AF042</t>
  </si>
  <si>
    <t>NRRBRCC5AF043</t>
  </si>
  <si>
    <t>NRRBRCC5AF044</t>
  </si>
  <si>
    <t>NRRBRCC5AF045</t>
  </si>
  <si>
    <t>NRRBRCC5AF046</t>
  </si>
  <si>
    <t>NRRBRCC5AF047</t>
  </si>
  <si>
    <t>NRRBRCC5AF048</t>
  </si>
  <si>
    <t>NRRBRCC5AF049</t>
  </si>
  <si>
    <t>NRRBRCC5AF050</t>
  </si>
  <si>
    <t>NRRBRCC5AF051</t>
  </si>
  <si>
    <t>NRRBRCC5AF052</t>
  </si>
  <si>
    <t>NRRBRCC5AF053</t>
  </si>
  <si>
    <t>NRRBRCC5AF054</t>
  </si>
  <si>
    <t>NRRBRCC5AF055</t>
  </si>
  <si>
    <t>NRRBRCC5AF056</t>
  </si>
  <si>
    <t>NRRBRCC5AF057</t>
  </si>
  <si>
    <t>NRRBRCC5AF058</t>
  </si>
  <si>
    <t>NRRBRCC5AF059</t>
  </si>
  <si>
    <t>NRRBRCC5AF060</t>
  </si>
  <si>
    <t>NRRBRCC5AF061</t>
  </si>
  <si>
    <t>NRRBRCC5AF062</t>
  </si>
  <si>
    <t>NRRBRCC5AF063</t>
  </si>
  <si>
    <t>NRRBRCC5AF064</t>
  </si>
  <si>
    <t>NRRBRCC5AF065</t>
  </si>
  <si>
    <t>NRRBRCC5AF066</t>
  </si>
  <si>
    <t>NRRBRCC5AF067</t>
  </si>
  <si>
    <t>NRRBRCC5AF068</t>
  </si>
  <si>
    <t>NRRBRCC5AF069</t>
  </si>
  <si>
    <t>NRRBRCC5AF070</t>
  </si>
  <si>
    <t>NRRBRCC5AF071</t>
  </si>
  <si>
    <t>NRRBRCC5AF072</t>
  </si>
  <si>
    <t>NRRBRCC5AF073</t>
  </si>
  <si>
    <t>NRRBRCC5AF074</t>
  </si>
  <si>
    <t>NRRBRCC5AF075</t>
  </si>
  <si>
    <t>NRRBRCC5AF076</t>
  </si>
  <si>
    <t>NRRBRCC5AF077</t>
  </si>
  <si>
    <t>NRRBRCC5AF078</t>
  </si>
  <si>
    <t>NRRBRCC5AF079</t>
  </si>
  <si>
    <t>NRRBRCC5AF080</t>
  </si>
  <si>
    <t>NRRBRCC5AF081</t>
  </si>
  <si>
    <t>NRRBRCC5AF082</t>
  </si>
  <si>
    <t>NRRBRCC5AF083</t>
  </si>
  <si>
    <t>NRRBRCC5AF084</t>
  </si>
  <si>
    <t>NRRBRCC5AF085</t>
  </si>
  <si>
    <t>NRRBRCU10M000</t>
  </si>
  <si>
    <t>NRRBRCU10</t>
  </si>
  <si>
    <t>NRRBRCU10M001</t>
  </si>
  <si>
    <t>NRRBRCU10M002</t>
  </si>
  <si>
    <t>NRRBRCU10M003</t>
  </si>
  <si>
    <t>NRRBRCU10M004</t>
  </si>
  <si>
    <t>NRRBRCU10M005</t>
  </si>
  <si>
    <t>NRRBRCU10M006</t>
  </si>
  <si>
    <t>NRRBRCU10M007</t>
  </si>
  <si>
    <t>NRRBRCU10M008</t>
  </si>
  <si>
    <t>NRRBRCU10M009</t>
  </si>
  <si>
    <t>NRRBRCU10M010</t>
  </si>
  <si>
    <t>NRRBRCU10M011</t>
  </si>
  <si>
    <t>NRRBRCU10M012</t>
  </si>
  <si>
    <t>NRRBRCU10M013</t>
  </si>
  <si>
    <t>NRRBRCU10M014</t>
  </si>
  <si>
    <t>NRRBRCU10M015</t>
  </si>
  <si>
    <t>NRRBRCU10M016</t>
  </si>
  <si>
    <t>NRRBRCU10M017</t>
  </si>
  <si>
    <t>NRRBRCU10M018</t>
  </si>
  <si>
    <t>NRRBRCU10M019</t>
  </si>
  <si>
    <t>NRRBRCU10M020</t>
  </si>
  <si>
    <t>NRRBRCU10M021</t>
  </si>
  <si>
    <t>NRRBRCU10M022</t>
  </si>
  <si>
    <t>NRRBRCU10M023</t>
  </si>
  <si>
    <t>NRRBRCU10M024</t>
  </si>
  <si>
    <t>NRRBRCU10M025</t>
  </si>
  <si>
    <t>NRRBRCU10M026</t>
  </si>
  <si>
    <t>NRRBRCU10M027</t>
  </si>
  <si>
    <t>NRRBRCU10M028</t>
  </si>
  <si>
    <t>NRRBRCU10M029</t>
  </si>
  <si>
    <t>NRRBRCU10M030</t>
  </si>
  <si>
    <t>NRRBRCU10M031</t>
  </si>
  <si>
    <t>NRRBRCU10M032</t>
  </si>
  <si>
    <t>NRRBRCU10M033</t>
  </si>
  <si>
    <t>NRRBRCU10M034</t>
  </si>
  <si>
    <t>NRRBRCU10M035</t>
  </si>
  <si>
    <t>NRRBRCU10M036</t>
  </si>
  <si>
    <t>NRRBRCU10M037</t>
  </si>
  <si>
    <t>NRRBRCU10M038</t>
  </si>
  <si>
    <t>NRRBRCU10M039</t>
  </si>
  <si>
    <t>NRRBRCU10M040</t>
  </si>
  <si>
    <t>NRRBRCU10M041</t>
  </si>
  <si>
    <t>NRRBRCU10M042</t>
  </si>
  <si>
    <t>NRRBRCU10M043</t>
  </si>
  <si>
    <t>NRRBRCU10M044</t>
  </si>
  <si>
    <t>NRRBRCU10M045</t>
  </si>
  <si>
    <t>NRRBRCU10M046</t>
  </si>
  <si>
    <t>NRRBRCU10M047</t>
  </si>
  <si>
    <t>NRRBRCU10M048</t>
  </si>
  <si>
    <t>NRRBRCU10M049</t>
  </si>
  <si>
    <t>NRRBRCU10M050</t>
  </si>
  <si>
    <t>NRRBRCU10M051</t>
  </si>
  <si>
    <t>NRRBRCU10M052</t>
  </si>
  <si>
    <t>NRRBRCU10M053</t>
  </si>
  <si>
    <t>NRRBRCU10M054</t>
  </si>
  <si>
    <t>NRRBRCU10M055</t>
  </si>
  <si>
    <t>NRRBRCU10M056</t>
  </si>
  <si>
    <t>NRRBRCU10M057</t>
  </si>
  <si>
    <t>NRRBRCU10M058</t>
  </si>
  <si>
    <t>NRRBRCU10M059</t>
  </si>
  <si>
    <t>NRRBRCU10M060</t>
  </si>
  <si>
    <t>NRRBRCU10M061</t>
  </si>
  <si>
    <t>NRRBRCU10M062</t>
  </si>
  <si>
    <t>NRRBRCU10M063</t>
  </si>
  <si>
    <t>NRRBRCU10M064</t>
  </si>
  <si>
    <t>NRRBRCU10M065</t>
  </si>
  <si>
    <t>NRRBRCU10M066</t>
  </si>
  <si>
    <t>NRRBRCU10M067</t>
  </si>
  <si>
    <t>NRRBRCU10M068</t>
  </si>
  <si>
    <t>NRRBRCU10M069</t>
  </si>
  <si>
    <t>NRRBRCU10M070</t>
  </si>
  <si>
    <t>NRRBRCU10M071</t>
  </si>
  <si>
    <t>NRRBRCU10M072</t>
  </si>
  <si>
    <t>NRRBRCU10M073</t>
  </si>
  <si>
    <t>NRRBRCU10M074</t>
  </si>
  <si>
    <t>NRRBRCU10M075</t>
  </si>
  <si>
    <t>NRRBRCU10M076</t>
  </si>
  <si>
    <t>NRRBRCU10M077</t>
  </si>
  <si>
    <t>NRRBRCU10M078</t>
  </si>
  <si>
    <t>NRRBRCU10M079</t>
  </si>
  <si>
    <t>NRRBRCU10M080</t>
  </si>
  <si>
    <t>NRRBRCU10M081</t>
  </si>
  <si>
    <t>NRRBRCU10M082</t>
  </si>
  <si>
    <t>NRRBRCU10M083</t>
  </si>
  <si>
    <t>NRRBRCU10M084</t>
  </si>
  <si>
    <t>NRRBRCU10M085</t>
  </si>
  <si>
    <t>NRRBRCU10F000</t>
  </si>
  <si>
    <t>NRRBRCU10F001</t>
  </si>
  <si>
    <t>NRRBRCU10F002</t>
  </si>
  <si>
    <t>NRRBRCU10F003</t>
  </si>
  <si>
    <t>NRRBRCU10F004</t>
  </si>
  <si>
    <t>NRRBRCU10F005</t>
  </si>
  <si>
    <t>NRRBRCU10F006</t>
  </si>
  <si>
    <t>NRRBRCU10F007</t>
  </si>
  <si>
    <t>NRRBRCU10F008</t>
  </si>
  <si>
    <t>NRRBRCU10F009</t>
  </si>
  <si>
    <t>NRRBRCU10F010</t>
  </si>
  <si>
    <t>NRRBRCU10F011</t>
  </si>
  <si>
    <t>NRRBRCU10F012</t>
  </si>
  <si>
    <t>NRRBRCU10F013</t>
  </si>
  <si>
    <t>NRRBRCU10F014</t>
  </si>
  <si>
    <t>NRRBRCU10F015</t>
  </si>
  <si>
    <t>NRRBRCU10F016</t>
  </si>
  <si>
    <t>NRRBRCU10F017</t>
  </si>
  <si>
    <t>NRRBRCU10F018</t>
  </si>
  <si>
    <t>NRRBRCU10F019</t>
  </si>
  <si>
    <t>NRRBRCU10F020</t>
  </si>
  <si>
    <t>NRRBRCU10F021</t>
  </si>
  <si>
    <t>NRRBRCU10F022</t>
  </si>
  <si>
    <t>NRRBRCU10F023</t>
  </si>
  <si>
    <t>NRRBRCU10F024</t>
  </si>
  <si>
    <t>NRRBRCU10F025</t>
  </si>
  <si>
    <t>NRRBRCU10F026</t>
  </si>
  <si>
    <t>NRRBRCU10F027</t>
  </si>
  <si>
    <t>NRRBRCU10F028</t>
  </si>
  <si>
    <t>NRRBRCU10F029</t>
  </si>
  <si>
    <t>NRRBRCU10F030</t>
  </si>
  <si>
    <t>NRRBRCU10F031</t>
  </si>
  <si>
    <t>NRRBRCU10F032</t>
  </si>
  <si>
    <t>NRRBRCU10F033</t>
  </si>
  <si>
    <t>NRRBRCU10F034</t>
  </si>
  <si>
    <t>NRRBRCU10F035</t>
  </si>
  <si>
    <t>NRRBRCU10F036</t>
  </si>
  <si>
    <t>NRRBRCU10F037</t>
  </si>
  <si>
    <t>NRRBRCU10F038</t>
  </si>
  <si>
    <t>NRRBRCU10F039</t>
  </si>
  <si>
    <t>NRRBRCU10F040</t>
  </si>
  <si>
    <t>NRRBRCU10F041</t>
  </si>
  <si>
    <t>NRRBRCU10F042</t>
  </si>
  <si>
    <t>NRRBRCU10F043</t>
  </si>
  <si>
    <t>NRRBRCU10F044</t>
  </si>
  <si>
    <t>NRRBRCU10F045</t>
  </si>
  <si>
    <t>NRRBRCU10F046</t>
  </si>
  <si>
    <t>NRRBRCU10F047</t>
  </si>
  <si>
    <t>NRRBRCU10F048</t>
  </si>
  <si>
    <t>NRRBRCU10F049</t>
  </si>
  <si>
    <t>NRRBRCU10F050</t>
  </si>
  <si>
    <t>NRRBRCU10F051</t>
  </si>
  <si>
    <t>NRRBRCU10F052</t>
  </si>
  <si>
    <t>NRRBRCU10F053</t>
  </si>
  <si>
    <t>NRRBRCU10F054</t>
  </si>
  <si>
    <t>NRRBRCU10F055</t>
  </si>
  <si>
    <t>NRRBRCU10F056</t>
  </si>
  <si>
    <t>NRRBRCU10F057</t>
  </si>
  <si>
    <t>NRRBRCU10F058</t>
  </si>
  <si>
    <t>NRRBRCU10F059</t>
  </si>
  <si>
    <t>NRRBRCU10F060</t>
  </si>
  <si>
    <t>NRRBRCU10F061</t>
  </si>
  <si>
    <t>NRRBRCU10F062</t>
  </si>
  <si>
    <t>NRRBRCU10F063</t>
  </si>
  <si>
    <t>NRRBRCU10F064</t>
  </si>
  <si>
    <t>NRRBRCU10F065</t>
  </si>
  <si>
    <t>NRRBRCU10F066</t>
  </si>
  <si>
    <t>NRRBRCU10F067</t>
  </si>
  <si>
    <t>NRRBRCU10F068</t>
  </si>
  <si>
    <t>NRRBRCU10F069</t>
  </si>
  <si>
    <t>NRRBRCU10F070</t>
  </si>
  <si>
    <t>NRRBRCU10F071</t>
  </si>
  <si>
    <t>NRRBRCU10F072</t>
  </si>
  <si>
    <t>NRRBRCU10F073</t>
  </si>
  <si>
    <t>NRRBRCU10F074</t>
  </si>
  <si>
    <t>NRRBRCU10F075</t>
  </si>
  <si>
    <t>NRRBRCU10F076</t>
  </si>
  <si>
    <t>NRRBRCU10F077</t>
  </si>
  <si>
    <t>NRRBRCU10F078</t>
  </si>
  <si>
    <t>NRRBRCU10F079</t>
  </si>
  <si>
    <t>NRRBRCU10F080</t>
  </si>
  <si>
    <t>NRRBRCU10F081</t>
  </si>
  <si>
    <t>NRRBRCU10F082</t>
  </si>
  <si>
    <t>NRRBRCU10F083</t>
  </si>
  <si>
    <t>NRRBRCU10F084</t>
  </si>
  <si>
    <t>NRRBRCU10F085</t>
  </si>
  <si>
    <t>NRRBRCU10AM000</t>
  </si>
  <si>
    <t>NRRBRCU10A</t>
  </si>
  <si>
    <t>NRRBRCU10AM001</t>
  </si>
  <si>
    <t>NRRBRCU10AM002</t>
  </si>
  <si>
    <t>NRRBRCU10AM003</t>
  </si>
  <si>
    <t>NRRBRCU10AM004</t>
  </si>
  <si>
    <t>NRRBRCU10AM005</t>
  </si>
  <si>
    <t>NRRBRCU10AM006</t>
  </si>
  <si>
    <t>NRRBRCU10AM007</t>
  </si>
  <si>
    <t>NRRBRCU10AM008</t>
  </si>
  <si>
    <t>NRRBRCU10AM009</t>
  </si>
  <si>
    <t>NRRBRCU10AM010</t>
  </si>
  <si>
    <t>NRRBRCU10AM011</t>
  </si>
  <si>
    <t>NRRBRCU10AM012</t>
  </si>
  <si>
    <t>NRRBRCU10AM013</t>
  </si>
  <si>
    <t>NRRBRCU10AM014</t>
  </si>
  <si>
    <t>NRRBRCU10AM015</t>
  </si>
  <si>
    <t>NRRBRCU10AM016</t>
  </si>
  <si>
    <t>NRRBRCU10AM017</t>
  </si>
  <si>
    <t>NRRBRCU10AM018</t>
  </si>
  <si>
    <t>NRRBRCU10AM019</t>
  </si>
  <si>
    <t>NRRBRCU10AM020</t>
  </si>
  <si>
    <t>NRRBRCU10AM021</t>
  </si>
  <si>
    <t>NRRBRCU10AM022</t>
  </si>
  <si>
    <t>NRRBRCU10AM023</t>
  </si>
  <si>
    <t>NRRBRCU10AM024</t>
  </si>
  <si>
    <t>NRRBRCU10AM025</t>
  </si>
  <si>
    <t>NRRBRCU10AM026</t>
  </si>
  <si>
    <t>NRRBRCU10AM027</t>
  </si>
  <si>
    <t>NRRBRCU10AM028</t>
  </si>
  <si>
    <t>NRRBRCU10AM029</t>
  </si>
  <si>
    <t>NRRBRCU10AM030</t>
  </si>
  <si>
    <t>NRRBRCU10AM031</t>
  </si>
  <si>
    <t>NRRBRCU10AM032</t>
  </si>
  <si>
    <t>NRRBRCU10AM033</t>
  </si>
  <si>
    <t>NRRBRCU10AM034</t>
  </si>
  <si>
    <t>NRRBRCU10AM035</t>
  </si>
  <si>
    <t>NRRBRCU10AM036</t>
  </si>
  <si>
    <t>NRRBRCU10AM037</t>
  </si>
  <si>
    <t>NRRBRCU10AM038</t>
  </si>
  <si>
    <t>NRRBRCU10AM039</t>
  </si>
  <si>
    <t>NRRBRCU10AM040</t>
  </si>
  <si>
    <t>NRRBRCU10AM041</t>
  </si>
  <si>
    <t>NRRBRCU10AM042</t>
  </si>
  <si>
    <t>NRRBRCU10AM043</t>
  </si>
  <si>
    <t>NRRBRCU10AM044</t>
  </si>
  <si>
    <t>NRRBRCU10AM045</t>
  </si>
  <si>
    <t>NRRBRCU10AM046</t>
  </si>
  <si>
    <t>NRRBRCU10AM047</t>
  </si>
  <si>
    <t>NRRBRCU10AM048</t>
  </si>
  <si>
    <t>NRRBRCU10AM049</t>
  </si>
  <si>
    <t>NRRBRCU10AM050</t>
  </si>
  <si>
    <t>NRRBRCU10AM051</t>
  </si>
  <si>
    <t>NRRBRCU10AM052</t>
  </si>
  <si>
    <t>NRRBRCU10AM053</t>
  </si>
  <si>
    <t>NRRBRCU10AM054</t>
  </si>
  <si>
    <t>NRRBRCU10AM055</t>
  </si>
  <si>
    <t>NRRBRCU10AM056</t>
  </si>
  <si>
    <t>NRRBRCU10AM057</t>
  </si>
  <si>
    <t>NRRBRCU10AM058</t>
  </si>
  <si>
    <t>NRRBRCU10AM059</t>
  </si>
  <si>
    <t>NRRBRCU10AM060</t>
  </si>
  <si>
    <t>NRRBRCU10AM061</t>
  </si>
  <si>
    <t>NRRBRCU10AM062</t>
  </si>
  <si>
    <t>NRRBRCU10AM063</t>
  </si>
  <si>
    <t>NRRBRCU10AM064</t>
  </si>
  <si>
    <t>NRRBRCU10AM065</t>
  </si>
  <si>
    <t>NRRBRCU10AM066</t>
  </si>
  <si>
    <t>NRRBRCU10AM067</t>
  </si>
  <si>
    <t>NRRBRCU10AM068</t>
  </si>
  <si>
    <t>NRRBRCU10AM069</t>
  </si>
  <si>
    <t>NRRBRCU10AM070</t>
  </si>
  <si>
    <t>NRRBRCU10AM071</t>
  </si>
  <si>
    <t>NRRBRCU10AM072</t>
  </si>
  <si>
    <t>NRRBRCU10AM073</t>
  </si>
  <si>
    <t>NRRBRCU10AM074</t>
  </si>
  <si>
    <t>NRRBRCU10AM075</t>
  </si>
  <si>
    <t>NRRBRCU10AM076</t>
  </si>
  <si>
    <t>NRRBRCU10AM077</t>
  </si>
  <si>
    <t>NRRBRCU10AM078</t>
  </si>
  <si>
    <t>NRRBRCU10AM079</t>
  </si>
  <si>
    <t>NRRBRCU10AM080</t>
  </si>
  <si>
    <t>NRRBRCU10AM081</t>
  </si>
  <si>
    <t>NRRBRCU10AM082</t>
  </si>
  <si>
    <t>NRRBRCU10AM083</t>
  </si>
  <si>
    <t>NRRBRCU10AM084</t>
  </si>
  <si>
    <t>NRRBRCU10AM085</t>
  </si>
  <si>
    <t>NRRBRCU10AF000</t>
  </si>
  <si>
    <t>NRRBRCU10AF001</t>
  </si>
  <si>
    <t>NRRBRCU10AF002</t>
  </si>
  <si>
    <t>NRRBRCU10AF003</t>
  </si>
  <si>
    <t>NRRBRCU10AF004</t>
  </si>
  <si>
    <t>NRRBRCU10AF005</t>
  </si>
  <si>
    <t>NRRBRCU10AF006</t>
  </si>
  <si>
    <t>NRRBRCU10AF007</t>
  </si>
  <si>
    <t>NRRBRCU10AF008</t>
  </si>
  <si>
    <t>NRRBRCU10AF009</t>
  </si>
  <si>
    <t>NRRBRCU10AF010</t>
  </si>
  <si>
    <t>NRRBRCU10AF011</t>
  </si>
  <si>
    <t>NRRBRCU10AF012</t>
  </si>
  <si>
    <t>NRRBRCU10AF013</t>
  </si>
  <si>
    <t>NRRBRCU10AF014</t>
  </si>
  <si>
    <t>NRRBRCU10AF015</t>
  </si>
  <si>
    <t>NRRBRCU10AF016</t>
  </si>
  <si>
    <t>NRRBRCU10AF017</t>
  </si>
  <si>
    <t>NRRBRCU10AF018</t>
  </si>
  <si>
    <t>NRRBRCU10AF019</t>
  </si>
  <si>
    <t>NRRBRCU10AF020</t>
  </si>
  <si>
    <t>NRRBRCU10AF021</t>
  </si>
  <si>
    <t>NRRBRCU10AF022</t>
  </si>
  <si>
    <t>NRRBRCU10AF023</t>
  </si>
  <si>
    <t>NRRBRCU10AF024</t>
  </si>
  <si>
    <t>NRRBRCU10AF025</t>
  </si>
  <si>
    <t>NRRBRCU10AF026</t>
  </si>
  <si>
    <t>NRRBRCU10AF027</t>
  </si>
  <si>
    <t>NRRBRCU10AF028</t>
  </si>
  <si>
    <t>NRRBRCU10AF029</t>
  </si>
  <si>
    <t>NRRBRCU10AF030</t>
  </si>
  <si>
    <t>NRRBRCU10AF031</t>
  </si>
  <si>
    <t>NRRBRCU10AF032</t>
  </si>
  <si>
    <t>NRRBRCU10AF033</t>
  </si>
  <si>
    <t>NRRBRCU10AF034</t>
  </si>
  <si>
    <t>NRRBRCU10AF035</t>
  </si>
  <si>
    <t>NRRBRCU10AF036</t>
  </si>
  <si>
    <t>NRRBRCU10AF037</t>
  </si>
  <si>
    <t>NRRBRCU10AF038</t>
  </si>
  <si>
    <t>NRRBRCU10AF039</t>
  </si>
  <si>
    <t>NRRBRCU10AF040</t>
  </si>
  <si>
    <t>NRRBRCU10AF041</t>
  </si>
  <si>
    <t>NRRBRCU10AF042</t>
  </si>
  <si>
    <t>NRRBRCU10AF043</t>
  </si>
  <si>
    <t>NRRBRCU10AF044</t>
  </si>
  <si>
    <t>NRRBRCU10AF045</t>
  </si>
  <si>
    <t>NRRBRCU10AF046</t>
  </si>
  <si>
    <t>NRRBRCU10AF047</t>
  </si>
  <si>
    <t>NRRBRCU10AF048</t>
  </si>
  <si>
    <t>NRRBRCU10AF049</t>
  </si>
  <si>
    <t>NRRBRCU10AF050</t>
  </si>
  <si>
    <t>NRRBRCU10AF051</t>
  </si>
  <si>
    <t>NRRBRCU10AF052</t>
  </si>
  <si>
    <t>NRRBRCU10AF053</t>
  </si>
  <si>
    <t>NRRBRCU10AF054</t>
  </si>
  <si>
    <t>NRRBRCU10AF055</t>
  </si>
  <si>
    <t>NRRBRCU10AF056</t>
  </si>
  <si>
    <t>NRRBRCU10AF057</t>
  </si>
  <si>
    <t>NRRBRCU10AF058</t>
  </si>
  <si>
    <t>NRRBRCU10AF059</t>
  </si>
  <si>
    <t>NRRBRCU10AF060</t>
  </si>
  <si>
    <t>NRRBRCU10AF061</t>
  </si>
  <si>
    <t>NRRBRCU10AF062</t>
  </si>
  <si>
    <t>NRRBRCU10AF063</t>
  </si>
  <si>
    <t>NRRBRCU10AF064</t>
  </si>
  <si>
    <t>NRRBRCU10AF065</t>
  </si>
  <si>
    <t>NRRBRCU10AF066</t>
  </si>
  <si>
    <t>NRRBRCU10AF067</t>
  </si>
  <si>
    <t>NRRBRCU10AF068</t>
  </si>
  <si>
    <t>NRRBRCU10AF069</t>
  </si>
  <si>
    <t>NRRBRCU10AF070</t>
  </si>
  <si>
    <t>NRRBRCU10AF071</t>
  </si>
  <si>
    <t>NRRBRCU10AF072</t>
  </si>
  <si>
    <t>NRRBRCU10AF073</t>
  </si>
  <si>
    <t>NRRBRCU10AF074</t>
  </si>
  <si>
    <t>NRRBRCU10AF075</t>
  </si>
  <si>
    <t>NRRBRCU10AF076</t>
  </si>
  <si>
    <t>NRRBRCU10AF077</t>
  </si>
  <si>
    <t>NRRBRCU10AF078</t>
  </si>
  <si>
    <t>NRRBRCU10AF079</t>
  </si>
  <si>
    <t>NRRBRCU10AF080</t>
  </si>
  <si>
    <t>NRRBRCU10AF081</t>
  </si>
  <si>
    <t>NRRBRCU10AF082</t>
  </si>
  <si>
    <t>NRRBRCU10AF083</t>
  </si>
  <si>
    <t>NRRBRCU10AF084</t>
  </si>
  <si>
    <t>NRRBRCU10AF085</t>
  </si>
  <si>
    <t>NRRBRCH10M000</t>
  </si>
  <si>
    <t>NRRBRCH10</t>
  </si>
  <si>
    <t>NRRBRCH10M001</t>
  </si>
  <si>
    <t>NRRBRCH10M002</t>
  </si>
  <si>
    <t>NRRBRCH10M003</t>
  </si>
  <si>
    <t>NRRBRCH10M004</t>
  </si>
  <si>
    <t>NRRBRCH10M005</t>
  </si>
  <si>
    <t>NRRBRCH10M006</t>
  </si>
  <si>
    <t>NRRBRCH10M007</t>
  </si>
  <si>
    <t>NRRBRCH10M008</t>
  </si>
  <si>
    <t>NRRBRCH10M009</t>
  </si>
  <si>
    <t>NRRBRCH10M010</t>
  </si>
  <si>
    <t>NRRBRCH10M011</t>
  </si>
  <si>
    <t>NRRBRCH10M012</t>
  </si>
  <si>
    <t>NRRBRCH10M013</t>
  </si>
  <si>
    <t>NRRBRCH10M014</t>
  </si>
  <si>
    <t>NRRBRCH10M015</t>
  </si>
  <si>
    <t>NRRBRCH10M016</t>
  </si>
  <si>
    <t>NRRBRCH10M017</t>
  </si>
  <si>
    <t>NRRBRCH10M018</t>
  </si>
  <si>
    <t>NRRBRCH10M019</t>
  </si>
  <si>
    <t>NRRBRCH10M020</t>
  </si>
  <si>
    <t>NRRBRCH10M021</t>
  </si>
  <si>
    <t>NRRBRCH10M022</t>
  </si>
  <si>
    <t>NRRBRCH10M023</t>
  </si>
  <si>
    <t>NRRBRCH10M024</t>
  </si>
  <si>
    <t>NRRBRCH10M025</t>
  </si>
  <si>
    <t>NRRBRCH10M026</t>
  </si>
  <si>
    <t>NRRBRCH10M027</t>
  </si>
  <si>
    <t>NRRBRCH10M028</t>
  </si>
  <si>
    <t>NRRBRCH10M029</t>
  </si>
  <si>
    <t>NRRBRCH10M030</t>
  </si>
  <si>
    <t>NRRBRCH10M031</t>
  </si>
  <si>
    <t>NRRBRCH10M032</t>
  </si>
  <si>
    <t>NRRBRCH10M033</t>
  </si>
  <si>
    <t>NRRBRCH10M034</t>
  </si>
  <si>
    <t>NRRBRCH10M035</t>
  </si>
  <si>
    <t>NRRBRCH10M036</t>
  </si>
  <si>
    <t>NRRBRCH10M037</t>
  </si>
  <si>
    <t>NRRBRCH10M038</t>
  </si>
  <si>
    <t>NRRBRCH10M039</t>
  </si>
  <si>
    <t>NRRBRCH10M040</t>
  </si>
  <si>
    <t>NRRBRCH10M041</t>
  </si>
  <si>
    <t>NRRBRCH10M042</t>
  </si>
  <si>
    <t>NRRBRCH10M043</t>
  </si>
  <si>
    <t>NRRBRCH10M044</t>
  </si>
  <si>
    <t>NRRBRCH10M045</t>
  </si>
  <si>
    <t>NRRBRCH10M046</t>
  </si>
  <si>
    <t>NRRBRCH10M047</t>
  </si>
  <si>
    <t>NRRBRCH10M048</t>
  </si>
  <si>
    <t>NRRBRCH10M049</t>
  </si>
  <si>
    <t>NRRBRCH10M050</t>
  </si>
  <si>
    <t>NRRBRCH10M051</t>
  </si>
  <si>
    <t>NRRBRCH10M052</t>
  </si>
  <si>
    <t>NRRBRCH10M053</t>
  </si>
  <si>
    <t>NRRBRCH10M054</t>
  </si>
  <si>
    <t>NRRBRCH10M055</t>
  </si>
  <si>
    <t>NRRBRCH10M056</t>
  </si>
  <si>
    <t>NRRBRCH10M057</t>
  </si>
  <si>
    <t>NRRBRCH10M058</t>
  </si>
  <si>
    <t>NRRBRCH10M059</t>
  </si>
  <si>
    <t>NRRBRCH10M060</t>
  </si>
  <si>
    <t>NRRBRCH10M061</t>
  </si>
  <si>
    <t>NRRBRCH10M062</t>
  </si>
  <si>
    <t>NRRBRCH10M063</t>
  </si>
  <si>
    <t>NRRBRCH10M064</t>
  </si>
  <si>
    <t>NRRBRCH10M065</t>
  </si>
  <si>
    <t>NRRBRCH10M066</t>
  </si>
  <si>
    <t>NRRBRCH10M067</t>
  </si>
  <si>
    <t>NRRBRCH10M068</t>
  </si>
  <si>
    <t>NRRBRCH10M069</t>
  </si>
  <si>
    <t>NRRBRCH10M070</t>
  </si>
  <si>
    <t>NRRBRCH10M071</t>
  </si>
  <si>
    <t>NRRBRCH10M072</t>
  </si>
  <si>
    <t>NRRBRCH10M073</t>
  </si>
  <si>
    <t>NRRBRCH10M074</t>
  </si>
  <si>
    <t>NRRBRCH10M075</t>
  </si>
  <si>
    <t>NRRBRCH10M076</t>
  </si>
  <si>
    <t>NRRBRCH10M077</t>
  </si>
  <si>
    <t>NRRBRCH10M078</t>
  </si>
  <si>
    <t>NRRBRCH10M079</t>
  </si>
  <si>
    <t>NRRBRCH10M080</t>
  </si>
  <si>
    <t>NRRBRCH10M081</t>
  </si>
  <si>
    <t>NRRBRCH10M082</t>
  </si>
  <si>
    <t>NRRBRCH10M083</t>
  </si>
  <si>
    <t>NRRBRCH10M084</t>
  </si>
  <si>
    <t>NRRBRCH10M085</t>
  </si>
  <si>
    <t>NRRBRCH10F000</t>
  </si>
  <si>
    <t>NRRBRCH10F001</t>
  </si>
  <si>
    <t>NRRBRCH10F002</t>
  </si>
  <si>
    <t>NRRBRCH10F003</t>
  </si>
  <si>
    <t>NRRBRCH10F004</t>
  </si>
  <si>
    <t>NRRBRCH10F005</t>
  </si>
  <si>
    <t>NRRBRCH10F006</t>
  </si>
  <si>
    <t>NRRBRCH10F007</t>
  </si>
  <si>
    <t>NRRBRCH10F008</t>
  </si>
  <si>
    <t>NRRBRCH10F009</t>
  </si>
  <si>
    <t>NRRBRCH10F010</t>
  </si>
  <si>
    <t>NRRBRCH10F011</t>
  </si>
  <si>
    <t>NRRBRCH10F012</t>
  </si>
  <si>
    <t>NRRBRCH10F013</t>
  </si>
  <si>
    <t>NRRBRCH10F014</t>
  </si>
  <si>
    <t>NRRBRCH10F015</t>
  </si>
  <si>
    <t>NRRBRCH10F016</t>
  </si>
  <si>
    <t>NRRBRCH10F017</t>
  </si>
  <si>
    <t>NRRBRCH10F018</t>
  </si>
  <si>
    <t>NRRBRCH10F019</t>
  </si>
  <si>
    <t>NRRBRCH10F020</t>
  </si>
  <si>
    <t>NRRBRCH10F021</t>
  </si>
  <si>
    <t>NRRBRCH10F022</t>
  </si>
  <si>
    <t>NRRBRCH10F023</t>
  </si>
  <si>
    <t>NRRBRCH10F024</t>
  </si>
  <si>
    <t>NRRBRCH10F025</t>
  </si>
  <si>
    <t>NRRBRCH10F026</t>
  </si>
  <si>
    <t>NRRBRCH10F027</t>
  </si>
  <si>
    <t>NRRBRCH10F028</t>
  </si>
  <si>
    <t>NRRBRCH10F029</t>
  </si>
  <si>
    <t>NRRBRCH10F030</t>
  </si>
  <si>
    <t>NRRBRCH10F031</t>
  </si>
  <si>
    <t>NRRBRCH10F032</t>
  </si>
  <si>
    <t>NRRBRCH10F033</t>
  </si>
  <si>
    <t>NRRBRCH10F034</t>
  </si>
  <si>
    <t>NRRBRCH10F035</t>
  </si>
  <si>
    <t>NRRBRCH10F036</t>
  </si>
  <si>
    <t>NRRBRCH10F037</t>
  </si>
  <si>
    <t>NRRBRCH10F038</t>
  </si>
  <si>
    <t>NRRBRCH10F039</t>
  </si>
  <si>
    <t>NRRBRCH10F040</t>
  </si>
  <si>
    <t>NRRBRCH10F041</t>
  </si>
  <si>
    <t>NRRBRCH10F042</t>
  </si>
  <si>
    <t>NRRBRCH10F043</t>
  </si>
  <si>
    <t>NRRBRCH10F044</t>
  </si>
  <si>
    <t>NRRBRCH10F045</t>
  </si>
  <si>
    <t>NRRBRCH10F046</t>
  </si>
  <si>
    <t>NRRBRCH10F047</t>
  </si>
  <si>
    <t>NRRBRCH10F048</t>
  </si>
  <si>
    <t>NRRBRCH10F049</t>
  </si>
  <si>
    <t>NRRBRCH10F050</t>
  </si>
  <si>
    <t>NRRBRCH10F051</t>
  </si>
  <si>
    <t>NRRBRCH10F052</t>
  </si>
  <si>
    <t>NRRBRCH10F053</t>
  </si>
  <si>
    <t>NRRBRCH10F054</t>
  </si>
  <si>
    <t>NRRBRCH10F055</t>
  </si>
  <si>
    <t>NRRBRCH10F056</t>
  </si>
  <si>
    <t>NRRBRCH10F057</t>
  </si>
  <si>
    <t>NRRBRCH10F058</t>
  </si>
  <si>
    <t>NRRBRCH10F059</t>
  </si>
  <si>
    <t>NRRBRCH10F060</t>
  </si>
  <si>
    <t>NRRBRCH10F061</t>
  </si>
  <si>
    <t>NRRBRCH10F062</t>
  </si>
  <si>
    <t>NRRBRCH10F063</t>
  </si>
  <si>
    <t>NRRBRCH10F064</t>
  </si>
  <si>
    <t>NRRBRCH10F065</t>
  </si>
  <si>
    <t>NRRBRCH10F066</t>
  </si>
  <si>
    <t>NRRBRCH10F067</t>
  </si>
  <si>
    <t>NRRBRCH10F068</t>
  </si>
  <si>
    <t>NRRBRCH10F069</t>
  </si>
  <si>
    <t>NRRBRCH10F070</t>
  </si>
  <si>
    <t>NRRBRCH10F071</t>
  </si>
  <si>
    <t>NRRBRCH10F072</t>
  </si>
  <si>
    <t>NRRBRCH10F073</t>
  </si>
  <si>
    <t>NRRBRCH10F074</t>
  </si>
  <si>
    <t>NRRBRCH10F075</t>
  </si>
  <si>
    <t>NRRBRCH10F076</t>
  </si>
  <si>
    <t>NRRBRCH10F077</t>
  </si>
  <si>
    <t>NRRBRCH10F078</t>
  </si>
  <si>
    <t>NRRBRCH10F079</t>
  </si>
  <si>
    <t>NRRBRCH10F080</t>
  </si>
  <si>
    <t>NRRBRCH10F081</t>
  </si>
  <si>
    <t>NRRBRCH10F082</t>
  </si>
  <si>
    <t>NRRBRCH10F083</t>
  </si>
  <si>
    <t>NRRBRCH10F084</t>
  </si>
  <si>
    <t>NRRBRCH10F085</t>
  </si>
  <si>
    <t>NRRBRCH10AM000</t>
  </si>
  <si>
    <t>NRRBRCH10A</t>
  </si>
  <si>
    <t>NRRBRCH10AM001</t>
  </si>
  <si>
    <t>NRRBRCH10AM002</t>
  </si>
  <si>
    <t>NRRBRCH10AM003</t>
  </si>
  <si>
    <t>NRRBRCH10AM004</t>
  </si>
  <si>
    <t>NRRBRCH10AM005</t>
  </si>
  <si>
    <t>NRRBRCH10AM006</t>
  </si>
  <si>
    <t>NRRBRCH10AM007</t>
  </si>
  <si>
    <t>NRRBRCH10AM008</t>
  </si>
  <si>
    <t>NRRBRCH10AM009</t>
  </si>
  <si>
    <t>NRRBRCH10AM010</t>
  </si>
  <si>
    <t>NRRBRCH10AM011</t>
  </si>
  <si>
    <t>NRRBRCH10AM012</t>
  </si>
  <si>
    <t>NRRBRCH10AM013</t>
  </si>
  <si>
    <t>NRRBRCH10AM014</t>
  </si>
  <si>
    <t>NRRBRCH10AM015</t>
  </si>
  <si>
    <t>NRRBRCH10AM016</t>
  </si>
  <si>
    <t>NRRBRCH10AM017</t>
  </si>
  <si>
    <t>NRRBRCH10AM018</t>
  </si>
  <si>
    <t>NRRBRCH10AM019</t>
  </si>
  <si>
    <t>NRRBRCH10AM020</t>
  </si>
  <si>
    <t>NRRBRCH10AM021</t>
  </si>
  <si>
    <t>NRRBRCH10AM022</t>
  </si>
  <si>
    <t>NRRBRCH10AM023</t>
  </si>
  <si>
    <t>NRRBRCH10AM024</t>
  </si>
  <si>
    <t>NRRBRCH10AM025</t>
  </si>
  <si>
    <t>NRRBRCH10AM026</t>
  </si>
  <si>
    <t>NRRBRCH10AM027</t>
  </si>
  <si>
    <t>NRRBRCH10AM028</t>
  </si>
  <si>
    <t>NRRBRCH10AM029</t>
  </si>
  <si>
    <t>NRRBRCH10AM030</t>
  </si>
  <si>
    <t>NRRBRCH10AM031</t>
  </si>
  <si>
    <t>NRRBRCH10AM032</t>
  </si>
  <si>
    <t>NRRBRCH10AM033</t>
  </si>
  <si>
    <t>NRRBRCH10AM034</t>
  </si>
  <si>
    <t>NRRBRCH10AM035</t>
  </si>
  <si>
    <t>NRRBRCH10AM036</t>
  </si>
  <si>
    <t>NRRBRCH10AM037</t>
  </si>
  <si>
    <t>NRRBRCH10AM038</t>
  </si>
  <si>
    <t>NRRBRCH10AM039</t>
  </si>
  <si>
    <t>NRRBRCH10AM040</t>
  </si>
  <si>
    <t>NRRBRCH10AM041</t>
  </si>
  <si>
    <t>NRRBRCH10AM042</t>
  </si>
  <si>
    <t>NRRBRCH10AM043</t>
  </si>
  <si>
    <t>NRRBRCH10AM044</t>
  </si>
  <si>
    <t>NRRBRCH10AM045</t>
  </si>
  <si>
    <t>NRRBRCH10AM046</t>
  </si>
  <si>
    <t>NRRBRCH10AM047</t>
  </si>
  <si>
    <t>NRRBRCH10AM048</t>
  </si>
  <si>
    <t>NRRBRCH10AM049</t>
  </si>
  <si>
    <t>NRRBRCH10AM050</t>
  </si>
  <si>
    <t>NRRBRCH10AM051</t>
  </si>
  <si>
    <t>NRRBRCH10AM052</t>
  </si>
  <si>
    <t>NRRBRCH10AM053</t>
  </si>
  <si>
    <t>NRRBRCH10AM054</t>
  </si>
  <si>
    <t>NRRBRCH10AM055</t>
  </si>
  <si>
    <t>NRRBRCH10AM056</t>
  </si>
  <si>
    <t>NRRBRCH10AM057</t>
  </si>
  <si>
    <t>NRRBRCH10AM058</t>
  </si>
  <si>
    <t>NRRBRCH10AM059</t>
  </si>
  <si>
    <t>NRRBRCH10AM060</t>
  </si>
  <si>
    <t>NRRBRCH10AM061</t>
  </si>
  <si>
    <t>NRRBRCH10AM062</t>
  </si>
  <si>
    <t>NRRBRCH10AM063</t>
  </si>
  <si>
    <t>NRRBRCH10AM064</t>
  </si>
  <si>
    <t>NRRBRCH10AM065</t>
  </si>
  <si>
    <t>NRRBRCH10AM066</t>
  </si>
  <si>
    <t>NRRBRCH10AM067</t>
  </si>
  <si>
    <t>NRRBRCH10AM068</t>
  </si>
  <si>
    <t>NRRBRCH10AM069</t>
  </si>
  <si>
    <t>NRRBRCH10AM070</t>
  </si>
  <si>
    <t>NRRBRCH10AM071</t>
  </si>
  <si>
    <t>NRRBRCH10AM072</t>
  </si>
  <si>
    <t>NRRBRCH10AM073</t>
  </si>
  <si>
    <t>NRRBRCH10AM074</t>
  </si>
  <si>
    <t>NRRBRCH10AM075</t>
  </si>
  <si>
    <t>NRRBRCH10AM076</t>
  </si>
  <si>
    <t>NRRBRCH10AM077</t>
  </si>
  <si>
    <t>NRRBRCH10AM078</t>
  </si>
  <si>
    <t>NRRBRCH10AM079</t>
  </si>
  <si>
    <t>NRRBRCH10AM080</t>
  </si>
  <si>
    <t>NRRBRCH10AM081</t>
  </si>
  <si>
    <t>NRRBRCH10AM082</t>
  </si>
  <si>
    <t>NRRBRCH10AM083</t>
  </si>
  <si>
    <t>NRRBRCH10AM084</t>
  </si>
  <si>
    <t>NRRBRCH10AM085</t>
  </si>
  <si>
    <t>NRRBRCH10AF000</t>
  </si>
  <si>
    <t>NRRBRCH10AF001</t>
  </si>
  <si>
    <t>NRRBRCH10AF002</t>
  </si>
  <si>
    <t>NRRBRCH10AF003</t>
  </si>
  <si>
    <t>NRRBRCH10AF004</t>
  </si>
  <si>
    <t>NRRBRCH10AF005</t>
  </si>
  <si>
    <t>NRRBRCH10AF006</t>
  </si>
  <si>
    <t>NRRBRCH10AF007</t>
  </si>
  <si>
    <t>NRRBRCH10AF008</t>
  </si>
  <si>
    <t>NRRBRCH10AF009</t>
  </si>
  <si>
    <t>NRRBRCH10AF010</t>
  </si>
  <si>
    <t>NRRBRCH10AF011</t>
  </si>
  <si>
    <t>NRRBRCH10AF012</t>
  </si>
  <si>
    <t>NRRBRCH10AF013</t>
  </si>
  <si>
    <t>NRRBRCH10AF014</t>
  </si>
  <si>
    <t>NRRBRCH10AF015</t>
  </si>
  <si>
    <t>NRRBRCH10AF016</t>
  </si>
  <si>
    <t>NRRBRCH10AF017</t>
  </si>
  <si>
    <t>NRRBRCH10AF018</t>
  </si>
  <si>
    <t>NRRBRCH10AF019</t>
  </si>
  <si>
    <t>NRRBRCH10AF020</t>
  </si>
  <si>
    <t>NRRBRCH10AF021</t>
  </si>
  <si>
    <t>NRRBRCH10AF022</t>
  </si>
  <si>
    <t>NRRBRCH10AF023</t>
  </si>
  <si>
    <t>NRRBRCH10AF024</t>
  </si>
  <si>
    <t>NRRBRCH10AF025</t>
  </si>
  <si>
    <t>NRRBRCH10AF026</t>
  </si>
  <si>
    <t>NRRBRCH10AF027</t>
  </si>
  <si>
    <t>NRRBRCH10AF028</t>
  </si>
  <si>
    <t>NRRBRCH10AF029</t>
  </si>
  <si>
    <t>NRRBRCH10AF030</t>
  </si>
  <si>
    <t>NRRBRCH10AF031</t>
  </si>
  <si>
    <t>NRRBRCH10AF032</t>
  </si>
  <si>
    <t>NRRBRCH10AF033</t>
  </si>
  <si>
    <t>NRRBRCH10AF034</t>
  </si>
  <si>
    <t>NRRBRCH10AF035</t>
  </si>
  <si>
    <t>NRRBRCH10AF036</t>
  </si>
  <si>
    <t>NRRBRCH10AF037</t>
  </si>
  <si>
    <t>NRRBRCH10AF038</t>
  </si>
  <si>
    <t>NRRBRCH10AF039</t>
  </si>
  <si>
    <t>NRRBRCH10AF040</t>
  </si>
  <si>
    <t>NRRBRCH10AF041</t>
  </si>
  <si>
    <t>NRRBRCH10AF042</t>
  </si>
  <si>
    <t>NRRBRCH10AF043</t>
  </si>
  <si>
    <t>NRRBRCH10AF044</t>
  </si>
  <si>
    <t>NRRBRCH10AF045</t>
  </si>
  <si>
    <t>NRRBRCH10AF046</t>
  </si>
  <si>
    <t>NRRBRCH10AF047</t>
  </si>
  <si>
    <t>NRRBRCH10AF048</t>
  </si>
  <si>
    <t>NRRBRCH10AF049</t>
  </si>
  <si>
    <t>NRRBRCH10AF050</t>
  </si>
  <si>
    <t>NRRBRCH10AF051</t>
  </si>
  <si>
    <t>NRRBRCH10AF052</t>
  </si>
  <si>
    <t>NRRBRCH10AF053</t>
  </si>
  <si>
    <t>NRRBRCH10AF054</t>
  </si>
  <si>
    <t>NRRBRCH10AF055</t>
  </si>
  <si>
    <t>NRRBRCH10AF056</t>
  </si>
  <si>
    <t>NRRBRCH10AF057</t>
  </si>
  <si>
    <t>NRRBRCH10AF058</t>
  </si>
  <si>
    <t>NRRBRCH10AF059</t>
  </si>
  <si>
    <t>NRRBRCH10AF060</t>
  </si>
  <si>
    <t>NRRBRCH10AF061</t>
  </si>
  <si>
    <t>NRRBRCH10AF062</t>
  </si>
  <si>
    <t>NRRBRCH10AF063</t>
  </si>
  <si>
    <t>NRRBRCH10AF064</t>
  </si>
  <si>
    <t>NRRBRCH10AF065</t>
  </si>
  <si>
    <t>NRRBRCH10AF066</t>
  </si>
  <si>
    <t>NRRBRCH10AF067</t>
  </si>
  <si>
    <t>NRRBRCH10AF068</t>
  </si>
  <si>
    <t>NRRBRCH10AF069</t>
  </si>
  <si>
    <t>NRRBRCH10AF070</t>
  </si>
  <si>
    <t>NRRBRCH10AF071</t>
  </si>
  <si>
    <t>NRRBRCH10AF072</t>
  </si>
  <si>
    <t>NRRBRCH10AF073</t>
  </si>
  <si>
    <t>NRRBRCH10AF074</t>
  </si>
  <si>
    <t>NRRBRCH10AF075</t>
  </si>
  <si>
    <t>NRRBRCH10AF076</t>
  </si>
  <si>
    <t>NRRBRCH10AF077</t>
  </si>
  <si>
    <t>NRRBRCH10AF078</t>
  </si>
  <si>
    <t>NRRBRCH10AF079</t>
  </si>
  <si>
    <t>NRRBRCH10AF080</t>
  </si>
  <si>
    <t>NRRBRCH10AF081</t>
  </si>
  <si>
    <t>NRRBRCH10AF082</t>
  </si>
  <si>
    <t>NRRBRCH10AF083</t>
  </si>
  <si>
    <t>NRRBRCH10AF084</t>
  </si>
  <si>
    <t>NRRBRCH10AF085</t>
  </si>
  <si>
    <t>NRRBRCC10M000</t>
  </si>
  <si>
    <t>NRRBRCC10</t>
  </si>
  <si>
    <t>NRRBRCC10M001</t>
  </si>
  <si>
    <t>NRRBRCC10M002</t>
  </si>
  <si>
    <t>NRRBRCC10M003</t>
  </si>
  <si>
    <t>NRRBRCC10M004</t>
  </si>
  <si>
    <t>NRRBRCC10M005</t>
  </si>
  <si>
    <t>NRRBRCC10M006</t>
  </si>
  <si>
    <t>NRRBRCC10M007</t>
  </si>
  <si>
    <t>NRRBRCC10M008</t>
  </si>
  <si>
    <t>NRRBRCC10M009</t>
  </si>
  <si>
    <t>NRRBRCC10M010</t>
  </si>
  <si>
    <t>NRRBRCC10M011</t>
  </si>
  <si>
    <t>NRRBRCC10M012</t>
  </si>
  <si>
    <t>NRRBRCC10M013</t>
  </si>
  <si>
    <t>NRRBRCC10M014</t>
  </si>
  <si>
    <t>NRRBRCC10M015</t>
  </si>
  <si>
    <t>NRRBRCC10M016</t>
  </si>
  <si>
    <t>NRRBRCC10M017</t>
  </si>
  <si>
    <t>NRRBRCC10M018</t>
  </si>
  <si>
    <t>NRRBRCC10M019</t>
  </si>
  <si>
    <t>NRRBRCC10M020</t>
  </si>
  <si>
    <t>NRRBRCC10M021</t>
  </si>
  <si>
    <t>NRRBRCC10M022</t>
  </si>
  <si>
    <t>NRRBRCC10M023</t>
  </si>
  <si>
    <t>NRRBRCC10M024</t>
  </si>
  <si>
    <t>NRRBRCC10M025</t>
  </si>
  <si>
    <t>NRRBRCC10M026</t>
  </si>
  <si>
    <t>NRRBRCC10M027</t>
  </si>
  <si>
    <t>NRRBRCC10M028</t>
  </si>
  <si>
    <t>NRRBRCC10M029</t>
  </si>
  <si>
    <t>NRRBRCC10M030</t>
  </si>
  <si>
    <t>NRRBRCC10M031</t>
  </si>
  <si>
    <t>NRRBRCC10M032</t>
  </si>
  <si>
    <t>NRRBRCC10M033</t>
  </si>
  <si>
    <t>NRRBRCC10M034</t>
  </si>
  <si>
    <t>NRRBRCC10M035</t>
  </si>
  <si>
    <t>NRRBRCC10M036</t>
  </si>
  <si>
    <t>NRRBRCC10M037</t>
  </si>
  <si>
    <t>NRRBRCC10M038</t>
  </si>
  <si>
    <t>NRRBRCC10M039</t>
  </si>
  <si>
    <t>NRRBRCC10M040</t>
  </si>
  <si>
    <t>NRRBRCC10M041</t>
  </si>
  <si>
    <t>NRRBRCC10M042</t>
  </si>
  <si>
    <t>NRRBRCC10M043</t>
  </si>
  <si>
    <t>NRRBRCC10M044</t>
  </si>
  <si>
    <t>NRRBRCC10M045</t>
  </si>
  <si>
    <t>NRRBRCC10M046</t>
  </si>
  <si>
    <t>NRRBRCC10M047</t>
  </si>
  <si>
    <t>NRRBRCC10M048</t>
  </si>
  <si>
    <t>NRRBRCC10M049</t>
  </si>
  <si>
    <t>NRRBRCC10M050</t>
  </si>
  <si>
    <t>NRRBRCC10M051</t>
  </si>
  <si>
    <t>NRRBRCC10M052</t>
  </si>
  <si>
    <t>NRRBRCC10M053</t>
  </si>
  <si>
    <t>NRRBRCC10M054</t>
  </si>
  <si>
    <t>NRRBRCC10M055</t>
  </si>
  <si>
    <t>NRRBRCC10M056</t>
  </si>
  <si>
    <t>NRRBRCC10M057</t>
  </si>
  <si>
    <t>NRRBRCC10M058</t>
  </si>
  <si>
    <t>NRRBRCC10M059</t>
  </si>
  <si>
    <t>NRRBRCC10M060</t>
  </si>
  <si>
    <t>NRRBRCC10M061</t>
  </si>
  <si>
    <t>NRRBRCC10M062</t>
  </si>
  <si>
    <t>NRRBRCC10M063</t>
  </si>
  <si>
    <t>NRRBRCC10M064</t>
  </si>
  <si>
    <t>NRRBRCC10M065</t>
  </si>
  <si>
    <t>NRRBRCC10M066</t>
  </si>
  <si>
    <t>NRRBRCC10M067</t>
  </si>
  <si>
    <t>NRRBRCC10M068</t>
  </si>
  <si>
    <t>NRRBRCC10M069</t>
  </si>
  <si>
    <t>NRRBRCC10M070</t>
  </si>
  <si>
    <t>NRRBRCC10M071</t>
  </si>
  <si>
    <t>NRRBRCC10M072</t>
  </si>
  <si>
    <t>NRRBRCC10M073</t>
  </si>
  <si>
    <t>NRRBRCC10M074</t>
  </si>
  <si>
    <t>NRRBRCC10M075</t>
  </si>
  <si>
    <t>NRRBRCC10M076</t>
  </si>
  <si>
    <t>NRRBRCC10M077</t>
  </si>
  <si>
    <t>NRRBRCC10M078</t>
  </si>
  <si>
    <t>NRRBRCC10M079</t>
  </si>
  <si>
    <t>NRRBRCC10M080</t>
  </si>
  <si>
    <t>NRRBRCC10M081</t>
  </si>
  <si>
    <t>NRRBRCC10M082</t>
  </si>
  <si>
    <t>NRRBRCC10M083</t>
  </si>
  <si>
    <t>NRRBRCC10M084</t>
  </si>
  <si>
    <t>NRRBRCC10M085</t>
  </si>
  <si>
    <t>NRRBRCC10F000</t>
  </si>
  <si>
    <t>NRRBRCC10F001</t>
  </si>
  <si>
    <t>NRRBRCC10F002</t>
  </si>
  <si>
    <t>NRRBRCC10F003</t>
  </si>
  <si>
    <t>NRRBRCC10F004</t>
  </si>
  <si>
    <t>NRRBRCC10F005</t>
  </si>
  <si>
    <t>NRRBRCC10F006</t>
  </si>
  <si>
    <t>NRRBRCC10F007</t>
  </si>
  <si>
    <t>NRRBRCC10F008</t>
  </si>
  <si>
    <t>NRRBRCC10F009</t>
  </si>
  <si>
    <t>NRRBRCC10F010</t>
  </si>
  <si>
    <t>NRRBRCC10F011</t>
  </si>
  <si>
    <t>NRRBRCC10F012</t>
  </si>
  <si>
    <t>NRRBRCC10F013</t>
  </si>
  <si>
    <t>NRRBRCC10F014</t>
  </si>
  <si>
    <t>NRRBRCC10F015</t>
  </si>
  <si>
    <t>NRRBRCC10F016</t>
  </si>
  <si>
    <t>NRRBRCC10F017</t>
  </si>
  <si>
    <t>NRRBRCC10F018</t>
  </si>
  <si>
    <t>NRRBRCC10F019</t>
  </si>
  <si>
    <t>NRRBRCC10F020</t>
  </si>
  <si>
    <t>NRRBRCC10F021</t>
  </si>
  <si>
    <t>NRRBRCC10F022</t>
  </si>
  <si>
    <t>NRRBRCC10F023</t>
  </si>
  <si>
    <t>NRRBRCC10F024</t>
  </si>
  <si>
    <t>NRRBRCC10F025</t>
  </si>
  <si>
    <t>NRRBRCC10F026</t>
  </si>
  <si>
    <t>NRRBRCC10F027</t>
  </si>
  <si>
    <t>NRRBRCC10F028</t>
  </si>
  <si>
    <t>NRRBRCC10F029</t>
  </si>
  <si>
    <t>NRRBRCC10F030</t>
  </si>
  <si>
    <t>NRRBRCC10F031</t>
  </si>
  <si>
    <t>NRRBRCC10F032</t>
  </si>
  <si>
    <t>NRRBRCC10F033</t>
  </si>
  <si>
    <t>NRRBRCC10F034</t>
  </si>
  <si>
    <t>NRRBRCC10F035</t>
  </si>
  <si>
    <t>NRRBRCC10F036</t>
  </si>
  <si>
    <t>NRRBRCC10F037</t>
  </si>
  <si>
    <t>NRRBRCC10F038</t>
  </si>
  <si>
    <t>NRRBRCC10F039</t>
  </si>
  <si>
    <t>NRRBRCC10F040</t>
  </si>
  <si>
    <t>NRRBRCC10F041</t>
  </si>
  <si>
    <t>NRRBRCC10F042</t>
  </si>
  <si>
    <t>NRRBRCC10F043</t>
  </si>
  <si>
    <t>NRRBRCC10F044</t>
  </si>
  <si>
    <t>NRRBRCC10F045</t>
  </si>
  <si>
    <t>NRRBRCC10F046</t>
  </si>
  <si>
    <t>NRRBRCC10F047</t>
  </si>
  <si>
    <t>NRRBRCC10F048</t>
  </si>
  <si>
    <t>NRRBRCC10F049</t>
  </si>
  <si>
    <t>NRRBRCC10F050</t>
  </si>
  <si>
    <t>NRRBRCC10F051</t>
  </si>
  <si>
    <t>NRRBRCC10F052</t>
  </si>
  <si>
    <t>NRRBRCC10F053</t>
  </si>
  <si>
    <t>NRRBRCC10F054</t>
  </si>
  <si>
    <t>NRRBRCC10F055</t>
  </si>
  <si>
    <t>NRRBRCC10F056</t>
  </si>
  <si>
    <t>NRRBRCC10F057</t>
  </si>
  <si>
    <t>NRRBRCC10F058</t>
  </si>
  <si>
    <t>NRRBRCC10F059</t>
  </si>
  <si>
    <t>NRRBRCC10F060</t>
  </si>
  <si>
    <t>NRRBRCC10F061</t>
  </si>
  <si>
    <t>NRRBRCC10F062</t>
  </si>
  <si>
    <t>NRRBRCC10F063</t>
  </si>
  <si>
    <t>NRRBRCC10F064</t>
  </si>
  <si>
    <t>NRRBRCC10F065</t>
  </si>
  <si>
    <t>NRRBRCC10F066</t>
  </si>
  <si>
    <t>NRRBRCC10F067</t>
  </si>
  <si>
    <t>NRRBRCC10F068</t>
  </si>
  <si>
    <t>NRRBRCC10F069</t>
  </si>
  <si>
    <t>NRRBRCC10F070</t>
  </si>
  <si>
    <t>NRRBRCC10F071</t>
  </si>
  <si>
    <t>NRRBRCC10F072</t>
  </si>
  <si>
    <t>NRRBRCC10F073</t>
  </si>
  <si>
    <t>NRRBRCC10F074</t>
  </si>
  <si>
    <t>NRRBRCC10F075</t>
  </si>
  <si>
    <t>NRRBRCC10F076</t>
  </si>
  <si>
    <t>NRRBRCC10F077</t>
  </si>
  <si>
    <t>NRRBRCC10F078</t>
  </si>
  <si>
    <t>NRRBRCC10F079</t>
  </si>
  <si>
    <t>NRRBRCC10F080</t>
  </si>
  <si>
    <t>NRRBRCC10F081</t>
  </si>
  <si>
    <t>NRRBRCC10F082</t>
  </si>
  <si>
    <t>NRRBRCC10F083</t>
  </si>
  <si>
    <t>NRRBRCC10F084</t>
  </si>
  <si>
    <t>NRRBRCC10F085</t>
  </si>
  <si>
    <t>NRRBRCC10AM000</t>
  </si>
  <si>
    <t>NRRBRCC10A</t>
  </si>
  <si>
    <t>NRRBRCC10AM001</t>
  </si>
  <si>
    <t>NRRBRCC10AM002</t>
  </si>
  <si>
    <t>NRRBRCC10AM003</t>
  </si>
  <si>
    <t>NRRBRCC10AM004</t>
  </si>
  <si>
    <t>NRRBRCC10AM005</t>
  </si>
  <si>
    <t>NRRBRCC10AM006</t>
  </si>
  <si>
    <t>NRRBRCC10AM007</t>
  </si>
  <si>
    <t>NRRBRCC10AM008</t>
  </si>
  <si>
    <t>NRRBRCC10AM009</t>
  </si>
  <si>
    <t>NRRBRCC10AM010</t>
  </si>
  <si>
    <t>NRRBRCC10AM011</t>
  </si>
  <si>
    <t>NRRBRCC10AM012</t>
  </si>
  <si>
    <t>NRRBRCC10AM013</t>
  </si>
  <si>
    <t>NRRBRCC10AM014</t>
  </si>
  <si>
    <t>NRRBRCC10AM015</t>
  </si>
  <si>
    <t>NRRBRCC10AM016</t>
  </si>
  <si>
    <t>NRRBRCC10AM017</t>
  </si>
  <si>
    <t>NRRBRCC10AM018</t>
  </si>
  <si>
    <t>NRRBRCC10AM019</t>
  </si>
  <si>
    <t>NRRBRCC10AM020</t>
  </si>
  <si>
    <t>NRRBRCC10AM021</t>
  </si>
  <si>
    <t>NRRBRCC10AM022</t>
  </si>
  <si>
    <t>NRRBRCC10AM023</t>
  </si>
  <si>
    <t>NRRBRCC10AM024</t>
  </si>
  <si>
    <t>NRRBRCC10AM025</t>
  </si>
  <si>
    <t>NRRBRCC10AM026</t>
  </si>
  <si>
    <t>NRRBRCC10AM027</t>
  </si>
  <si>
    <t>NRRBRCC10AM028</t>
  </si>
  <si>
    <t>NRRBRCC10AM029</t>
  </si>
  <si>
    <t>NRRBRCC10AM030</t>
  </si>
  <si>
    <t>NRRBRCC10AM031</t>
  </si>
  <si>
    <t>NRRBRCC10AM032</t>
  </si>
  <si>
    <t>NRRBRCC10AM033</t>
  </si>
  <si>
    <t>NRRBRCC10AM034</t>
  </si>
  <si>
    <t>NRRBRCC10AM035</t>
  </si>
  <si>
    <t>NRRBRCC10AM036</t>
  </si>
  <si>
    <t>NRRBRCC10AM037</t>
  </si>
  <si>
    <t>NRRBRCC10AM038</t>
  </si>
  <si>
    <t>NRRBRCC10AM039</t>
  </si>
  <si>
    <t>NRRBRCC10AM040</t>
  </si>
  <si>
    <t>NRRBRCC10AM041</t>
  </si>
  <si>
    <t>NRRBRCC10AM042</t>
  </si>
  <si>
    <t>NRRBRCC10AM043</t>
  </si>
  <si>
    <t>NRRBRCC10AM044</t>
  </si>
  <si>
    <t>NRRBRCC10AM045</t>
  </si>
  <si>
    <t>NRRBRCC10AM046</t>
  </si>
  <si>
    <t>NRRBRCC10AM047</t>
  </si>
  <si>
    <t>NRRBRCC10AM048</t>
  </si>
  <si>
    <t>NRRBRCC10AM049</t>
  </si>
  <si>
    <t>NRRBRCC10AM050</t>
  </si>
  <si>
    <t>NRRBRCC10AM051</t>
  </si>
  <si>
    <t>NRRBRCC10AM052</t>
  </si>
  <si>
    <t>NRRBRCC10AM053</t>
  </si>
  <si>
    <t>NRRBRCC10AM054</t>
  </si>
  <si>
    <t>NRRBRCC10AM055</t>
  </si>
  <si>
    <t>NRRBRCC10AM056</t>
  </si>
  <si>
    <t>NRRBRCC10AM057</t>
  </si>
  <si>
    <t>NRRBRCC10AM058</t>
  </si>
  <si>
    <t>NRRBRCC10AM059</t>
  </si>
  <si>
    <t>NRRBRCC10AM060</t>
  </si>
  <si>
    <t>NRRBRCC10AM061</t>
  </si>
  <si>
    <t>NRRBRCC10AM062</t>
  </si>
  <si>
    <t>NRRBRCC10AM063</t>
  </si>
  <si>
    <t>NRRBRCC10AM064</t>
  </si>
  <si>
    <t>NRRBRCC10AM065</t>
  </si>
  <si>
    <t>NRRBRCC10AM066</t>
  </si>
  <si>
    <t>NRRBRCC10AM067</t>
  </si>
  <si>
    <t>NRRBRCC10AM068</t>
  </si>
  <si>
    <t>NRRBRCC10AM069</t>
  </si>
  <si>
    <t>NRRBRCC10AM070</t>
  </si>
  <si>
    <t>NRRBRCC10AM071</t>
  </si>
  <si>
    <t>NRRBRCC10AM072</t>
  </si>
  <si>
    <t>NRRBRCC10AM073</t>
  </si>
  <si>
    <t>NRRBRCC10AM074</t>
  </si>
  <si>
    <t>NRRBRCC10AM075</t>
  </si>
  <si>
    <t>NRRBRCC10AM076</t>
  </si>
  <si>
    <t>NRRBRCC10AM077</t>
  </si>
  <si>
    <t>NRRBRCC10AM078</t>
  </si>
  <si>
    <t>NRRBRCC10AM079</t>
  </si>
  <si>
    <t>NRRBRCC10AM080</t>
  </si>
  <si>
    <t>NRRBRCC10AM081</t>
  </si>
  <si>
    <t>NRRBRCC10AM082</t>
  </si>
  <si>
    <t>NRRBRCC10AM083</t>
  </si>
  <si>
    <t>NRRBRCC10AM084</t>
  </si>
  <si>
    <t>NRRBRCC10AM085</t>
  </si>
  <si>
    <t>NRRBRCC10AF000</t>
  </si>
  <si>
    <t>NRRBRCC10AF001</t>
  </si>
  <si>
    <t>NRRBRCC10AF002</t>
  </si>
  <si>
    <t>NRRBRCC10AF003</t>
  </si>
  <si>
    <t>NRRBRCC10AF004</t>
  </si>
  <si>
    <t>NRRBRCC10AF005</t>
  </si>
  <si>
    <t>NRRBRCC10AF006</t>
  </si>
  <si>
    <t>NRRBRCC10AF007</t>
  </si>
  <si>
    <t>NRRBRCC10AF008</t>
  </si>
  <si>
    <t>NRRBRCC10AF009</t>
  </si>
  <si>
    <t>NRRBRCC10AF010</t>
  </si>
  <si>
    <t>NRRBRCC10AF011</t>
  </si>
  <si>
    <t>NRRBRCC10AF012</t>
  </si>
  <si>
    <t>NRRBRCC10AF013</t>
  </si>
  <si>
    <t>NRRBRCC10AF014</t>
  </si>
  <si>
    <t>NRRBRCC10AF015</t>
  </si>
  <si>
    <t>NRRBRCC10AF016</t>
  </si>
  <si>
    <t>NRRBRCC10AF017</t>
  </si>
  <si>
    <t>NRRBRCC10AF018</t>
  </si>
  <si>
    <t>NRRBRCC10AF019</t>
  </si>
  <si>
    <t>NRRBRCC10AF020</t>
  </si>
  <si>
    <t>NRRBRCC10AF021</t>
  </si>
  <si>
    <t>NRRBRCC10AF022</t>
  </si>
  <si>
    <t>NRRBRCC10AF023</t>
  </si>
  <si>
    <t>NRRBRCC10AF024</t>
  </si>
  <si>
    <t>NRRBRCC10AF025</t>
  </si>
  <si>
    <t>NRRBRCC10AF026</t>
  </si>
  <si>
    <t>NRRBRCC10AF027</t>
  </si>
  <si>
    <t>NRRBRCC10AF028</t>
  </si>
  <si>
    <t>NRRBRCC10AF029</t>
  </si>
  <si>
    <t>NRRBRCC10AF030</t>
  </si>
  <si>
    <t>NRRBRCC10AF031</t>
  </si>
  <si>
    <t>NRRBRCC10AF032</t>
  </si>
  <si>
    <t>NRRBRCC10AF033</t>
  </si>
  <si>
    <t>NRRBRCC10AF034</t>
  </si>
  <si>
    <t>NRRBRCC10AF035</t>
  </si>
  <si>
    <t>NRRBRCC10AF036</t>
  </si>
  <si>
    <t>NRRBRCC10AF037</t>
  </si>
  <si>
    <t>NRRBRCC10AF038</t>
  </si>
  <si>
    <t>NRRBRCC10AF039</t>
  </si>
  <si>
    <t>NRRBRCC10AF040</t>
  </si>
  <si>
    <t>NRRBRCC10AF041</t>
  </si>
  <si>
    <t>NRRBRCC10AF042</t>
  </si>
  <si>
    <t>NRRBRCC10AF043</t>
  </si>
  <si>
    <t>NRRBRCC10AF044</t>
  </si>
  <si>
    <t>NRRBRCC10AF045</t>
  </si>
  <si>
    <t>NRRBRCC10AF046</t>
  </si>
  <si>
    <t>NRRBRCC10AF047</t>
  </si>
  <si>
    <t>NRRBRCC10AF048</t>
  </si>
  <si>
    <t>NRRBRCC10AF049</t>
  </si>
  <si>
    <t>NRRBRCC10AF050</t>
  </si>
  <si>
    <t>NRRBRCC10AF051</t>
  </si>
  <si>
    <t>NRRBRCC10AF052</t>
  </si>
  <si>
    <t>NRRBRCC10AF053</t>
  </si>
  <si>
    <t>NRRBRCC10AF054</t>
  </si>
  <si>
    <t>NRRBRCC10AF055</t>
  </si>
  <si>
    <t>NRRBRCC10AF056</t>
  </si>
  <si>
    <t>NRRBRCC10AF057</t>
  </si>
  <si>
    <t>NRRBRCC10AF058</t>
  </si>
  <si>
    <t>NRRBRCC10AF059</t>
  </si>
  <si>
    <t>NRRBRCC10AF060</t>
  </si>
  <si>
    <t>NRRBRCC10AF061</t>
  </si>
  <si>
    <t>NRRBRCC10AF062</t>
  </si>
  <si>
    <t>NRRBRCC10AF063</t>
  </si>
  <si>
    <t>NRRBRCC10AF064</t>
  </si>
  <si>
    <t>NRRBRCC10AF065</t>
  </si>
  <si>
    <t>NRRBRCC10AF066</t>
  </si>
  <si>
    <t>NRRBRCC10AF067</t>
  </si>
  <si>
    <t>NRRBRCC10AF068</t>
  </si>
  <si>
    <t>NRRBRCC10AF069</t>
  </si>
  <si>
    <t>NRRBRCC10AF070</t>
  </si>
  <si>
    <t>NRRBRCC10AF071</t>
  </si>
  <si>
    <t>NRRBRCC10AF072</t>
  </si>
  <si>
    <t>NRRBRCC10AF073</t>
  </si>
  <si>
    <t>NRRBRCC10AF074</t>
  </si>
  <si>
    <t>NRRBRCC10AF075</t>
  </si>
  <si>
    <t>NRRBRCC10AF076</t>
  </si>
  <si>
    <t>NRRBRCC10AF077</t>
  </si>
  <si>
    <t>NRRBRCC10AF078</t>
  </si>
  <si>
    <t>NRRBRCC10AF079</t>
  </si>
  <si>
    <t>NRRBRCC10AF080</t>
  </si>
  <si>
    <t>NRRBRCC10AF081</t>
  </si>
  <si>
    <t>NRRBRCC10AF082</t>
  </si>
  <si>
    <t>NRRBRCC10AF083</t>
  </si>
  <si>
    <t>NRRBRCC10AF084</t>
  </si>
  <si>
    <t>NRRBRCC10AF085</t>
  </si>
</sst>
</file>

<file path=xl/styles.xml><?xml version="1.0" encoding="utf-8"?>
<styleSheet xmlns="http://schemas.openxmlformats.org/spreadsheetml/2006/main" xmlns:mc="http://schemas.openxmlformats.org/markup-compatibility/2006" xmlns:xr9="http://schemas.microsoft.com/office/spreadsheetml/2016/revision9" mc:Ignorable="xr9">
  <numFmts count="13">
    <numFmt numFmtId="41" formatCode="_(* #,##0_);_(* \(#,##0\);_(* &quot;-&quot;_);_(@_)"/>
    <numFmt numFmtId="42" formatCode="_(&quot;HK$&quot;* #,##0_);_(&quot;HK$&quot;* \(#,##0\);_(&quot;HK$&quot;* &quot;-&quot;_);_(@_)"/>
    <numFmt numFmtId="43" formatCode="_(* #,##0.00_);_(* \(#,##0.00\);_(* &quot;-&quot;??_);_(@_)"/>
    <numFmt numFmtId="176" formatCode="_(&quot;HK$&quot;* #,##0.00_);_(&quot;HK$&quot;* \(#,##0.00\);_(&quot;HK$&quot;* &quot;-&quot;??_);_(@_)"/>
    <numFmt numFmtId="177" formatCode="_(* #,##0_);_(* \(#,##0\);_(* &quot;-&quot;??_);_(@_)"/>
    <numFmt numFmtId="178" formatCode="#,##0.00_);\(#,##0.00\)"/>
    <numFmt numFmtId="179" formatCode="0.0%"/>
    <numFmt numFmtId="180" formatCode="#,##0.00_ "/>
    <numFmt numFmtId="181" formatCode="0_);[Red]\(0\)"/>
    <numFmt numFmtId="182" formatCode="0.00_);[Red]\(0.00\)"/>
    <numFmt numFmtId="183" formatCode="0.00000000_);[Red]\(0.00000000\)"/>
    <numFmt numFmtId="184" formatCode="[$-409]d\-mmm\-yy;@"/>
    <numFmt numFmtId="185" formatCode="0.00_ "/>
  </numFmts>
  <fonts count="62">
    <font>
      <sz val="12"/>
      <name val="Times New Roman"/>
      <charset val="134"/>
    </font>
    <font>
      <b/>
      <sz val="12"/>
      <name val="Times New Roman"/>
      <charset val="134"/>
    </font>
    <font>
      <sz val="12"/>
      <color indexed="10"/>
      <name val="Times New Roman"/>
      <charset val="134"/>
    </font>
    <font>
      <b/>
      <u/>
      <sz val="12"/>
      <name val="Times New Roman"/>
      <charset val="134"/>
    </font>
    <font>
      <b/>
      <i/>
      <u/>
      <sz val="12"/>
      <color rgb="FFFF0000"/>
      <name val="Times New Roman"/>
      <charset val="134"/>
    </font>
    <font>
      <b/>
      <sz val="12"/>
      <color rgb="FFFF0000"/>
      <name val="Times New Roman"/>
      <charset val="134"/>
    </font>
    <font>
      <i/>
      <u/>
      <sz val="12"/>
      <color rgb="FFFF0000"/>
      <name val="Times New Roman"/>
      <charset val="134"/>
    </font>
    <font>
      <b/>
      <sz val="12"/>
      <color rgb="FF0000FF"/>
      <name val="Times New Roman"/>
      <charset val="134"/>
    </font>
    <font>
      <b/>
      <sz val="12"/>
      <color indexed="12"/>
      <name val="Times New Roman"/>
      <charset val="134"/>
    </font>
    <font>
      <sz val="12"/>
      <color rgb="FF00B0F0"/>
      <name val="Times New Roman"/>
      <charset val="134"/>
    </font>
    <font>
      <sz val="20"/>
      <color theme="0"/>
      <name val="Times New Roman"/>
      <charset val="134"/>
    </font>
    <font>
      <b/>
      <sz val="16"/>
      <color rgb="FF00B0F0"/>
      <name val="Times New Roman"/>
      <charset val="134"/>
    </font>
    <font>
      <b/>
      <sz val="14"/>
      <color rgb="FF00B0F0"/>
      <name val="Wingdings"/>
      <charset val="2"/>
    </font>
    <font>
      <b/>
      <sz val="18"/>
      <color rgb="FF00B0F0"/>
      <name val="Times New Roman"/>
      <charset val="134"/>
    </font>
    <font>
      <sz val="14"/>
      <color theme="5" tint="-0.249977111117893"/>
      <name val="Times New Roman"/>
      <charset val="134"/>
    </font>
    <font>
      <b/>
      <sz val="16"/>
      <color theme="5" tint="-0.249977111117893"/>
      <name val="Times New Roman"/>
      <charset val="134"/>
    </font>
    <font>
      <sz val="12"/>
      <name val="細明體"/>
      <charset val="136"/>
    </font>
    <font>
      <sz val="12"/>
      <color theme="0"/>
      <name val="Times New Roman"/>
      <charset val="134"/>
    </font>
    <font>
      <sz val="12"/>
      <color theme="0" tint="-0.349986266670736"/>
      <name val="Times New Roman"/>
      <charset val="134"/>
    </font>
    <font>
      <b/>
      <sz val="12"/>
      <color rgb="FF00B050"/>
      <name val="Times New Roman"/>
      <charset val="134"/>
    </font>
    <font>
      <b/>
      <sz val="24"/>
      <name val="細明體"/>
      <charset val="136"/>
    </font>
    <font>
      <sz val="12"/>
      <color rgb="FFFF0000"/>
      <name val="Times New Roman"/>
      <charset val="134"/>
    </font>
    <font>
      <b/>
      <sz val="12"/>
      <name val="細明體"/>
      <charset val="136"/>
    </font>
    <font>
      <b/>
      <sz val="14"/>
      <color theme="0"/>
      <name val="Times New Roman"/>
      <charset val="134"/>
    </font>
    <font>
      <b/>
      <sz val="12"/>
      <color theme="0" tint="-0.349986266670736"/>
      <name val="Times New Roman"/>
      <charset val="134"/>
    </font>
    <font>
      <b/>
      <sz val="18"/>
      <name val="Times New Roman"/>
      <charset val="134"/>
    </font>
    <font>
      <sz val="12"/>
      <color theme="1"/>
      <name val="Times New Roman"/>
      <charset val="134"/>
    </font>
    <font>
      <sz val="12"/>
      <color theme="0" tint="-0.249977111117893"/>
      <name val="Times New Roman"/>
      <charset val="134"/>
    </font>
    <font>
      <sz val="12"/>
      <color rgb="FF00B050"/>
      <name val="Times New Roman"/>
      <charset val="134"/>
    </font>
    <font>
      <b/>
      <sz val="10"/>
      <name val="Arial"/>
      <charset val="134"/>
    </font>
    <font>
      <b/>
      <sz val="10"/>
      <name val="細明體"/>
      <charset val="136"/>
    </font>
    <font>
      <sz val="10"/>
      <name val="Arial"/>
      <charset val="134"/>
    </font>
    <font>
      <sz val="12"/>
      <color theme="0" tint="-0.499984740745262"/>
      <name val="Times New Roman"/>
      <charset val="134"/>
    </font>
    <font>
      <sz val="11"/>
      <color theme="1"/>
      <name val="宋体"/>
      <charset val="134"/>
      <scheme val="minor"/>
    </font>
    <font>
      <b/>
      <sz val="11"/>
      <color rgb="FFFA7D00"/>
      <name val="宋体"/>
      <charset val="134"/>
      <scheme val="minor"/>
    </font>
    <font>
      <sz val="11"/>
      <color rgb="FFFF0000"/>
      <name val="宋体"/>
      <charset val="134"/>
      <scheme val="minor"/>
    </font>
    <font>
      <sz val="11"/>
      <color theme="1"/>
      <name val="宋体"/>
      <charset val="134"/>
      <scheme val="minor"/>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u/>
      <sz val="18"/>
      <color rgb="FF00B0F0"/>
      <name val="Times New Roman"/>
      <charset val="134"/>
    </font>
    <font>
      <sz val="8"/>
      <color rgb="FF000000"/>
      <name val="Arial"/>
      <charset val="134"/>
    </font>
    <font>
      <sz val="8"/>
      <color rgb="FF000000"/>
      <name val="新細明體"/>
      <charset val="136"/>
    </font>
    <font>
      <u/>
      <sz val="12"/>
      <name val="Times New Roman"/>
      <charset val="134"/>
    </font>
    <font>
      <b/>
      <sz val="14"/>
      <color theme="0"/>
      <name val="細明體"/>
      <charset val="136"/>
    </font>
    <font>
      <sz val="10"/>
      <name val="SimSun"/>
      <charset val="134"/>
    </font>
  </fonts>
  <fills count="48">
    <fill>
      <patternFill patternType="none"/>
    </fill>
    <fill>
      <patternFill patternType="gray125"/>
    </fill>
    <fill>
      <patternFill patternType="solid">
        <fgColor indexed="41"/>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rgb="FFFFFF00"/>
        <bgColor indexed="64"/>
      </patternFill>
    </fill>
    <fill>
      <patternFill patternType="solid">
        <fgColor theme="0" tint="-0.149998474074526"/>
        <bgColor indexed="64"/>
      </patternFill>
    </fill>
    <fill>
      <patternFill patternType="solid">
        <fgColor theme="7" tint="0.599993896298105"/>
        <bgColor indexed="64"/>
      </patternFill>
    </fill>
    <fill>
      <patternFill patternType="solid">
        <fgColor rgb="FF00B050"/>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2" tint="-0.249977111117893"/>
        <bgColor indexed="64"/>
      </patternFill>
    </fill>
    <fill>
      <patternFill patternType="solid">
        <fgColor indexed="9"/>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4" tint="0.799981688894314"/>
        <bgColor indexed="64"/>
      </patternFill>
    </fill>
    <fill>
      <patternFill patternType="solid">
        <fgColor rgb="FFF2F2F2"/>
        <bgColor indexed="64"/>
      </patternFill>
    </fill>
    <fill>
      <patternFill patternType="solid">
        <fgColor theme="7"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9">
    <border>
      <left/>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top style="medium">
        <color auto="1"/>
      </top>
      <bottom/>
      <diagonal/>
    </border>
    <border>
      <left/>
      <right/>
      <top/>
      <bottom style="medium">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xf numFmtId="43" fontId="0" fillId="0" borderId="0" applyFont="0" applyFill="0" applyBorder="0" applyAlignment="0" applyProtection="0"/>
    <xf numFmtId="176" fontId="36" fillId="0" borderId="0" applyFont="0" applyFill="0" applyBorder="0" applyAlignment="0" applyProtection="0">
      <alignment vertical="center"/>
    </xf>
    <xf numFmtId="9" fontId="0" fillId="0" borderId="0" applyFont="0" applyFill="0" applyBorder="0" applyAlignment="0" applyProtection="0"/>
    <xf numFmtId="41" fontId="36" fillId="0" borderId="0" applyFont="0" applyFill="0" applyBorder="0" applyAlignment="0" applyProtection="0">
      <alignment vertical="center"/>
    </xf>
    <xf numFmtId="42" fontId="36" fillId="0" borderId="0" applyFont="0" applyFill="0" applyBorder="0" applyAlignment="0" applyProtection="0">
      <alignment vertical="center"/>
    </xf>
    <xf numFmtId="0" fontId="37"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6" fillId="18" borderId="32"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33" applyNumberFormat="0" applyFill="0" applyAlignment="0" applyProtection="0">
      <alignment vertical="center"/>
    </xf>
    <xf numFmtId="0" fontId="43" fillId="0" borderId="33" applyNumberFormat="0" applyFill="0" applyAlignment="0" applyProtection="0">
      <alignment vertical="center"/>
    </xf>
    <xf numFmtId="0" fontId="44" fillId="0" borderId="34" applyNumberFormat="0" applyFill="0" applyAlignment="0" applyProtection="0">
      <alignment vertical="center"/>
    </xf>
    <xf numFmtId="0" fontId="44" fillId="0" borderId="0" applyNumberFormat="0" applyFill="0" applyBorder="0" applyAlignment="0" applyProtection="0">
      <alignment vertical="center"/>
    </xf>
    <xf numFmtId="0" fontId="45" fillId="19" borderId="31" applyNumberFormat="0" applyAlignment="0" applyProtection="0">
      <alignment vertical="center"/>
    </xf>
    <xf numFmtId="0" fontId="46" fillId="20" borderId="35" applyNumberFormat="0" applyAlignment="0" applyProtection="0">
      <alignment vertical="center"/>
    </xf>
    <xf numFmtId="0" fontId="47" fillId="20" borderId="31" applyNumberFormat="0" applyAlignment="0" applyProtection="0">
      <alignment vertical="center"/>
    </xf>
    <xf numFmtId="0" fontId="48" fillId="21" borderId="36" applyNumberFormat="0" applyAlignment="0" applyProtection="0">
      <alignment vertical="center"/>
    </xf>
    <xf numFmtId="0" fontId="49" fillId="0" borderId="37" applyNumberFormat="0" applyFill="0" applyAlignment="0" applyProtection="0">
      <alignment vertical="center"/>
    </xf>
    <xf numFmtId="0" fontId="50" fillId="0" borderId="38" applyNumberFormat="0" applyFill="0" applyAlignment="0" applyProtection="0">
      <alignment vertical="center"/>
    </xf>
    <xf numFmtId="0" fontId="51" fillId="22" borderId="0" applyNumberFormat="0" applyBorder="0" applyAlignment="0" applyProtection="0">
      <alignment vertical="center"/>
    </xf>
    <xf numFmtId="0" fontId="52" fillId="23" borderId="0" applyNumberFormat="0" applyBorder="0" applyAlignment="0" applyProtection="0">
      <alignment vertical="center"/>
    </xf>
    <xf numFmtId="0" fontId="53" fillId="24" borderId="0" applyNumberFormat="0" applyBorder="0" applyAlignment="0" applyProtection="0">
      <alignment vertical="center"/>
    </xf>
    <xf numFmtId="0" fontId="54" fillId="25" borderId="0" applyNumberFormat="0" applyBorder="0" applyAlignment="0" applyProtection="0">
      <alignment vertical="center"/>
    </xf>
    <xf numFmtId="0" fontId="33" fillId="15" borderId="0" applyNumberFormat="0" applyBorder="0" applyAlignment="0" applyProtection="0"/>
    <xf numFmtId="0" fontId="55" fillId="26" borderId="0" applyNumberFormat="0" applyBorder="0" applyAlignment="0" applyProtection="0">
      <alignment vertical="center"/>
    </xf>
    <xf numFmtId="0" fontId="54" fillId="27" borderId="0" applyNumberFormat="0" applyBorder="0" applyAlignment="0" applyProtection="0">
      <alignment vertical="center"/>
    </xf>
    <xf numFmtId="0" fontId="54" fillId="28" borderId="0" applyNumberFormat="0" applyBorder="0" applyAlignment="0" applyProtection="0">
      <alignment vertical="center"/>
    </xf>
    <xf numFmtId="0" fontId="55" fillId="29" borderId="0" applyNumberFormat="0" applyBorder="0" applyAlignment="0" applyProtection="0">
      <alignment vertical="center"/>
    </xf>
    <xf numFmtId="0" fontId="55" fillId="30" borderId="0" applyNumberFormat="0" applyBorder="0" applyAlignment="0" applyProtection="0">
      <alignment vertical="center"/>
    </xf>
    <xf numFmtId="0" fontId="54" fillId="31" borderId="0" applyNumberFormat="0" applyBorder="0" applyAlignment="0" applyProtection="0">
      <alignment vertical="center"/>
    </xf>
    <xf numFmtId="0" fontId="54" fillId="32" borderId="0" applyNumberFormat="0" applyBorder="0" applyAlignment="0" applyProtection="0">
      <alignment vertical="center"/>
    </xf>
    <xf numFmtId="0" fontId="55" fillId="33" borderId="0" applyNumberFormat="0" applyBorder="0" applyAlignment="0" applyProtection="0">
      <alignment vertical="center"/>
    </xf>
    <xf numFmtId="0" fontId="55" fillId="34" borderId="0" applyNumberFormat="0" applyBorder="0" applyAlignment="0" applyProtection="0">
      <alignment vertical="center"/>
    </xf>
    <xf numFmtId="0" fontId="54" fillId="35" borderId="0" applyNumberFormat="0" applyBorder="0" applyAlignment="0" applyProtection="0">
      <alignment vertical="center"/>
    </xf>
    <xf numFmtId="0" fontId="54" fillId="36" borderId="0" applyNumberFormat="0" applyBorder="0" applyAlignment="0" applyProtection="0">
      <alignment vertical="center"/>
    </xf>
    <xf numFmtId="0" fontId="55" fillId="37" borderId="0" applyNumberFormat="0" applyBorder="0" applyAlignment="0" applyProtection="0">
      <alignment vertical="center"/>
    </xf>
    <xf numFmtId="0" fontId="55" fillId="38" borderId="0" applyNumberFormat="0" applyBorder="0" applyAlignment="0" applyProtection="0">
      <alignment vertical="center"/>
    </xf>
    <xf numFmtId="0" fontId="54" fillId="39" borderId="0" applyNumberFormat="0" applyBorder="0" applyAlignment="0" applyProtection="0">
      <alignment vertical="center"/>
    </xf>
    <xf numFmtId="0" fontId="54" fillId="40" borderId="0" applyNumberFormat="0" applyBorder="0" applyAlignment="0" applyProtection="0">
      <alignment vertical="center"/>
    </xf>
    <xf numFmtId="0" fontId="55" fillId="41" borderId="0" applyNumberFormat="0" applyBorder="0" applyAlignment="0" applyProtection="0">
      <alignment vertical="center"/>
    </xf>
    <xf numFmtId="0" fontId="55" fillId="42" borderId="0" applyNumberFormat="0" applyBorder="0" applyAlignment="0" applyProtection="0">
      <alignment vertical="center"/>
    </xf>
    <xf numFmtId="0" fontId="54" fillId="43" borderId="0" applyNumberFormat="0" applyBorder="0" applyAlignment="0" applyProtection="0">
      <alignment vertical="center"/>
    </xf>
    <xf numFmtId="0" fontId="54" fillId="44" borderId="0" applyNumberFormat="0" applyBorder="0" applyAlignment="0" applyProtection="0">
      <alignment vertical="center"/>
    </xf>
    <xf numFmtId="0" fontId="55" fillId="45" borderId="0" applyNumberFormat="0" applyBorder="0" applyAlignment="0" applyProtection="0">
      <alignment vertical="center"/>
    </xf>
    <xf numFmtId="0" fontId="55" fillId="46" borderId="0" applyNumberFormat="0" applyBorder="0" applyAlignment="0" applyProtection="0">
      <alignment vertical="center"/>
    </xf>
    <xf numFmtId="0" fontId="54" fillId="47" borderId="0" applyNumberFormat="0" applyBorder="0" applyAlignment="0" applyProtection="0">
      <alignment vertical="center"/>
    </xf>
    <xf numFmtId="0" fontId="0" fillId="0" borderId="0"/>
  </cellStyleXfs>
  <cellXfs count="360">
    <xf numFmtId="0" fontId="0" fillId="0" borderId="0" xfId="0"/>
    <xf numFmtId="0" fontId="0" fillId="0" borderId="0" xfId="0" applyFont="1"/>
    <xf numFmtId="0" fontId="1" fillId="0" borderId="0" xfId="0" applyFont="1"/>
    <xf numFmtId="0" fontId="0" fillId="0" borderId="0" xfId="0" applyFont="1" applyAlignment="1">
      <alignment horizontal="center"/>
    </xf>
    <xf numFmtId="43" fontId="0" fillId="0" borderId="0" xfId="1" applyFont="1"/>
    <xf numFmtId="0" fontId="2" fillId="0" borderId="0" xfId="0" applyFont="1"/>
    <xf numFmtId="177" fontId="0" fillId="0" borderId="0" xfId="1" applyNumberFormat="1" applyFont="1"/>
    <xf numFmtId="1" fontId="0" fillId="0" borderId="0" xfId="0" applyNumberFormat="1" applyFont="1"/>
    <xf numFmtId="1" fontId="0" fillId="0" borderId="0" xfId="0" applyNumberFormat="1" applyFont="1" applyAlignment="1">
      <alignment horizontal="center"/>
    </xf>
    <xf numFmtId="43" fontId="0" fillId="2" borderId="0" xfId="1" applyFont="1" applyFill="1" applyAlignment="1">
      <alignment horizontal="center"/>
    </xf>
    <xf numFmtId="0" fontId="0" fillId="2" borderId="0" xfId="0" applyFill="1" applyAlignment="1">
      <alignment horizontal="center"/>
    </xf>
    <xf numFmtId="0" fontId="0" fillId="3" borderId="0" xfId="0" applyFont="1" applyFill="1"/>
    <xf numFmtId="0" fontId="0" fillId="3" borderId="0" xfId="0" applyFill="1"/>
    <xf numFmtId="0" fontId="0" fillId="3" borderId="0" xfId="0" applyFont="1" applyFill="1" applyAlignment="1">
      <alignment horizontal="center"/>
    </xf>
    <xf numFmtId="43" fontId="0" fillId="2" borderId="0" xfId="1" applyFont="1" applyFill="1"/>
    <xf numFmtId="2" fontId="0" fillId="2" borderId="0" xfId="0" applyNumberFormat="1" applyFont="1" applyFill="1"/>
    <xf numFmtId="178" fontId="2" fillId="0" borderId="0" xfId="1" applyNumberFormat="1" applyFont="1"/>
    <xf numFmtId="43" fontId="0" fillId="0" borderId="0" xfId="0" applyNumberFormat="1" applyFont="1"/>
    <xf numFmtId="0" fontId="0" fillId="4" borderId="0" xfId="0" applyFont="1" applyFill="1"/>
    <xf numFmtId="0" fontId="0" fillId="4" borderId="0" xfId="0" applyFill="1"/>
    <xf numFmtId="0" fontId="0" fillId="4" borderId="0" xfId="0" applyFont="1" applyFill="1" applyAlignment="1">
      <alignment horizontal="center"/>
    </xf>
    <xf numFmtId="0" fontId="3" fillId="0" borderId="0" xfId="0" applyFont="1"/>
    <xf numFmtId="0" fontId="4" fillId="0" borderId="1" xfId="0" applyFont="1" applyFill="1" applyBorder="1"/>
    <xf numFmtId="0" fontId="0" fillId="0" borderId="2" xfId="0" applyBorder="1"/>
    <xf numFmtId="0" fontId="0" fillId="0" borderId="3" xfId="0" applyBorder="1"/>
    <xf numFmtId="0" fontId="0" fillId="0" borderId="3" xfId="0" applyBorder="1" applyAlignment="1">
      <alignment horizontal="center"/>
    </xf>
    <xf numFmtId="0" fontId="0" fillId="0" borderId="4" xfId="0" applyBorder="1"/>
    <xf numFmtId="3" fontId="0" fillId="0" borderId="5" xfId="0" applyNumberFormat="1" applyBorder="1"/>
    <xf numFmtId="10" fontId="0" fillId="5" borderId="6" xfId="3" applyNumberFormat="1" applyFont="1" applyFill="1" applyBorder="1"/>
    <xf numFmtId="10" fontId="0" fillId="5" borderId="7" xfId="3" applyNumberFormat="1" applyFont="1" applyFill="1" applyBorder="1"/>
    <xf numFmtId="3" fontId="0" fillId="0" borderId="8" xfId="0" applyNumberFormat="1" applyBorder="1"/>
    <xf numFmtId="3" fontId="5" fillId="0" borderId="8" xfId="0" applyNumberFormat="1" applyFont="1" applyBorder="1"/>
    <xf numFmtId="10" fontId="5" fillId="5" borderId="7" xfId="3" applyNumberFormat="1" applyFont="1" applyFill="1" applyBorder="1"/>
    <xf numFmtId="0" fontId="0" fillId="0" borderId="8" xfId="0" applyBorder="1"/>
    <xf numFmtId="179" fontId="0" fillId="0" borderId="0" xfId="3" applyNumberFormat="1" applyFont="1" applyBorder="1"/>
    <xf numFmtId="179" fontId="0" fillId="0" borderId="9" xfId="3" applyNumberFormat="1" applyFont="1" applyBorder="1"/>
    <xf numFmtId="0" fontId="0" fillId="0" borderId="10" xfId="0" applyBorder="1"/>
    <xf numFmtId="179" fontId="0" fillId="0" borderId="1" xfId="3" applyNumberFormat="1" applyFont="1" applyBorder="1"/>
    <xf numFmtId="179" fontId="0" fillId="0" borderId="11" xfId="3" applyNumberFormat="1" applyFont="1" applyBorder="1"/>
    <xf numFmtId="0" fontId="6" fillId="0" borderId="1" xfId="0" applyFont="1" applyFill="1" applyBorder="1"/>
    <xf numFmtId="0" fontId="1" fillId="6" borderId="0" xfId="0" applyFont="1" applyFill="1"/>
    <xf numFmtId="0" fontId="0" fillId="6" borderId="0" xfId="0" applyFill="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9" xfId="0" applyFill="1" applyBorder="1"/>
    <xf numFmtId="0" fontId="0" fillId="6" borderId="16" xfId="0" applyFill="1" applyBorder="1"/>
    <xf numFmtId="2" fontId="0" fillId="6" borderId="15" xfId="0" applyNumberFormat="1" applyFill="1" applyBorder="1"/>
    <xf numFmtId="2" fontId="0" fillId="6" borderId="9" xfId="0" applyNumberFormat="1" applyFill="1" applyBorder="1"/>
    <xf numFmtId="0" fontId="0" fillId="6" borderId="17" xfId="0" applyFill="1" applyBorder="1"/>
    <xf numFmtId="0" fontId="0" fillId="6" borderId="18" xfId="0" applyFill="1" applyBorder="1"/>
    <xf numFmtId="0" fontId="0" fillId="6" borderId="19" xfId="0" applyFill="1" applyBorder="1"/>
    <xf numFmtId="0" fontId="1" fillId="0" borderId="5" xfId="0" applyFont="1" applyBorder="1"/>
    <xf numFmtId="0" fontId="0" fillId="0" borderId="6" xfId="0" applyBorder="1"/>
    <xf numFmtId="0" fontId="0" fillId="0" borderId="7" xfId="0" applyBorder="1"/>
    <xf numFmtId="0" fontId="1" fillId="0" borderId="10" xfId="0" applyFont="1" applyFill="1" applyBorder="1" applyAlignment="1">
      <alignment horizontal="left"/>
    </xf>
    <xf numFmtId="0" fontId="1" fillId="0" borderId="1" xfId="0" applyFont="1" applyFill="1" applyBorder="1" applyAlignment="1">
      <alignment horizontal="left"/>
    </xf>
    <xf numFmtId="3" fontId="1" fillId="0" borderId="1" xfId="0" applyNumberFormat="1" applyFont="1" applyFill="1" applyBorder="1" applyAlignment="1">
      <alignment horizontal="left"/>
    </xf>
    <xf numFmtId="0" fontId="1" fillId="0" borderId="11" xfId="0" applyFont="1" applyFill="1" applyBorder="1" applyAlignment="1">
      <alignment horizontal="left"/>
    </xf>
    <xf numFmtId="0" fontId="1" fillId="0" borderId="0" xfId="0" applyFont="1" applyFill="1" applyBorder="1" applyAlignment="1">
      <alignment horizontal="left"/>
    </xf>
    <xf numFmtId="0" fontId="0" fillId="0" borderId="5" xfId="0" applyBorder="1"/>
    <xf numFmtId="0" fontId="0" fillId="0" borderId="0" xfId="0" applyBorder="1"/>
    <xf numFmtId="0" fontId="0" fillId="0" borderId="9" xfId="0" applyBorder="1"/>
    <xf numFmtId="3" fontId="0" fillId="0" borderId="0" xfId="0" applyNumberFormat="1" applyBorder="1"/>
    <xf numFmtId="0" fontId="0" fillId="0" borderId="1" xfId="0" applyBorder="1"/>
    <xf numFmtId="0" fontId="0" fillId="0" borderId="11" xfId="0" applyBorder="1"/>
    <xf numFmtId="0" fontId="0" fillId="7" borderId="0" xfId="0" applyFill="1"/>
    <xf numFmtId="0" fontId="0" fillId="8" borderId="0" xfId="0" applyFill="1"/>
    <xf numFmtId="4" fontId="0" fillId="0" borderId="0" xfId="0" applyNumberFormat="1"/>
    <xf numFmtId="4" fontId="0" fillId="0" borderId="0" xfId="0" applyNumberFormat="1" applyFill="1"/>
    <xf numFmtId="11" fontId="0" fillId="0" borderId="0" xfId="0" applyNumberFormat="1"/>
    <xf numFmtId="0" fontId="0" fillId="7" borderId="5" xfId="0" applyFill="1" applyBorder="1"/>
    <xf numFmtId="0" fontId="0" fillId="7" borderId="6" xfId="0" applyFill="1" applyBorder="1"/>
    <xf numFmtId="4" fontId="0" fillId="7" borderId="7" xfId="0" applyNumberFormat="1" applyFill="1" applyBorder="1"/>
    <xf numFmtId="4" fontId="0" fillId="7" borderId="0" xfId="0" applyNumberFormat="1" applyFill="1"/>
    <xf numFmtId="2" fontId="0" fillId="7" borderId="0" xfId="0" applyNumberFormat="1" applyFill="1"/>
    <xf numFmtId="0" fontId="0" fillId="7" borderId="8" xfId="0" applyFill="1" applyBorder="1"/>
    <xf numFmtId="0" fontId="0" fillId="7" borderId="0" xfId="0" applyFill="1" applyBorder="1"/>
    <xf numFmtId="2" fontId="0" fillId="7" borderId="9" xfId="0" applyNumberFormat="1" applyFill="1" applyBorder="1"/>
    <xf numFmtId="0" fontId="0" fillId="7" borderId="9" xfId="0" applyFill="1" applyBorder="1"/>
    <xf numFmtId="0" fontId="1" fillId="7" borderId="10" xfId="0" applyFont="1" applyFill="1" applyBorder="1"/>
    <xf numFmtId="0" fontId="1" fillId="7" borderId="1" xfId="0" applyFont="1" applyFill="1" applyBorder="1"/>
    <xf numFmtId="4" fontId="1" fillId="7" borderId="11" xfId="0" applyNumberFormat="1" applyFont="1" applyFill="1" applyBorder="1"/>
    <xf numFmtId="180" fontId="0" fillId="7" borderId="0" xfId="0" applyNumberFormat="1" applyFill="1"/>
    <xf numFmtId="43" fontId="0" fillId="7" borderId="0" xfId="1" applyFont="1" applyFill="1"/>
    <xf numFmtId="3" fontId="1" fillId="7" borderId="11" xfId="0" applyNumberFormat="1" applyFont="1" applyFill="1" applyBorder="1"/>
    <xf numFmtId="0" fontId="1" fillId="9" borderId="0" xfId="0" applyFont="1" applyFill="1"/>
    <xf numFmtId="0" fontId="0" fillId="8" borderId="5" xfId="0" applyFill="1" applyBorder="1"/>
    <xf numFmtId="0" fontId="0" fillId="8" borderId="6" xfId="0" applyFill="1" applyBorder="1"/>
    <xf numFmtId="4" fontId="0" fillId="8" borderId="7" xfId="0" applyNumberFormat="1" applyFill="1" applyBorder="1"/>
    <xf numFmtId="43" fontId="0" fillId="8" borderId="0" xfId="1" applyFont="1" applyFill="1"/>
    <xf numFmtId="0" fontId="0" fillId="8" borderId="8" xfId="0" applyFill="1" applyBorder="1"/>
    <xf numFmtId="0" fontId="0" fillId="8" borderId="0" xfId="0" applyFill="1" applyBorder="1"/>
    <xf numFmtId="2" fontId="0" fillId="8" borderId="9" xfId="0" applyNumberFormat="1" applyFill="1" applyBorder="1"/>
    <xf numFmtId="0" fontId="0" fillId="8" borderId="9" xfId="0" applyFill="1" applyBorder="1"/>
    <xf numFmtId="0" fontId="1" fillId="8" borderId="10" xfId="0" applyFont="1" applyFill="1" applyBorder="1"/>
    <xf numFmtId="0" fontId="1" fillId="8" borderId="1" xfId="0" applyFont="1" applyFill="1" applyBorder="1"/>
    <xf numFmtId="3" fontId="1" fillId="8" borderId="11" xfId="0" applyNumberFormat="1" applyFont="1" applyFill="1" applyBorder="1"/>
    <xf numFmtId="180" fontId="0" fillId="8" borderId="0" xfId="0" applyNumberFormat="1" applyFill="1"/>
    <xf numFmtId="4" fontId="0" fillId="8" borderId="0" xfId="0" applyNumberFormat="1" applyFill="1"/>
    <xf numFmtId="0" fontId="1" fillId="10" borderId="0" xfId="0" applyFont="1" applyFill="1"/>
    <xf numFmtId="0" fontId="0" fillId="10" borderId="0" xfId="0" applyFill="1"/>
    <xf numFmtId="0" fontId="0" fillId="10" borderId="12" xfId="0" applyFill="1" applyBorder="1"/>
    <xf numFmtId="0" fontId="0" fillId="10" borderId="13" xfId="0" applyFill="1" applyBorder="1"/>
    <xf numFmtId="0" fontId="0" fillId="10" borderId="15" xfId="0" applyFill="1" applyBorder="1"/>
    <xf numFmtId="0" fontId="0" fillId="10" borderId="9" xfId="0" applyFill="1" applyBorder="1"/>
    <xf numFmtId="2" fontId="0" fillId="10" borderId="15" xfId="0" applyNumberFormat="1" applyFill="1" applyBorder="1"/>
    <xf numFmtId="2" fontId="0" fillId="10" borderId="9" xfId="0" applyNumberFormat="1" applyFill="1" applyBorder="1"/>
    <xf numFmtId="0" fontId="0" fillId="10" borderId="17" xfId="0" applyFill="1" applyBorder="1"/>
    <xf numFmtId="0" fontId="0" fillId="10" borderId="18" xfId="0" applyFill="1" applyBorder="1"/>
    <xf numFmtId="10" fontId="0" fillId="0" borderId="0" xfId="3" applyNumberFormat="1" applyFont="1"/>
    <xf numFmtId="179" fontId="0" fillId="0" borderId="0" xfId="0" applyNumberFormat="1"/>
    <xf numFmtId="10" fontId="0" fillId="11" borderId="6" xfId="3" applyNumberFormat="1" applyFont="1" applyFill="1" applyBorder="1"/>
    <xf numFmtId="0" fontId="0" fillId="10" borderId="14" xfId="0" applyFill="1" applyBorder="1"/>
    <xf numFmtId="0" fontId="0" fillId="10" borderId="16" xfId="0" applyFill="1" applyBorder="1"/>
    <xf numFmtId="0" fontId="0" fillId="10" borderId="19" xfId="0" applyFill="1" applyBorder="1"/>
    <xf numFmtId="0" fontId="0" fillId="0" borderId="0" xfId="0" applyAlignment="1">
      <alignment horizontal="center"/>
    </xf>
    <xf numFmtId="4" fontId="0" fillId="0" borderId="0" xfId="0" applyNumberFormat="1" applyAlignment="1">
      <alignment horizontal="center"/>
    </xf>
    <xf numFmtId="179" fontId="0" fillId="0" borderId="0" xfId="0" applyNumberFormat="1" applyAlignment="1">
      <alignment horizontal="center"/>
    </xf>
    <xf numFmtId="4" fontId="7" fillId="0" borderId="0" xfId="0" applyNumberFormat="1" applyFont="1" applyAlignment="1">
      <alignment horizontal="center"/>
    </xf>
    <xf numFmtId="0" fontId="1" fillId="0" borderId="2" xfId="49" applyFont="1" applyBorder="1" applyAlignment="1">
      <alignment horizontal="centerContinuous"/>
    </xf>
    <xf numFmtId="0" fontId="0" fillId="0" borderId="4" xfId="49" applyBorder="1" applyAlignment="1">
      <alignment horizontal="centerContinuous"/>
    </xf>
    <xf numFmtId="0" fontId="8" fillId="0" borderId="2" xfId="49" applyFont="1" applyBorder="1" applyAlignment="1">
      <alignment horizontal="centerContinuous"/>
    </xf>
    <xf numFmtId="0" fontId="0" fillId="0" borderId="3" xfId="49" applyBorder="1" applyAlignment="1">
      <alignment horizontal="centerContinuous"/>
    </xf>
    <xf numFmtId="0" fontId="0" fillId="12" borderId="20" xfId="49" applyFill="1" applyBorder="1" applyAlignment="1">
      <alignment horizontal="center" wrapText="1"/>
    </xf>
    <xf numFmtId="0" fontId="0" fillId="12" borderId="5" xfId="49" applyFill="1" applyBorder="1" applyAlignment="1">
      <alignment horizontal="center" wrapText="1"/>
    </xf>
    <xf numFmtId="0" fontId="0" fillId="12" borderId="21" xfId="49" applyFill="1" applyBorder="1" applyAlignment="1">
      <alignment horizontal="center" wrapText="1"/>
    </xf>
    <xf numFmtId="0" fontId="0" fillId="12" borderId="10" xfId="49" applyFill="1" applyBorder="1" applyAlignment="1">
      <alignment horizontal="center" wrapText="1"/>
    </xf>
    <xf numFmtId="0" fontId="0" fillId="0" borderId="22" xfId="49" applyFill="1" applyBorder="1" applyAlignment="1">
      <alignment horizontal="center" wrapText="1"/>
    </xf>
    <xf numFmtId="0" fontId="0" fillId="0" borderId="8" xfId="49" applyFill="1" applyBorder="1" applyAlignment="1">
      <alignment horizontal="center" wrapText="1"/>
    </xf>
    <xf numFmtId="0" fontId="0" fillId="0" borderId="22" xfId="49" applyBorder="1"/>
    <xf numFmtId="4" fontId="0" fillId="0" borderId="8" xfId="49" applyNumberFormat="1" applyBorder="1"/>
    <xf numFmtId="4" fontId="0" fillId="0" borderId="22" xfId="49" applyNumberFormat="1" applyBorder="1"/>
    <xf numFmtId="0" fontId="0" fillId="0" borderId="21" xfId="49" applyBorder="1"/>
    <xf numFmtId="4" fontId="0" fillId="0" borderId="10" xfId="49" applyNumberFormat="1" applyBorder="1"/>
    <xf numFmtId="4" fontId="0" fillId="0" borderId="21" xfId="49" applyNumberFormat="1" applyBorder="1"/>
    <xf numFmtId="0" fontId="1" fillId="0" borderId="23" xfId="49" applyFont="1" applyBorder="1"/>
    <xf numFmtId="4" fontId="1" fillId="0" borderId="2" xfId="49" applyNumberFormat="1" applyFont="1" applyBorder="1"/>
    <xf numFmtId="4" fontId="1" fillId="0" borderId="23" xfId="49" applyNumberFormat="1" applyFont="1" applyBorder="1"/>
    <xf numFmtId="0" fontId="0" fillId="0" borderId="0" xfId="49"/>
    <xf numFmtId="0" fontId="0" fillId="0" borderId="0" xfId="49" applyAlignment="1">
      <alignment horizontal="right"/>
    </xf>
    <xf numFmtId="4" fontId="0" fillId="0" borderId="0" xfId="49" applyNumberFormat="1"/>
    <xf numFmtId="0" fontId="0" fillId="0" borderId="0" xfId="0" applyProtection="1">
      <protection hidden="1"/>
    </xf>
    <xf numFmtId="3" fontId="0" fillId="5" borderId="0" xfId="0" applyNumberFormat="1" applyFill="1" applyAlignment="1" applyProtection="1">
      <alignment horizontal="center"/>
      <protection hidden="1"/>
    </xf>
    <xf numFmtId="0" fontId="3" fillId="0" borderId="0" xfId="0" applyFont="1" applyProtection="1">
      <protection hidden="1"/>
    </xf>
    <xf numFmtId="181" fontId="0" fillId="5" borderId="0" xfId="0" applyNumberFormat="1" applyFill="1" applyAlignment="1" applyProtection="1">
      <alignment horizontal="center"/>
      <protection locked="0" hidden="1"/>
    </xf>
    <xf numFmtId="0" fontId="0" fillId="5" borderId="0" xfId="0" applyFill="1" applyProtection="1">
      <protection locked="0" hidden="1"/>
    </xf>
    <xf numFmtId="4" fontId="0" fillId="5" borderId="0" xfId="0" applyNumberFormat="1" applyFill="1" applyAlignment="1" applyProtection="1">
      <alignment horizontal="center"/>
      <protection locked="0" hidden="1"/>
    </xf>
    <xf numFmtId="0" fontId="9" fillId="0" borderId="0" xfId="0" applyFont="1" applyProtection="1">
      <protection hidden="1"/>
    </xf>
    <xf numFmtId="0" fontId="10" fillId="0" borderId="0" xfId="0" applyFont="1" applyProtection="1">
      <protection hidden="1"/>
    </xf>
    <xf numFmtId="0" fontId="11" fillId="0" borderId="0" xfId="0" applyFont="1" applyAlignment="1" applyProtection="1">
      <alignment vertical="center"/>
      <protection hidden="1"/>
    </xf>
    <xf numFmtId="0" fontId="9" fillId="0" borderId="0" xfId="0" applyFont="1" applyAlignment="1" applyProtection="1">
      <alignment vertical="center"/>
      <protection hidden="1"/>
    </xf>
    <xf numFmtId="4" fontId="11" fillId="0" borderId="0" xfId="0" applyNumberFormat="1" applyFont="1" applyFill="1" applyAlignment="1" applyProtection="1">
      <alignment horizontal="center" vertical="center"/>
      <protection hidden="1"/>
    </xf>
    <xf numFmtId="0" fontId="12" fillId="0" borderId="0" xfId="0" applyFont="1" applyAlignment="1" applyProtection="1">
      <alignment horizontal="center" vertical="center"/>
      <protection hidden="1"/>
    </xf>
    <xf numFmtId="0" fontId="13" fillId="0" borderId="0" xfId="0" applyFont="1" applyAlignment="1" applyProtection="1">
      <alignment horizontal="left" vertical="center" wrapText="1"/>
      <protection hidden="1"/>
    </xf>
    <xf numFmtId="0" fontId="14" fillId="0" borderId="0" xfId="0" applyFont="1" applyAlignment="1" applyProtection="1">
      <alignment vertical="center" wrapText="1"/>
      <protection hidden="1"/>
    </xf>
    <xf numFmtId="4" fontId="15" fillId="0" borderId="0" xfId="0" applyNumberFormat="1" applyFont="1" applyAlignment="1" applyProtection="1">
      <alignment horizontal="center" vertical="center"/>
      <protection hidden="1"/>
    </xf>
    <xf numFmtId="182" fontId="16" fillId="5" borderId="0" xfId="0" applyNumberFormat="1" applyFont="1" applyFill="1" applyAlignment="1" applyProtection="1">
      <alignment horizontal="center"/>
      <protection locked="0" hidden="1"/>
    </xf>
    <xf numFmtId="0" fontId="17" fillId="0" borderId="0" xfId="0" applyFont="1" applyFill="1" applyProtection="1">
      <protection hidden="1"/>
    </xf>
    <xf numFmtId="181" fontId="17" fillId="0" borderId="0" xfId="0" applyNumberFormat="1" applyFont="1" applyFill="1" applyAlignment="1" applyProtection="1">
      <alignment horizontal="center"/>
      <protection hidden="1"/>
    </xf>
    <xf numFmtId="181" fontId="0" fillId="0" borderId="0" xfId="0" applyNumberFormat="1" applyFill="1" applyAlignment="1" applyProtection="1">
      <alignment horizontal="center"/>
      <protection hidden="1"/>
    </xf>
    <xf numFmtId="0" fontId="0" fillId="0" borderId="0" xfId="0" applyAlignment="1" applyProtection="1">
      <alignment wrapText="1"/>
      <protection hidden="1"/>
    </xf>
    <xf numFmtId="10" fontId="0" fillId="0" borderId="0" xfId="0" applyNumberFormat="1" applyAlignment="1" applyProtection="1">
      <alignment horizontal="center"/>
      <protection hidden="1"/>
    </xf>
    <xf numFmtId="0" fontId="17" fillId="0" borderId="0" xfId="0" applyFont="1" applyProtection="1">
      <protection hidden="1"/>
    </xf>
    <xf numFmtId="10" fontId="17" fillId="0" borderId="0" xfId="0" applyNumberFormat="1" applyFont="1" applyAlignment="1" applyProtection="1">
      <alignment horizontal="center"/>
      <protection hidden="1"/>
    </xf>
    <xf numFmtId="4" fontId="7" fillId="3" borderId="0" xfId="0" applyNumberFormat="1" applyFont="1" applyFill="1" applyAlignment="1" applyProtection="1">
      <alignment horizontal="center"/>
      <protection hidden="1"/>
    </xf>
    <xf numFmtId="0" fontId="18" fillId="0" borderId="0" xfId="0" applyFont="1" applyProtection="1">
      <protection hidden="1"/>
    </xf>
    <xf numFmtId="4" fontId="19" fillId="0" borderId="0" xfId="0" applyNumberFormat="1" applyFont="1" applyAlignment="1" applyProtection="1">
      <alignment horizontal="center"/>
      <protection hidden="1"/>
    </xf>
    <xf numFmtId="4" fontId="18" fillId="0" borderId="0" xfId="49" applyNumberFormat="1" applyFont="1" applyFill="1" applyBorder="1" applyAlignment="1" applyProtection="1">
      <alignment horizontal="center" vertical="center"/>
      <protection hidden="1"/>
    </xf>
    <xf numFmtId="0" fontId="20" fillId="0" borderId="0" xfId="0" applyFont="1" applyAlignment="1" applyProtection="1">
      <alignment horizontal="centerContinuous"/>
      <protection hidden="1"/>
    </xf>
    <xf numFmtId="0" fontId="18" fillId="0" borderId="0" xfId="0" applyFont="1" applyAlignment="1" applyProtection="1">
      <alignment horizontal="centerContinuous"/>
      <protection hidden="1"/>
    </xf>
    <xf numFmtId="4" fontId="18" fillId="0" borderId="0" xfId="49" applyNumberFormat="1" applyFont="1" applyFill="1" applyBorder="1" applyAlignment="1" applyProtection="1">
      <alignment horizontal="centerContinuous" vertical="center"/>
      <protection hidden="1"/>
    </xf>
    <xf numFmtId="0" fontId="0" fillId="0" borderId="0" xfId="0" applyAlignment="1" applyProtection="1">
      <alignment horizontal="centerContinuous"/>
      <protection hidden="1"/>
    </xf>
    <xf numFmtId="0" fontId="1" fillId="0" borderId="0" xfId="0" applyFont="1" applyProtection="1">
      <protection hidden="1"/>
    </xf>
    <xf numFmtId="0" fontId="0" fillId="0" borderId="0" xfId="0" applyFont="1" applyAlignment="1" applyProtection="1">
      <alignment horizontal="left" wrapText="1"/>
      <protection hidden="1"/>
    </xf>
    <xf numFmtId="0" fontId="5" fillId="0" borderId="2" xfId="49" applyFont="1" applyBorder="1" applyAlignment="1" applyProtection="1">
      <alignment horizontal="centerContinuous"/>
      <protection hidden="1"/>
    </xf>
    <xf numFmtId="0" fontId="1" fillId="0" borderId="3" xfId="49" applyFont="1" applyBorder="1" applyAlignment="1" applyProtection="1">
      <alignment horizontal="centerContinuous"/>
      <protection hidden="1"/>
    </xf>
    <xf numFmtId="0" fontId="0" fillId="0" borderId="4" xfId="49" applyBorder="1" applyAlignment="1" applyProtection="1">
      <alignment horizontal="centerContinuous"/>
      <protection hidden="1"/>
    </xf>
    <xf numFmtId="0" fontId="0" fillId="0" borderId="3" xfId="49" applyBorder="1" applyAlignment="1" applyProtection="1">
      <alignment horizontal="centerContinuous"/>
      <protection hidden="1"/>
    </xf>
    <xf numFmtId="0" fontId="0" fillId="12" borderId="20" xfId="49" applyFont="1" applyFill="1" applyBorder="1" applyAlignment="1" applyProtection="1">
      <alignment horizontal="center" vertical="center" wrapText="1"/>
      <protection hidden="1"/>
    </xf>
    <xf numFmtId="0" fontId="16" fillId="0" borderId="5" xfId="49" applyFont="1" applyFill="1" applyBorder="1" applyAlignment="1" applyProtection="1">
      <alignment horizontal="center" wrapText="1"/>
      <protection hidden="1"/>
    </xf>
    <xf numFmtId="0" fontId="0" fillId="0" borderId="7" xfId="49" applyFill="1" applyBorder="1" applyAlignment="1" applyProtection="1">
      <alignment horizontal="center" wrapText="1"/>
      <protection hidden="1"/>
    </xf>
    <xf numFmtId="0" fontId="16" fillId="0" borderId="5" xfId="49" applyFont="1" applyFill="1" applyBorder="1" applyAlignment="1" applyProtection="1">
      <alignment horizontal="centerContinuous" wrapText="1"/>
      <protection hidden="1"/>
    </xf>
    <xf numFmtId="0" fontId="0" fillId="0" borderId="7" xfId="49" applyFont="1" applyFill="1" applyBorder="1" applyAlignment="1" applyProtection="1">
      <alignment horizontal="centerContinuous" wrapText="1"/>
      <protection hidden="1"/>
    </xf>
    <xf numFmtId="0" fontId="0" fillId="12" borderId="21" xfId="49" applyFont="1" applyFill="1" applyBorder="1" applyAlignment="1" applyProtection="1">
      <alignment horizontal="center" vertical="center" wrapText="1"/>
      <protection hidden="1"/>
    </xf>
    <xf numFmtId="0" fontId="0" fillId="12" borderId="10" xfId="49" applyFill="1" applyBorder="1" applyAlignment="1" applyProtection="1">
      <alignment horizontal="center" wrapText="1"/>
      <protection hidden="1"/>
    </xf>
    <xf numFmtId="0" fontId="0" fillId="12" borderId="11" xfId="49" applyFill="1" applyBorder="1" applyAlignment="1" applyProtection="1">
      <alignment horizontal="center" wrapText="1"/>
      <protection hidden="1"/>
    </xf>
    <xf numFmtId="0" fontId="0" fillId="0" borderId="22" xfId="49" applyFill="1" applyBorder="1" applyAlignment="1" applyProtection="1">
      <alignment horizontal="center" wrapText="1"/>
      <protection hidden="1"/>
    </xf>
    <xf numFmtId="0" fontId="0" fillId="0" borderId="5" xfId="49" applyFill="1" applyBorder="1" applyAlignment="1" applyProtection="1">
      <alignment wrapText="1"/>
      <protection hidden="1"/>
    </xf>
    <xf numFmtId="0" fontId="0" fillId="0" borderId="7" xfId="49" applyFill="1" applyBorder="1" applyAlignment="1" applyProtection="1">
      <alignment wrapText="1"/>
      <protection hidden="1"/>
    </xf>
    <xf numFmtId="0" fontId="0" fillId="0" borderId="8" xfId="49" applyFill="1" applyBorder="1" applyAlignment="1" applyProtection="1">
      <alignment wrapText="1"/>
      <protection hidden="1"/>
    </xf>
    <xf numFmtId="0" fontId="0" fillId="0" borderId="9" xfId="49" applyFill="1" applyBorder="1" applyAlignment="1" applyProtection="1">
      <alignment wrapText="1"/>
      <protection hidden="1"/>
    </xf>
    <xf numFmtId="14" fontId="21" fillId="0" borderId="0" xfId="0" applyNumberFormat="1" applyFont="1" applyProtection="1">
      <protection hidden="1"/>
    </xf>
    <xf numFmtId="0" fontId="0" fillId="0" borderId="8" xfId="49" applyBorder="1" applyAlignment="1" applyProtection="1">
      <alignment horizontal="center"/>
      <protection hidden="1"/>
    </xf>
    <xf numFmtId="0" fontId="0" fillId="0" borderId="8" xfId="49" applyBorder="1" applyProtection="1">
      <protection hidden="1"/>
    </xf>
    <xf numFmtId="4" fontId="0" fillId="0" borderId="0" xfId="49" applyNumberFormat="1" applyBorder="1" applyProtection="1">
      <protection hidden="1"/>
    </xf>
    <xf numFmtId="4" fontId="0" fillId="0" borderId="8" xfId="49" applyNumberFormat="1" applyBorder="1" applyProtection="1">
      <protection hidden="1"/>
    </xf>
    <xf numFmtId="4" fontId="0" fillId="0" borderId="9" xfId="49" applyNumberFormat="1" applyBorder="1" applyProtection="1">
      <protection hidden="1"/>
    </xf>
    <xf numFmtId="14" fontId="0" fillId="0" borderId="0" xfId="0" applyNumberFormat="1" applyProtection="1">
      <protection hidden="1"/>
    </xf>
    <xf numFmtId="0" fontId="0" fillId="0" borderId="10" xfId="49" applyBorder="1" applyAlignment="1" applyProtection="1">
      <alignment horizontal="center"/>
      <protection hidden="1"/>
    </xf>
    <xf numFmtId="4" fontId="0" fillId="0" borderId="1" xfId="49" applyNumberFormat="1" applyBorder="1" applyProtection="1">
      <protection hidden="1"/>
    </xf>
    <xf numFmtId="4" fontId="0" fillId="0" borderId="10" xfId="49" applyNumberFormat="1" applyBorder="1" applyProtection="1">
      <protection hidden="1"/>
    </xf>
    <xf numFmtId="4" fontId="0" fillId="0" borderId="11" xfId="49" applyNumberFormat="1" applyBorder="1" applyProtection="1">
      <protection hidden="1"/>
    </xf>
    <xf numFmtId="0" fontId="22" fillId="0" borderId="2" xfId="49" applyFont="1" applyBorder="1" applyAlignment="1" applyProtection="1">
      <alignment horizontal="center"/>
      <protection hidden="1"/>
    </xf>
    <xf numFmtId="0" fontId="1" fillId="0" borderId="2" xfId="49" applyFont="1" applyBorder="1" applyProtection="1">
      <protection hidden="1"/>
    </xf>
    <xf numFmtId="4" fontId="1" fillId="0" borderId="3" xfId="49" applyNumberFormat="1" applyFont="1" applyBorder="1" applyProtection="1">
      <protection hidden="1"/>
    </xf>
    <xf numFmtId="4" fontId="1" fillId="0" borderId="2" xfId="49" applyNumberFormat="1" applyFont="1" applyBorder="1" applyAlignment="1" applyProtection="1">
      <alignment horizontal="right"/>
      <protection hidden="1"/>
    </xf>
    <xf numFmtId="4" fontId="1" fillId="0" borderId="4" xfId="49" applyNumberFormat="1" applyFont="1" applyBorder="1" applyProtection="1">
      <protection hidden="1"/>
    </xf>
    <xf numFmtId="0" fontId="0" fillId="0" borderId="0" xfId="49" applyProtection="1">
      <protection hidden="1"/>
    </xf>
    <xf numFmtId="0" fontId="16" fillId="0" borderId="0" xfId="49" applyFont="1" applyAlignment="1" applyProtection="1">
      <alignment horizontal="center"/>
      <protection hidden="1"/>
    </xf>
    <xf numFmtId="0" fontId="0" fillId="0" borderId="0" xfId="0" applyFill="1" applyProtection="1">
      <protection hidden="1"/>
    </xf>
    <xf numFmtId="0" fontId="0" fillId="0" borderId="0" xfId="0" applyAlignment="1" applyProtection="1">
      <alignment horizontal="left"/>
      <protection hidden="1"/>
    </xf>
    <xf numFmtId="0" fontId="23" fillId="0" borderId="0" xfId="0" applyFont="1" applyProtection="1">
      <protection hidden="1"/>
    </xf>
    <xf numFmtId="0" fontId="22" fillId="0" borderId="0" xfId="0" applyFont="1" applyProtection="1">
      <protection hidden="1"/>
    </xf>
    <xf numFmtId="0" fontId="0" fillId="0" borderId="0" xfId="0" applyAlignment="1" applyProtection="1">
      <alignment horizontal="justify" vertical="center" wrapText="1"/>
      <protection hidden="1"/>
    </xf>
    <xf numFmtId="0" fontId="0" fillId="0" borderId="0" xfId="0" applyAlignment="1" applyProtection="1">
      <alignment vertical="center" wrapText="1"/>
      <protection hidden="1"/>
    </xf>
    <xf numFmtId="0" fontId="0" fillId="0" borderId="0" xfId="0" applyAlignment="1" applyProtection="1">
      <alignment horizontal="left" vertical="top" wrapText="1"/>
      <protection hidden="1"/>
    </xf>
    <xf numFmtId="0" fontId="0" fillId="0" borderId="0" xfId="0" applyAlignment="1" applyProtection="1">
      <alignment horizontal="left" vertical="top"/>
      <protection hidden="1"/>
    </xf>
    <xf numFmtId="4" fontId="18" fillId="0" borderId="0" xfId="0" applyNumberFormat="1" applyFont="1" applyProtection="1">
      <protection hidden="1"/>
    </xf>
    <xf numFmtId="4" fontId="19" fillId="0" borderId="0" xfId="0" applyNumberFormat="1" applyFont="1" applyProtection="1">
      <protection hidden="1"/>
    </xf>
    <xf numFmtId="0" fontId="0" fillId="0" borderId="0" xfId="0" applyFont="1" applyFill="1" applyProtection="1">
      <protection hidden="1"/>
    </xf>
    <xf numFmtId="0" fontId="0" fillId="0" borderId="0" xfId="0" applyFont="1" applyFill="1" applyAlignment="1" applyProtection="1">
      <alignment horizontal="center"/>
      <protection hidden="1"/>
    </xf>
    <xf numFmtId="0" fontId="0" fillId="0" borderId="0" xfId="0" applyFont="1" applyFill="1" applyAlignment="1" applyProtection="1">
      <protection hidden="1"/>
    </xf>
    <xf numFmtId="10" fontId="1" fillId="0" borderId="0" xfId="0" applyNumberFormat="1" applyFont="1" applyFill="1" applyAlignment="1" applyProtection="1">
      <alignment horizontal="center"/>
      <protection hidden="1"/>
    </xf>
    <xf numFmtId="183" fontId="18" fillId="0" borderId="0" xfId="0" applyNumberFormat="1" applyFont="1" applyProtection="1">
      <protection hidden="1"/>
    </xf>
    <xf numFmtId="0" fontId="0" fillId="0" borderId="0" xfId="0" applyFill="1" applyAlignment="1" applyProtection="1">
      <alignment horizontal="center"/>
      <protection hidden="1"/>
    </xf>
    <xf numFmtId="9" fontId="17" fillId="0" borderId="0" xfId="0" applyNumberFormat="1" applyFont="1" applyFill="1" applyAlignment="1" applyProtection="1">
      <alignment horizontal="center"/>
      <protection hidden="1"/>
    </xf>
    <xf numFmtId="4" fontId="1" fillId="6" borderId="0" xfId="0" applyNumberFormat="1" applyFont="1" applyFill="1" applyAlignment="1" applyProtection="1">
      <alignment horizontal="center"/>
      <protection hidden="1"/>
    </xf>
    <xf numFmtId="0" fontId="18" fillId="0" borderId="0" xfId="0" applyFont="1" applyFill="1" applyProtection="1">
      <protection hidden="1"/>
    </xf>
    <xf numFmtId="10" fontId="24" fillId="0" borderId="0" xfId="0" applyNumberFormat="1" applyFont="1" applyFill="1" applyAlignment="1" applyProtection="1">
      <alignment horizontal="center"/>
      <protection hidden="1"/>
    </xf>
    <xf numFmtId="4" fontId="18" fillId="0" borderId="0" xfId="49" applyNumberFormat="1" applyFont="1" applyFill="1" applyBorder="1" applyAlignment="1" applyProtection="1">
      <alignment vertical="center"/>
      <protection hidden="1"/>
    </xf>
    <xf numFmtId="0" fontId="25" fillId="0" borderId="0" xfId="0" applyFont="1" applyProtection="1">
      <protection hidden="1"/>
    </xf>
    <xf numFmtId="0" fontId="8" fillId="0" borderId="2" xfId="49" applyFont="1" applyBorder="1" applyAlignment="1" applyProtection="1">
      <alignment horizontal="centerContinuous"/>
      <protection hidden="1"/>
    </xf>
    <xf numFmtId="0" fontId="26" fillId="0" borderId="3" xfId="49" applyFont="1" applyBorder="1" applyAlignment="1" applyProtection="1">
      <alignment horizontal="centerContinuous"/>
      <protection hidden="1"/>
    </xf>
    <xf numFmtId="0" fontId="19" fillId="6" borderId="20" xfId="49" applyFont="1" applyFill="1" applyBorder="1" applyAlignment="1" applyProtection="1">
      <alignment horizontal="center" vertical="top" wrapText="1"/>
      <protection hidden="1"/>
    </xf>
    <xf numFmtId="0" fontId="19" fillId="6" borderId="7" xfId="49" applyFont="1" applyFill="1" applyBorder="1" applyAlignment="1" applyProtection="1">
      <alignment horizontal="center" vertical="top" wrapText="1"/>
      <protection hidden="1"/>
    </xf>
    <xf numFmtId="0" fontId="16" fillId="0" borderId="20" xfId="49" applyFont="1" applyFill="1" applyBorder="1" applyAlignment="1" applyProtection="1">
      <alignment horizontal="center" wrapText="1"/>
      <protection hidden="1"/>
    </xf>
    <xf numFmtId="0" fontId="16" fillId="12" borderId="20" xfId="49" applyFont="1" applyFill="1" applyBorder="1" applyAlignment="1" applyProtection="1">
      <alignment horizontal="center" wrapText="1"/>
      <protection hidden="1"/>
    </xf>
    <xf numFmtId="0" fontId="0" fillId="12" borderId="5" xfId="49" applyFont="1" applyFill="1" applyBorder="1" applyAlignment="1" applyProtection="1">
      <alignment horizontal="center" wrapText="1"/>
      <protection hidden="1"/>
    </xf>
    <xf numFmtId="0" fontId="0" fillId="12" borderId="7" xfId="49" applyFont="1" applyFill="1" applyBorder="1" applyAlignment="1" applyProtection="1">
      <alignment horizontal="center" wrapText="1"/>
      <protection hidden="1"/>
    </xf>
    <xf numFmtId="0" fontId="0" fillId="6" borderId="21" xfId="49" applyFill="1" applyBorder="1" applyAlignment="1" applyProtection="1">
      <alignment horizontal="center" wrapText="1"/>
      <protection hidden="1"/>
    </xf>
    <xf numFmtId="0" fontId="0" fillId="6" borderId="1" xfId="49" applyFill="1" applyBorder="1" applyAlignment="1" applyProtection="1">
      <alignment horizontal="center" wrapText="1"/>
      <protection hidden="1"/>
    </xf>
    <xf numFmtId="0" fontId="0" fillId="6" borderId="10" xfId="49" applyFill="1" applyBorder="1" applyAlignment="1" applyProtection="1">
      <alignment horizontal="center" wrapText="1"/>
      <protection hidden="1"/>
    </xf>
    <xf numFmtId="0" fontId="0" fillId="6" borderId="22" xfId="49" applyFill="1" applyBorder="1" applyAlignment="1" applyProtection="1">
      <alignment wrapText="1"/>
      <protection hidden="1"/>
    </xf>
    <xf numFmtId="0" fontId="0" fillId="6" borderId="0" xfId="49" applyFill="1" applyBorder="1" applyAlignment="1" applyProtection="1">
      <alignment wrapText="1"/>
      <protection hidden="1"/>
    </xf>
    <xf numFmtId="0" fontId="0" fillId="6" borderId="8" xfId="49" applyFill="1" applyBorder="1" applyAlignment="1" applyProtection="1">
      <alignment horizontal="center" wrapText="1"/>
      <protection hidden="1"/>
    </xf>
    <xf numFmtId="0" fontId="0" fillId="0" borderId="8" xfId="49" applyFill="1" applyBorder="1" applyAlignment="1" applyProtection="1">
      <alignment horizontal="center" wrapText="1"/>
      <protection hidden="1"/>
    </xf>
    <xf numFmtId="0" fontId="0" fillId="0" borderId="5" xfId="49" applyFill="1" applyBorder="1" applyAlignment="1" applyProtection="1">
      <alignment horizontal="center" wrapText="1"/>
      <protection hidden="1"/>
    </xf>
    <xf numFmtId="0" fontId="0" fillId="0" borderId="0" xfId="49" applyFill="1" applyBorder="1" applyAlignment="1" applyProtection="1">
      <alignment horizontal="center" wrapText="1"/>
      <protection hidden="1"/>
    </xf>
    <xf numFmtId="4" fontId="19" fillId="6" borderId="22" xfId="49" applyNumberFormat="1" applyFont="1" applyFill="1" applyBorder="1" applyProtection="1">
      <protection hidden="1"/>
    </xf>
    <xf numFmtId="4" fontId="19" fillId="6" borderId="0" xfId="49" applyNumberFormat="1" applyFont="1" applyFill="1" applyProtection="1">
      <protection hidden="1"/>
    </xf>
    <xf numFmtId="4" fontId="0" fillId="0" borderId="22" xfId="49" applyNumberFormat="1" applyBorder="1" applyProtection="1">
      <protection hidden="1"/>
    </xf>
    <xf numFmtId="4" fontId="7" fillId="3" borderId="9" xfId="49" applyNumberFormat="1" applyFont="1" applyFill="1" applyBorder="1" applyProtection="1">
      <protection hidden="1"/>
    </xf>
    <xf numFmtId="4" fontId="19" fillId="6" borderId="21" xfId="49" applyNumberFormat="1" applyFont="1" applyFill="1" applyBorder="1" applyProtection="1">
      <protection hidden="1"/>
    </xf>
    <xf numFmtId="4" fontId="19" fillId="6" borderId="1" xfId="49" applyNumberFormat="1" applyFont="1" applyFill="1" applyBorder="1" applyProtection="1">
      <protection hidden="1"/>
    </xf>
    <xf numFmtId="4" fontId="0" fillId="0" borderId="21" xfId="49" applyNumberFormat="1" applyBorder="1" applyProtection="1">
      <protection hidden="1"/>
    </xf>
    <xf numFmtId="4" fontId="1" fillId="6" borderId="23" xfId="49" applyNumberFormat="1" applyFont="1" applyFill="1" applyBorder="1" applyProtection="1">
      <protection hidden="1"/>
    </xf>
    <xf numFmtId="4" fontId="1" fillId="6" borderId="3" xfId="49" applyNumberFormat="1" applyFont="1" applyFill="1" applyBorder="1" applyProtection="1">
      <protection hidden="1"/>
    </xf>
    <xf numFmtId="4" fontId="1" fillId="0" borderId="23" xfId="49" applyNumberFormat="1" applyFont="1" applyBorder="1" applyProtection="1">
      <protection hidden="1"/>
    </xf>
    <xf numFmtId="4" fontId="1" fillId="0" borderId="2" xfId="49" applyNumberFormat="1" applyFont="1" applyBorder="1" applyProtection="1">
      <protection hidden="1"/>
    </xf>
    <xf numFmtId="0" fontId="27" fillId="0" borderId="0" xfId="0" applyFont="1" applyProtection="1">
      <protection hidden="1"/>
    </xf>
    <xf numFmtId="10" fontId="28" fillId="0" borderId="0" xfId="0" applyNumberFormat="1" applyFont="1" applyProtection="1">
      <protection hidden="1"/>
    </xf>
    <xf numFmtId="0" fontId="27" fillId="0" borderId="0" xfId="0" applyFont="1" applyAlignment="1" applyProtection="1">
      <alignment horizontal="right"/>
      <protection hidden="1"/>
    </xf>
    <xf numFmtId="10" fontId="0" fillId="0" borderId="0" xfId="3" applyNumberFormat="1" applyFont="1" applyProtection="1">
      <protection hidden="1"/>
    </xf>
    <xf numFmtId="9" fontId="28" fillId="0" borderId="0" xfId="0" applyNumberFormat="1" applyFont="1" applyProtection="1">
      <protection hidden="1"/>
    </xf>
    <xf numFmtId="0" fontId="26" fillId="0" borderId="4" xfId="49" applyFont="1" applyBorder="1" applyAlignment="1" applyProtection="1">
      <alignment horizontal="centerContinuous"/>
      <protection hidden="1"/>
    </xf>
    <xf numFmtId="0" fontId="18" fillId="0" borderId="8" xfId="0" applyFont="1" applyBorder="1" applyAlignment="1" applyProtection="1">
      <alignment horizontal="center"/>
      <protection hidden="1"/>
    </xf>
    <xf numFmtId="0" fontId="18" fillId="0" borderId="0" xfId="0" applyFont="1" applyBorder="1" applyAlignment="1" applyProtection="1">
      <alignment horizontal="center"/>
      <protection hidden="1"/>
    </xf>
    <xf numFmtId="0" fontId="18" fillId="0" borderId="8" xfId="0" applyFont="1" applyBorder="1" applyAlignment="1" applyProtection="1">
      <alignment horizontal="center" wrapText="1"/>
      <protection hidden="1"/>
    </xf>
    <xf numFmtId="0" fontId="18" fillId="0" borderId="0" xfId="0" applyFont="1" applyAlignment="1" applyProtection="1">
      <alignment horizontal="center" wrapText="1"/>
      <protection hidden="1"/>
    </xf>
    <xf numFmtId="0" fontId="18" fillId="0" borderId="0" xfId="0" applyFont="1" applyBorder="1" applyAlignment="1" applyProtection="1">
      <alignment horizontal="center" wrapText="1"/>
      <protection hidden="1"/>
    </xf>
    <xf numFmtId="0" fontId="28" fillId="0" borderId="0" xfId="0" applyFont="1" applyAlignment="1" applyProtection="1">
      <alignment horizontal="center" wrapText="1"/>
      <protection hidden="1"/>
    </xf>
    <xf numFmtId="0" fontId="0" fillId="12" borderId="11" xfId="49" applyFont="1" applyFill="1" applyBorder="1" applyAlignment="1" applyProtection="1">
      <alignment horizontal="center" wrapText="1"/>
      <protection hidden="1"/>
    </xf>
    <xf numFmtId="0" fontId="0" fillId="12" borderId="21" xfId="49" applyFill="1" applyBorder="1" applyAlignment="1" applyProtection="1">
      <alignment horizontal="center" wrapText="1"/>
      <protection hidden="1"/>
    </xf>
    <xf numFmtId="0" fontId="28" fillId="0" borderId="0" xfId="0" applyFont="1" applyProtection="1">
      <protection hidden="1"/>
    </xf>
    <xf numFmtId="4" fontId="0" fillId="0" borderId="22" xfId="49" applyNumberFormat="1" applyFill="1" applyBorder="1" applyProtection="1">
      <protection hidden="1"/>
    </xf>
    <xf numFmtId="9" fontId="18" fillId="0" borderId="0" xfId="3" applyFont="1" applyProtection="1">
      <protection hidden="1"/>
    </xf>
    <xf numFmtId="2" fontId="18" fillId="0" borderId="0" xfId="0" applyNumberFormat="1" applyFont="1" applyProtection="1">
      <protection hidden="1"/>
    </xf>
    <xf numFmtId="179" fontId="28" fillId="0" borderId="0" xfId="0" applyNumberFormat="1" applyFont="1" applyProtection="1">
      <protection hidden="1"/>
    </xf>
    <xf numFmtId="4" fontId="0" fillId="0" borderId="0" xfId="0" applyNumberFormat="1" applyProtection="1">
      <protection hidden="1"/>
    </xf>
    <xf numFmtId="0" fontId="5" fillId="0" borderId="0" xfId="0" applyFont="1" applyProtection="1">
      <protection hidden="1"/>
    </xf>
    <xf numFmtId="0" fontId="0" fillId="5" borderId="0" xfId="0" applyFill="1" applyProtection="1">
      <protection hidden="1"/>
    </xf>
    <xf numFmtId="0" fontId="0" fillId="9" borderId="0" xfId="0" applyFill="1" applyProtection="1">
      <protection hidden="1"/>
    </xf>
    <xf numFmtId="10" fontId="0" fillId="9" borderId="0" xfId="0" applyNumberFormat="1" applyFill="1" applyProtection="1">
      <protection hidden="1"/>
    </xf>
    <xf numFmtId="10" fontId="0" fillId="0" borderId="0" xfId="0" applyNumberFormat="1" applyProtection="1">
      <protection hidden="1"/>
    </xf>
    <xf numFmtId="9" fontId="0" fillId="0" borderId="0" xfId="0" applyNumberFormat="1" applyProtection="1">
      <protection hidden="1"/>
    </xf>
    <xf numFmtId="0" fontId="29" fillId="0" borderId="24" xfId="0" applyFont="1" applyBorder="1" applyAlignment="1" applyProtection="1">
      <alignment horizontal="center" vertical="center" wrapText="1"/>
      <protection hidden="1"/>
    </xf>
    <xf numFmtId="0" fontId="29" fillId="0" borderId="25" xfId="0" applyFont="1" applyBorder="1" applyAlignment="1" applyProtection="1">
      <alignment horizontal="center" vertical="center" wrapText="1"/>
      <protection hidden="1"/>
    </xf>
    <xf numFmtId="0" fontId="29" fillId="0" borderId="26" xfId="0" applyFont="1" applyBorder="1" applyAlignment="1" applyProtection="1">
      <alignment horizontal="center" vertical="center" wrapText="1"/>
      <protection hidden="1"/>
    </xf>
    <xf numFmtId="0" fontId="29" fillId="0" borderId="27" xfId="0" applyFont="1" applyBorder="1" applyAlignment="1" applyProtection="1">
      <alignment horizontal="center" vertical="center" wrapText="1"/>
      <protection hidden="1"/>
    </xf>
    <xf numFmtId="0" fontId="29" fillId="0" borderId="28" xfId="0" applyFont="1" applyBorder="1" applyAlignment="1" applyProtection="1">
      <alignment horizontal="center" vertical="center" wrapText="1"/>
      <protection hidden="1"/>
    </xf>
    <xf numFmtId="0" fontId="29" fillId="0" borderId="19" xfId="0" applyFont="1" applyBorder="1" applyAlignment="1" applyProtection="1">
      <alignment horizontal="center" vertical="center" wrapText="1"/>
      <protection hidden="1"/>
    </xf>
    <xf numFmtId="0" fontId="30" fillId="0" borderId="19" xfId="0" applyFont="1" applyBorder="1" applyAlignment="1" applyProtection="1">
      <alignment horizontal="center" vertical="center" wrapText="1"/>
      <protection hidden="1"/>
    </xf>
    <xf numFmtId="0" fontId="31" fillId="0" borderId="28" xfId="0" applyFont="1" applyBorder="1" applyAlignment="1" applyProtection="1">
      <alignment vertical="center" wrapText="1"/>
      <protection hidden="1"/>
    </xf>
    <xf numFmtId="184" fontId="31" fillId="0" borderId="19" xfId="0" applyNumberFormat="1" applyFont="1" applyBorder="1" applyAlignment="1" applyProtection="1">
      <alignment horizontal="center" vertical="center" wrapText="1"/>
      <protection hidden="1"/>
    </xf>
    <xf numFmtId="10" fontId="31" fillId="0" borderId="19" xfId="0" applyNumberFormat="1" applyFont="1" applyBorder="1" applyAlignment="1" applyProtection="1">
      <alignment horizontal="center" vertical="center" wrapText="1"/>
      <protection hidden="1"/>
    </xf>
    <xf numFmtId="0" fontId="31" fillId="0" borderId="19" xfId="0" applyFont="1" applyBorder="1" applyAlignment="1" applyProtection="1">
      <alignment horizontal="center" vertical="center" wrapText="1"/>
      <protection hidden="1"/>
    </xf>
    <xf numFmtId="185" fontId="31" fillId="0" borderId="19" xfId="0" applyNumberFormat="1" applyFont="1" applyBorder="1" applyAlignment="1" applyProtection="1">
      <alignment horizontal="center" vertical="center" wrapText="1"/>
      <protection hidden="1"/>
    </xf>
    <xf numFmtId="185" fontId="31" fillId="5" borderId="19" xfId="0" applyNumberFormat="1" applyFont="1" applyFill="1" applyBorder="1" applyAlignment="1" applyProtection="1">
      <alignment horizontal="center" vertical="center" wrapText="1"/>
      <protection hidden="1"/>
    </xf>
    <xf numFmtId="3" fontId="0" fillId="0" borderId="0" xfId="0" applyNumberFormat="1" applyProtection="1">
      <protection hidden="1"/>
    </xf>
    <xf numFmtId="0" fontId="0" fillId="0" borderId="1" xfId="0" applyBorder="1" applyProtection="1">
      <protection hidden="1"/>
    </xf>
    <xf numFmtId="0" fontId="0" fillId="0" borderId="1" xfId="0" applyBorder="1" applyAlignment="1" applyProtection="1">
      <protection hidden="1"/>
    </xf>
    <xf numFmtId="0" fontId="0" fillId="0" borderId="0" xfId="0" applyBorder="1" applyProtection="1">
      <protection hidden="1"/>
    </xf>
    <xf numFmtId="0" fontId="0" fillId="0" borderId="1" xfId="0" applyBorder="1" applyAlignment="1" applyProtection="1">
      <alignment horizontal="left"/>
      <protection hidden="1"/>
    </xf>
    <xf numFmtId="182" fontId="0" fillId="5" borderId="0" xfId="0" applyNumberFormat="1" applyFill="1" applyAlignment="1" applyProtection="1">
      <alignment horizontal="center"/>
      <protection locked="0" hidden="1"/>
    </xf>
    <xf numFmtId="0" fontId="16" fillId="12" borderId="5" xfId="49" applyFont="1" applyFill="1" applyBorder="1" applyAlignment="1" applyProtection="1">
      <alignment horizontal="center" wrapText="1"/>
      <protection hidden="1"/>
    </xf>
    <xf numFmtId="0" fontId="0" fillId="12" borderId="7" xfId="49" applyFill="1" applyBorder="1" applyAlignment="1" applyProtection="1">
      <alignment horizontal="center" wrapText="1"/>
      <protection hidden="1"/>
    </xf>
    <xf numFmtId="0" fontId="0" fillId="0" borderId="0" xfId="0" applyNumberFormat="1" applyAlignment="1" applyProtection="1">
      <alignment horizontal="left" vertical="center" wrapText="1"/>
      <protection hidden="1"/>
    </xf>
    <xf numFmtId="0" fontId="0" fillId="0" borderId="1" xfId="0" applyBorder="1" applyAlignment="1" applyProtection="1">
      <alignment horizontal="center"/>
      <protection hidden="1"/>
    </xf>
    <xf numFmtId="0" fontId="0" fillId="5" borderId="0" xfId="0" applyFill="1" applyAlignment="1" applyProtection="1">
      <alignment horizontal="center"/>
      <protection hidden="1"/>
    </xf>
    <xf numFmtId="4" fontId="15" fillId="0" borderId="0" xfId="0" applyNumberFormat="1" applyFont="1" applyFill="1" applyAlignment="1" applyProtection="1">
      <alignment horizontal="center" vertical="center"/>
      <protection hidden="1"/>
    </xf>
    <xf numFmtId="180" fontId="0" fillId="0" borderId="0" xfId="0" applyNumberFormat="1" applyProtection="1">
      <protection hidden="1"/>
    </xf>
    <xf numFmtId="0" fontId="0" fillId="12" borderId="5" xfId="49" applyFill="1" applyBorder="1" applyAlignment="1" applyProtection="1">
      <alignment horizontal="center" wrapText="1"/>
      <protection hidden="1"/>
    </xf>
    <xf numFmtId="0" fontId="0" fillId="12" borderId="5" xfId="49" applyFont="1" applyFill="1" applyBorder="1" applyAlignment="1" applyProtection="1">
      <alignment horizontal="centerContinuous" wrapText="1"/>
      <protection hidden="1"/>
    </xf>
    <xf numFmtId="0" fontId="0" fillId="12" borderId="7" xfId="49" applyFont="1" applyFill="1" applyBorder="1" applyAlignment="1" applyProtection="1">
      <alignment horizontal="centerContinuous" wrapText="1"/>
      <protection hidden="1"/>
    </xf>
    <xf numFmtId="0" fontId="0" fillId="12" borderId="10" xfId="49" applyFill="1" applyBorder="1" applyAlignment="1" applyProtection="1">
      <alignment horizontal="centerContinuous" wrapText="1"/>
      <protection hidden="1"/>
    </xf>
    <xf numFmtId="0" fontId="0" fillId="12" borderId="11" xfId="49" applyFont="1" applyFill="1" applyBorder="1" applyAlignment="1" applyProtection="1">
      <alignment horizontal="centerContinuous" wrapText="1"/>
      <protection hidden="1"/>
    </xf>
    <xf numFmtId="0" fontId="1" fillId="0" borderId="2" xfId="49" applyFont="1" applyBorder="1" applyAlignment="1" applyProtection="1">
      <alignment horizontal="center"/>
      <protection hidden="1"/>
    </xf>
    <xf numFmtId="0" fontId="0" fillId="0" borderId="0" xfId="49" applyFont="1" applyAlignment="1" applyProtection="1">
      <alignment horizontal="center"/>
      <protection hidden="1"/>
    </xf>
    <xf numFmtId="49" fontId="0" fillId="0" borderId="0" xfId="0" applyNumberFormat="1" applyAlignment="1" applyProtection="1">
      <alignment horizontal="justify" vertical="center" wrapText="1"/>
      <protection hidden="1"/>
    </xf>
    <xf numFmtId="0" fontId="0" fillId="0" borderId="0" xfId="0" applyNumberFormat="1" applyAlignment="1" applyProtection="1">
      <alignment horizontal="justify" vertical="center" wrapText="1"/>
      <protection hidden="1"/>
    </xf>
    <xf numFmtId="0" fontId="21" fillId="0" borderId="0" xfId="0" applyFont="1" applyProtection="1">
      <protection hidden="1"/>
    </xf>
    <xf numFmtId="0" fontId="25" fillId="0" borderId="0" xfId="0" applyFont="1" applyAlignment="1" applyProtection="1">
      <alignment horizontal="centerContinuous"/>
      <protection hidden="1"/>
    </xf>
    <xf numFmtId="0" fontId="0" fillId="6" borderId="20" xfId="49" applyFont="1" applyFill="1" applyBorder="1" applyAlignment="1" applyProtection="1">
      <alignment horizontal="center" wrapText="1"/>
      <protection hidden="1"/>
    </xf>
    <xf numFmtId="0" fontId="0" fillId="12" borderId="20" xfId="49" applyFont="1" applyFill="1" applyBorder="1" applyAlignment="1" applyProtection="1">
      <alignment horizontal="center" wrapText="1"/>
      <protection hidden="1"/>
    </xf>
    <xf numFmtId="0" fontId="0" fillId="12" borderId="5" xfId="49" applyFont="1" applyFill="1" applyBorder="1" applyAlignment="1" applyProtection="1">
      <alignment horizontal="center" vertical="center" wrapText="1"/>
      <protection hidden="1"/>
    </xf>
    <xf numFmtId="0" fontId="0" fillId="12" borderId="7" xfId="49" applyFill="1" applyBorder="1" applyAlignment="1" applyProtection="1">
      <alignment horizontal="center" vertical="center" wrapText="1"/>
      <protection hidden="1"/>
    </xf>
    <xf numFmtId="0" fontId="1" fillId="6" borderId="21" xfId="49" applyFont="1" applyFill="1" applyBorder="1" applyAlignment="1" applyProtection="1">
      <alignment horizontal="center" vertical="top" wrapText="1"/>
      <protection hidden="1"/>
    </xf>
    <xf numFmtId="0" fontId="1" fillId="6" borderId="1" xfId="49" applyFont="1" applyFill="1" applyBorder="1" applyAlignment="1" applyProtection="1">
      <alignment horizontal="center" vertical="top" wrapText="1"/>
      <protection hidden="1"/>
    </xf>
    <xf numFmtId="0" fontId="0" fillId="12" borderId="10" xfId="49" applyFill="1" applyBorder="1" applyAlignment="1" applyProtection="1">
      <alignment horizontal="center" vertical="center" wrapText="1"/>
      <protection hidden="1"/>
    </xf>
    <xf numFmtId="0" fontId="0" fillId="12" borderId="11" xfId="49" applyFill="1" applyBorder="1" applyAlignment="1" applyProtection="1">
      <alignment horizontal="center" vertical="center" wrapText="1"/>
      <protection hidden="1"/>
    </xf>
    <xf numFmtId="179" fontId="0" fillId="0" borderId="0" xfId="3" applyNumberFormat="1" applyFont="1" applyProtection="1">
      <protection hidden="1"/>
    </xf>
    <xf numFmtId="0" fontId="32" fillId="0" borderId="0" xfId="0" applyFont="1" applyProtection="1">
      <protection hidden="1"/>
    </xf>
    <xf numFmtId="0" fontId="1" fillId="12" borderId="7" xfId="49" applyFont="1" applyFill="1" applyBorder="1" applyAlignment="1" applyProtection="1">
      <alignment horizontal="center" vertical="top" wrapText="1"/>
      <protection hidden="1"/>
    </xf>
    <xf numFmtId="0" fontId="1" fillId="12" borderId="11" xfId="49" applyFont="1" applyFill="1" applyBorder="1" applyAlignment="1" applyProtection="1">
      <alignment horizontal="center" vertical="top" wrapText="1"/>
      <protection hidden="1"/>
    </xf>
    <xf numFmtId="9" fontId="18" fillId="0" borderId="0" xfId="3" applyNumberFormat="1" applyFont="1" applyProtection="1">
      <protection hidden="1"/>
    </xf>
    <xf numFmtId="0" fontId="32" fillId="0" borderId="0" xfId="0" applyFont="1" applyAlignment="1" applyProtection="1">
      <alignment wrapText="1"/>
      <protection hidden="1"/>
    </xf>
    <xf numFmtId="43" fontId="0" fillId="0" borderId="0" xfId="1" applyFont="1" applyProtection="1">
      <protection hidden="1"/>
    </xf>
    <xf numFmtId="9" fontId="0" fillId="0" borderId="0" xfId="3" applyFont="1"/>
    <xf numFmtId="43" fontId="0" fillId="0" borderId="0" xfId="1" applyFont="1" applyAlignment="1">
      <alignment horizontal="right"/>
    </xf>
    <xf numFmtId="0" fontId="0" fillId="13" borderId="0" xfId="0" applyFill="1"/>
    <xf numFmtId="43" fontId="0" fillId="13" borderId="0" xfId="1" applyFont="1" applyFill="1"/>
    <xf numFmtId="0" fontId="0" fillId="14" borderId="0" xfId="0" applyFill="1"/>
    <xf numFmtId="43" fontId="0" fillId="14" borderId="0" xfId="1" applyFont="1" applyFill="1"/>
    <xf numFmtId="2" fontId="0" fillId="0" borderId="0" xfId="0" applyNumberFormat="1"/>
    <xf numFmtId="0" fontId="0" fillId="0" borderId="12" xfId="0" applyBorder="1"/>
    <xf numFmtId="0" fontId="0" fillId="0" borderId="29" xfId="0" applyBorder="1"/>
    <xf numFmtId="0" fontId="0" fillId="0" borderId="14" xfId="0" applyBorder="1"/>
    <xf numFmtId="0" fontId="0" fillId="0" borderId="17" xfId="0" applyBorder="1"/>
    <xf numFmtId="0" fontId="0" fillId="0" borderId="30" xfId="0" applyBorder="1"/>
    <xf numFmtId="0" fontId="0" fillId="0" borderId="19" xfId="0" applyBorder="1"/>
    <xf numFmtId="43" fontId="33" fillId="15" borderId="0" xfId="26" applyNumberFormat="1" applyProtection="1">
      <protection hidden="1"/>
    </xf>
    <xf numFmtId="0" fontId="33" fillId="15" borderId="0" xfId="26" applyProtection="1">
      <protection hidden="1"/>
    </xf>
    <xf numFmtId="43" fontId="0" fillId="0" borderId="0" xfId="0" applyNumberFormat="1" applyProtection="1">
      <protection hidden="1"/>
    </xf>
    <xf numFmtId="43" fontId="34" fillId="16" borderId="31" xfId="1" applyFont="1" applyFill="1" applyBorder="1" applyProtection="1">
      <protection hidden="1"/>
    </xf>
    <xf numFmtId="0" fontId="0" fillId="13" borderId="30" xfId="0" applyFill="1" applyBorder="1"/>
    <xf numFmtId="0" fontId="0" fillId="17" borderId="0" xfId="0" applyFill="1"/>
    <xf numFmtId="14" fontId="0" fillId="0" borderId="0" xfId="0" applyNumberFormat="1"/>
    <xf numFmtId="14" fontId="35" fillId="0" borderId="0" xfId="0" applyNumberFormat="1" applyFont="1"/>
    <xf numFmtId="0" fontId="23" fillId="0" borderId="0" xfId="0" applyFont="1" applyProtection="1" quotePrefix="1">
      <protection hidden="1"/>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_Illustration-101Compass (BOSS) 2" xfId="49"/>
  </cellStyles>
  <dxfs count="4">
    <dxf>
      <font>
        <color theme="0"/>
      </font>
    </dxf>
    <dxf>
      <font>
        <color theme="0" tint="-0.0499893185216834"/>
      </font>
      <fill>
        <patternFill patternType="none"/>
      </fill>
    </dxf>
    <dxf>
      <font>
        <color auto="1"/>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www.wps.cn/officeDocument/2023/relationships/customStorage" Target="customStorage/customStorage.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eetMetadata" Target="metadata.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theme" Target="theme/theme1.xml"/><Relationship Id="rId17" Type="http://schemas.openxmlformats.org/officeDocument/2006/relationships/externalLink" Target="externalLinks/externalLink1.xml"/><Relationship Id="rId16" Type="http://schemas.openxmlformats.org/officeDocument/2006/relationships/customXml" Target="../customXml/item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ustomStorage/customStorage.xml><?xml version="1.0" encoding="utf-8"?>
<customStorage xmlns="https://web.wps.cn/et/2018/main">
  <book/>
  <sheets/>
</customStorag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38100</xdr:rowOff>
        </xdr:from>
        <xdr:to>
          <xdr:col>15</xdr:col>
          <xdr:colOff>495300</xdr:colOff>
          <xdr:row>3</xdr:row>
          <xdr:rowOff>152400</xdr:rowOff>
        </xdr:to>
        <xdr:sp macro="[0]!ShowHideRows_E">
          <xdr:nvSpPr>
            <xdr:cNvPr id="6172" name="Button 28" hidden="1">
              <a:extLst>
                <a:ext uri="{63B3BB69-23CF-44E3-9099-C40C66FF867C}">
                  <a14:compatExt spid="_x0000_s6172"/>
                </a:ext>
              </a:extLst>
            </xdr:cNvPr>
            <xdr:cNvSpPr/>
          </xdr:nvSpPr>
          <xdr:spPr>
            <a:xfrm>
              <a:off x="3590925" y="38100"/>
              <a:ext cx="7877175" cy="714375"/>
            </a:xfrm>
            <a:prstGeom prst="rect">
              <a:avLst/>
            </a:prstGeom>
          </xdr:spPr>
          <xdr:txBody>
            <a:bodyPr vertOverflow="clip" wrap="square" lIns="36576" tIns="32004" rIns="36576" bIns="32004" anchor="ctr" upright="1"/>
            <a:lstStyle/>
            <a:p>
              <a:pPr algn="ctr" rtl="0">
                <a:defRPr sz="1000"/>
              </a:pPr>
              <a:r>
                <a:rPr lang="en-US" sz="1800" b="1" i="0" u="none" strike="noStrike" baseline="0">
                  <a:solidFill>
                    <a:srgbClr val="FF00FF"/>
                  </a:solidFill>
                  <a:latin typeface="Times New Roman" panose="02020603050405020304" pitchFamily="12"/>
                  <a:cs typeface="Times New Roman" panose="02020603050405020304" pitchFamily="12"/>
                </a:rPr>
                <a:t>Create Prepayment Page</a:t>
              </a:r>
              <a:endParaRPr lang="en-US" sz="1800" b="1" i="0" u="none" strike="noStrike" baseline="0">
                <a:solidFill>
                  <a:srgbClr val="FF00FF"/>
                </a:solidFill>
                <a:latin typeface="Times New Roman" panose="02020603050405020304" pitchFamily="12"/>
                <a:cs typeface="Times New Roman" panose="02020603050405020304" pitchFamily="12"/>
              </a:endParaRPr>
            </a:p>
            <a:p>
              <a:pPr algn="ctr" rtl="0">
                <a:defRPr sz="1000"/>
              </a:pPr>
              <a:r>
                <a:rPr lang="en-US" sz="1800" b="1" i="0" u="none" strike="noStrike" baseline="0">
                  <a:solidFill>
                    <a:srgbClr val="FF00FF"/>
                  </a:solidFill>
                  <a:latin typeface="Times New Roman" panose="02020603050405020304" pitchFamily="12"/>
                  <a:cs typeface="Times New Roman" panose="02020603050405020304" pitchFamily="12"/>
                </a:rPr>
                <a:t>(Please click this button to calculate the spreadsheet)</a:t>
              </a:r>
              <a:endParaRPr lang="en-US" sz="1800" b="1" i="0" u="none" strike="noStrike" baseline="0">
                <a:solidFill>
                  <a:srgbClr val="FF00FF"/>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16</xdr:col>
      <xdr:colOff>163508</xdr:colOff>
      <xdr:row>15</xdr:row>
      <xdr:rowOff>574947</xdr:rowOff>
    </xdr:from>
    <xdr:to>
      <xdr:col>17</xdr:col>
      <xdr:colOff>1322269</xdr:colOff>
      <xdr:row>104</xdr:row>
      <xdr:rowOff>134892</xdr:rowOff>
    </xdr:to>
    <xdr:pic>
      <xdr:nvPicPr>
        <xdr:cNvPr id="2" name="Picture 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12507595" y="2752725"/>
          <a:ext cx="2530475" cy="11347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95250</xdr:colOff>
          <xdr:row>1</xdr:row>
          <xdr:rowOff>114300</xdr:rowOff>
        </xdr:from>
        <xdr:to>
          <xdr:col>15</xdr:col>
          <xdr:colOff>438150</xdr:colOff>
          <xdr:row>4</xdr:row>
          <xdr:rowOff>19050</xdr:rowOff>
        </xdr:to>
        <xdr:sp macro="[0]!ShowHideRows_C">
          <xdr:nvSpPr>
            <xdr:cNvPr id="5169" name="Button 49" hidden="1">
              <a:extLst>
                <a:ext uri="{63B3BB69-23CF-44E3-9099-C40C66FF867C}">
                  <a14:compatExt spid="_x0000_s5169"/>
                </a:ext>
              </a:extLst>
            </xdr:cNvPr>
            <xdr:cNvSpPr/>
          </xdr:nvSpPr>
          <xdr:spPr>
            <a:xfrm>
              <a:off x="3552825" y="314325"/>
              <a:ext cx="6772275" cy="638175"/>
            </a:xfrm>
            <a:prstGeom prst="rect">
              <a:avLst/>
            </a:prstGeom>
          </xdr:spPr>
          <xdr:txBody>
            <a:bodyPr vertOverflow="clip" wrap="square" lIns="36576" tIns="32004" rIns="36576" bIns="32004" anchor="ctr" upright="1"/>
            <a:lstStyle/>
            <a:p>
              <a:pPr algn="ctr" rtl="0">
                <a:defRPr sz="1000"/>
              </a:pPr>
              <a:r>
                <a:rPr lang="en-US" sz="1800" b="1" i="0" u="none" strike="noStrike" baseline="0">
                  <a:solidFill>
                    <a:srgbClr val="FF00FF"/>
                  </a:solidFill>
                  <a:latin typeface="Times New Roman" panose="02020603050405020304" pitchFamily="12"/>
                  <a:cs typeface="Times New Roman" panose="02020603050405020304" pitchFamily="12"/>
                </a:rPr>
                <a:t>Create Prepayment Page</a:t>
              </a:r>
              <a:endParaRPr lang="en-US" sz="1800" b="1" i="0" u="none" strike="noStrike" baseline="0">
                <a:solidFill>
                  <a:srgbClr val="FF00FF"/>
                </a:solidFill>
                <a:latin typeface="Times New Roman" panose="02020603050405020304" pitchFamily="12"/>
                <a:cs typeface="Times New Roman" panose="02020603050405020304" pitchFamily="12"/>
              </a:endParaRPr>
            </a:p>
            <a:p>
              <a:pPr algn="ctr" rtl="0">
                <a:defRPr sz="1000"/>
              </a:pPr>
              <a:r>
                <a:rPr lang="en-US" sz="1800" b="1" i="0" u="none" strike="noStrike" baseline="0">
                  <a:solidFill>
                    <a:srgbClr val="FF00FF"/>
                  </a:solidFill>
                  <a:latin typeface="Times New Roman" panose="02020603050405020304" pitchFamily="12"/>
                  <a:cs typeface="Times New Roman" panose="02020603050405020304" pitchFamily="12"/>
                </a:rPr>
                <a:t>(Please click this button to calculate the spreadsheet)</a:t>
              </a:r>
              <a:endParaRPr lang="en-US" sz="1800" b="1" i="0" u="none" strike="noStrike" baseline="0">
                <a:solidFill>
                  <a:srgbClr val="FF00FF"/>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16</xdr:col>
      <xdr:colOff>792843</xdr:colOff>
      <xdr:row>16</xdr:row>
      <xdr:rowOff>68943</xdr:rowOff>
    </xdr:from>
    <xdr:to>
      <xdr:col>17</xdr:col>
      <xdr:colOff>1681276</xdr:colOff>
      <xdr:row>82</xdr:row>
      <xdr:rowOff>130356</xdr:rowOff>
    </xdr:to>
    <xdr:pic>
      <xdr:nvPicPr>
        <xdr:cNvPr id="2" name="Picture 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12336780" y="2762250"/>
          <a:ext cx="2545715" cy="1130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5</xdr:col>
          <xdr:colOff>19050</xdr:colOff>
          <xdr:row>0</xdr:row>
          <xdr:rowOff>133350</xdr:rowOff>
        </xdr:from>
        <xdr:to>
          <xdr:col>15</xdr:col>
          <xdr:colOff>361950</xdr:colOff>
          <xdr:row>3</xdr:row>
          <xdr:rowOff>228600</xdr:rowOff>
        </xdr:to>
        <xdr:sp macro="[0]!ShowHideRows_C">
          <xdr:nvSpPr>
            <xdr:cNvPr id="8193" name="Button 1" hidden="1">
              <a:extLst>
                <a:ext uri="{63B3BB69-23CF-44E3-9099-C40C66FF867C}">
                  <a14:compatExt spid="_x0000_s8193"/>
                </a:ext>
              </a:extLst>
            </xdr:cNvPr>
            <xdr:cNvSpPr/>
          </xdr:nvSpPr>
          <xdr:spPr>
            <a:xfrm>
              <a:off x="3476625" y="133350"/>
              <a:ext cx="6772275" cy="695325"/>
            </a:xfrm>
            <a:prstGeom prst="rect">
              <a:avLst/>
            </a:prstGeom>
          </xdr:spPr>
          <xdr:txBody>
            <a:bodyPr vertOverflow="clip" wrap="square" lIns="36576" tIns="32004" rIns="36576" bIns="32004" anchor="ctr" upright="1"/>
            <a:lstStyle/>
            <a:p>
              <a:pPr algn="ctr" rtl="0">
                <a:defRPr sz="1000"/>
              </a:pPr>
              <a:r>
                <a:rPr lang="en-US" sz="1800" b="1" i="0" u="none" strike="noStrike" baseline="0">
                  <a:solidFill>
                    <a:srgbClr val="FF00FF"/>
                  </a:solidFill>
                  <a:latin typeface="Times New Roman" panose="02020603050405020304" pitchFamily="12"/>
                  <a:cs typeface="Times New Roman" panose="02020603050405020304" pitchFamily="12"/>
                </a:rPr>
                <a:t>Create Prepayment Page</a:t>
              </a:r>
              <a:endParaRPr lang="en-US" sz="1800" b="1" i="0" u="none" strike="noStrike" baseline="0">
                <a:solidFill>
                  <a:srgbClr val="FF00FF"/>
                </a:solidFill>
                <a:latin typeface="Times New Roman" panose="02020603050405020304" pitchFamily="12"/>
                <a:cs typeface="Times New Roman" panose="02020603050405020304" pitchFamily="12"/>
              </a:endParaRPr>
            </a:p>
            <a:p>
              <a:pPr algn="ctr" rtl="0">
                <a:defRPr sz="1000"/>
              </a:pPr>
              <a:r>
                <a:rPr lang="en-US" sz="1800" b="1" i="0" u="none" strike="noStrike" baseline="0">
                  <a:solidFill>
                    <a:srgbClr val="FF00FF"/>
                  </a:solidFill>
                  <a:latin typeface="Times New Roman" panose="02020603050405020304" pitchFamily="12"/>
                  <a:cs typeface="Times New Roman" panose="02020603050405020304" pitchFamily="12"/>
                </a:rPr>
                <a:t>(Please click this button to calculate the spreadsheet)</a:t>
              </a:r>
              <a:endParaRPr lang="en-US" sz="1800" b="1" i="0" u="none" strike="noStrike" baseline="0">
                <a:solidFill>
                  <a:srgbClr val="FF00FF"/>
                </a:solidFill>
                <a:latin typeface="Times New Roman" panose="02020603050405020304" pitchFamily="12"/>
                <a:cs typeface="Times New Roman" panose="02020603050405020304" pitchFamily="12"/>
              </a:endParaRPr>
            </a:p>
          </xdr:txBody>
        </xdr:sp>
        <xdr:clientData fPrintsWithSheet="0"/>
      </xdr:twoCellAnchor>
    </mc:Choice>
    <mc:Fallback/>
  </mc:AlternateContent>
  <xdr:twoCellAnchor editAs="oneCell">
    <xdr:from>
      <xdr:col>16</xdr:col>
      <xdr:colOff>660400</xdr:colOff>
      <xdr:row>16</xdr:row>
      <xdr:rowOff>68944</xdr:rowOff>
    </xdr:from>
    <xdr:to>
      <xdr:col>17</xdr:col>
      <xdr:colOff>1562852</xdr:colOff>
      <xdr:row>82</xdr:row>
      <xdr:rowOff>111801</xdr:rowOff>
    </xdr:to>
    <xdr:pic>
      <xdr:nvPicPr>
        <xdr:cNvPr id="2" name="Picture 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12147550" y="2762250"/>
          <a:ext cx="2502535" cy="11118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2012-00000077\Share\Illustration-Regent%20(Product%20Tool)%20v2.1.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mmission"/>
      <sheetName val="Input"/>
      <sheetName val="Illustration (standard) (GN16)"/>
      <sheetName val="Illus-Withdrawal (GN16)"/>
      <sheetName val="Illustration (standard)"/>
      <sheetName val="Backward Cal. (size discount)"/>
      <sheetName val="Illustration (all years)"/>
      <sheetName val="6 Pay 12"/>
      <sheetName val="1 Pay 4"/>
      <sheetName val="Premium Cal"/>
      <sheetName val="Single Pay 2"/>
      <sheetName val="3 Pay 5"/>
      <sheetName val="Premium"/>
      <sheetName val="Pa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2:G5"/>
  <sheetViews>
    <sheetView workbookViewId="0">
      <selection activeCell="D6" sqref="D6"/>
    </sheetView>
  </sheetViews>
  <sheetFormatPr defaultColWidth="9" defaultRowHeight="15.75" outlineLevelRow="4" outlineLevelCol="6"/>
  <cols>
    <col min="2" max="2" width="10.75" customWidth="1"/>
    <col min="4" max="4" width="10.5" customWidth="1"/>
    <col min="6" max="8" width="14.25" customWidth="1"/>
  </cols>
  <sheetData>
    <row r="2" spans="6:7">
      <c r="F2" t="s">
        <v>0</v>
      </c>
      <c r="G2" t="s">
        <v>1</v>
      </c>
    </row>
    <row r="3" spans="2:7">
      <c r="B3" t="s">
        <v>2</v>
      </c>
      <c r="C3" t="s">
        <v>3</v>
      </c>
      <c r="D3" s="359">
        <v>45808</v>
      </c>
      <c r="F3" t="str">
        <f>IF(YEAR($D3)=YEAR($D4),TEXT($D3,"d mmm"),TEXT($D3,"dd mmm yyyy"))</f>
        <v>31 May</v>
      </c>
      <c r="G3" t="str">
        <f>YEAR($D3)&amp;"年"&amp;MONTH($D3)&amp;"月"&amp;DAY($D3)&amp;"日"</f>
        <v>2025年5月31日</v>
      </c>
    </row>
    <row r="4" spans="3:7">
      <c r="C4" t="s">
        <v>4</v>
      </c>
      <c r="D4" s="359">
        <v>45838</v>
      </c>
      <c r="F4" t="str">
        <f>TEXT($D4,"d mmm yyyy")</f>
        <v>30 Jun 2025</v>
      </c>
      <c r="G4" t="str">
        <f>IF(YEAR($D3)=YEAR($D4),MONTH($D4)&amp;"月"&amp;DAY($D4)&amp;"日",YEAR($D4)&amp;"年"&amp;MONTH($D4)&amp;"月"&amp;DAY($D4)&amp;"日")</f>
        <v>6月30日</v>
      </c>
    </row>
    <row r="5" spans="2:7">
      <c r="B5" t="s">
        <v>5</v>
      </c>
      <c r="D5" s="359">
        <v>45869</v>
      </c>
      <c r="F5" t="str">
        <f>TEXT($D5,"d mmm yyyy")</f>
        <v>31 Jul 2025</v>
      </c>
      <c r="G5" t="str">
        <f>YEAR($D5)&amp;"年"&amp;MONTH($D5)&amp;"月"&amp;DAY($D5)&amp;"日"</f>
        <v>2025年7月31日</v>
      </c>
    </row>
  </sheetData>
  <sheetProtection algorithmName="SHA-512" hashValue="o+TAgapgvhiRsKqxbN9YrbUS+zOY+Dg1cnhrdL7aMzGTqTAIn1M8TonBNEl6GsT1uJi/v9yCONI8SL28SP/95A==" saltValue="XH8RsAJy8FkzvAsT5t/h2A==" spinCount="100000" sheet="1" objects="1" scenarios="1"/>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5" tint="0.599993896298105"/>
  </sheetPr>
  <dimension ref="A2:H32"/>
  <sheetViews>
    <sheetView workbookViewId="0">
      <selection activeCell="A1" sqref="A1"/>
    </sheetView>
  </sheetViews>
  <sheetFormatPr defaultColWidth="9" defaultRowHeight="15.75" outlineLevelCol="7"/>
  <cols>
    <col min="1" max="1" width="3.625" customWidth="1"/>
    <col min="2" max="2" width="32.25" customWidth="1"/>
    <col min="3" max="3" width="12.75" customWidth="1"/>
    <col min="4" max="4" width="97.75" customWidth="1"/>
    <col min="5" max="5" width="12.625" customWidth="1"/>
    <col min="6" max="6" width="13.125" customWidth="1"/>
    <col min="7" max="7" width="14.5" customWidth="1"/>
    <col min="8" max="8" width="14.625" customWidth="1"/>
  </cols>
  <sheetData>
    <row r="2" ht="16.5" spans="1:8">
      <c r="A2" s="356" t="s">
        <v>6</v>
      </c>
      <c r="B2" s="356" t="s">
        <v>7</v>
      </c>
      <c r="C2" s="356" t="s">
        <v>8</v>
      </c>
      <c r="D2" s="356" t="s">
        <v>9</v>
      </c>
      <c r="E2" s="356" t="s">
        <v>10</v>
      </c>
      <c r="F2" s="356" t="s">
        <v>11</v>
      </c>
      <c r="G2" s="356" t="s">
        <v>12</v>
      </c>
      <c r="H2" s="356" t="s">
        <v>13</v>
      </c>
    </row>
    <row r="3" spans="1:7">
      <c r="A3">
        <v>1</v>
      </c>
      <c r="B3" t="s">
        <v>14</v>
      </c>
      <c r="C3" t="s">
        <v>15</v>
      </c>
      <c r="D3" s="357" t="s">
        <v>16</v>
      </c>
      <c r="E3" t="s">
        <v>17</v>
      </c>
      <c r="F3" s="358">
        <v>45140</v>
      </c>
      <c r="G3" t="s">
        <v>18</v>
      </c>
    </row>
    <row r="4" spans="1:7">
      <c r="A4">
        <v>2</v>
      </c>
      <c r="B4" t="s">
        <v>14</v>
      </c>
      <c r="C4" t="s">
        <v>19</v>
      </c>
      <c r="D4" s="357" t="s">
        <v>20</v>
      </c>
      <c r="E4" t="s">
        <v>17</v>
      </c>
      <c r="F4" s="358">
        <v>45140</v>
      </c>
      <c r="G4" t="s">
        <v>18</v>
      </c>
    </row>
    <row r="5" spans="1:7">
      <c r="A5">
        <v>3</v>
      </c>
      <c r="B5" t="s">
        <v>14</v>
      </c>
      <c r="C5" t="s">
        <v>21</v>
      </c>
      <c r="D5" s="357" t="s">
        <v>22</v>
      </c>
      <c r="E5" t="s">
        <v>17</v>
      </c>
      <c r="F5" s="358">
        <v>45140</v>
      </c>
      <c r="G5" t="s">
        <v>18</v>
      </c>
    </row>
    <row r="6" spans="1:7">
      <c r="A6">
        <v>4</v>
      </c>
      <c r="B6" t="s">
        <v>14</v>
      </c>
      <c r="C6" t="s">
        <v>23</v>
      </c>
      <c r="D6" s="357" t="s">
        <v>24</v>
      </c>
      <c r="E6" t="s">
        <v>17</v>
      </c>
      <c r="F6" s="358">
        <v>45140</v>
      </c>
      <c r="G6" t="s">
        <v>18</v>
      </c>
    </row>
    <row r="7" spans="1:7">
      <c r="A7">
        <v>5</v>
      </c>
      <c r="B7" t="s">
        <v>25</v>
      </c>
      <c r="C7" t="s">
        <v>26</v>
      </c>
      <c r="D7" s="357" t="s">
        <v>27</v>
      </c>
      <c r="E7" t="s">
        <v>17</v>
      </c>
      <c r="F7" s="358">
        <v>45140</v>
      </c>
      <c r="G7" t="s">
        <v>18</v>
      </c>
    </row>
    <row r="8" spans="1:7">
      <c r="A8">
        <v>6</v>
      </c>
      <c r="B8" t="s">
        <v>25</v>
      </c>
      <c r="C8" t="s">
        <v>28</v>
      </c>
      <c r="D8" s="357" t="s">
        <v>29</v>
      </c>
      <c r="E8" t="s">
        <v>17</v>
      </c>
      <c r="F8" s="358">
        <v>45140</v>
      </c>
      <c r="G8" t="s">
        <v>18</v>
      </c>
    </row>
    <row r="9" spans="1:7">
      <c r="A9">
        <v>7</v>
      </c>
      <c r="B9" t="s">
        <v>25</v>
      </c>
      <c r="C9" t="s">
        <v>30</v>
      </c>
      <c r="D9" s="357" t="s">
        <v>31</v>
      </c>
      <c r="E9" t="s">
        <v>17</v>
      </c>
      <c r="F9" s="358">
        <v>45140</v>
      </c>
      <c r="G9" t="s">
        <v>18</v>
      </c>
    </row>
    <row r="10" spans="1:7">
      <c r="A10">
        <v>8</v>
      </c>
      <c r="B10" t="s">
        <v>32</v>
      </c>
      <c r="D10" s="357" t="s">
        <v>33</v>
      </c>
      <c r="E10" t="s">
        <v>17</v>
      </c>
      <c r="F10" s="358">
        <v>45140</v>
      </c>
      <c r="G10" t="s">
        <v>18</v>
      </c>
    </row>
    <row r="11" spans="1:7">
      <c r="A11">
        <v>9</v>
      </c>
      <c r="B11" t="s">
        <v>14</v>
      </c>
      <c r="C11" t="s">
        <v>34</v>
      </c>
      <c r="D11" s="357" t="s">
        <v>35</v>
      </c>
      <c r="E11" t="s">
        <v>17</v>
      </c>
      <c r="F11" s="358">
        <v>45140</v>
      </c>
      <c r="G11" t="s">
        <v>18</v>
      </c>
    </row>
    <row r="12" spans="1:7">
      <c r="A12">
        <v>10</v>
      </c>
      <c r="B12" t="s">
        <v>14</v>
      </c>
      <c r="C12" t="s">
        <v>36</v>
      </c>
      <c r="D12" s="357" t="s">
        <v>37</v>
      </c>
      <c r="E12" t="s">
        <v>17</v>
      </c>
      <c r="F12" s="358">
        <v>45155</v>
      </c>
      <c r="G12" t="s">
        <v>38</v>
      </c>
    </row>
    <row r="13" spans="1:7">
      <c r="A13">
        <v>11</v>
      </c>
      <c r="B13" t="s">
        <v>25</v>
      </c>
      <c r="C13" t="s">
        <v>39</v>
      </c>
      <c r="D13" s="357" t="s">
        <v>40</v>
      </c>
      <c r="E13" t="s">
        <v>17</v>
      </c>
      <c r="F13" s="358">
        <v>45160</v>
      </c>
      <c r="G13" t="s">
        <v>41</v>
      </c>
    </row>
    <row r="14" spans="1:7">
      <c r="A14">
        <v>12</v>
      </c>
      <c r="B14" t="s">
        <v>14</v>
      </c>
      <c r="C14" t="s">
        <v>42</v>
      </c>
      <c r="D14" s="357" t="s">
        <v>43</v>
      </c>
      <c r="E14" t="s">
        <v>17</v>
      </c>
      <c r="F14" s="358">
        <v>45160</v>
      </c>
      <c r="G14" t="s">
        <v>41</v>
      </c>
    </row>
    <row r="15" spans="1:7">
      <c r="A15">
        <v>13</v>
      </c>
      <c r="B15" t="s">
        <v>14</v>
      </c>
      <c r="C15" t="s">
        <v>42</v>
      </c>
      <c r="D15" s="357" t="s">
        <v>44</v>
      </c>
      <c r="E15" t="s">
        <v>17</v>
      </c>
      <c r="F15" s="358">
        <v>45160</v>
      </c>
      <c r="G15" t="s">
        <v>41</v>
      </c>
    </row>
    <row r="16" spans="1:7">
      <c r="A16">
        <v>14</v>
      </c>
      <c r="B16" t="s">
        <v>14</v>
      </c>
      <c r="C16" t="s">
        <v>45</v>
      </c>
      <c r="D16" s="357" t="s">
        <v>46</v>
      </c>
      <c r="E16" t="s">
        <v>17</v>
      </c>
      <c r="F16" s="358">
        <v>45160</v>
      </c>
      <c r="G16" t="s">
        <v>41</v>
      </c>
    </row>
    <row r="17" spans="1:7">
      <c r="A17">
        <v>15</v>
      </c>
      <c r="B17" t="s">
        <v>32</v>
      </c>
      <c r="D17" s="357" t="s">
        <v>47</v>
      </c>
      <c r="E17" t="s">
        <v>17</v>
      </c>
      <c r="F17" s="358">
        <v>45160</v>
      </c>
      <c r="G17" t="s">
        <v>41</v>
      </c>
    </row>
    <row r="18" spans="1:7">
      <c r="A18">
        <v>16</v>
      </c>
      <c r="B18" t="s">
        <v>14</v>
      </c>
      <c r="C18" t="s">
        <v>48</v>
      </c>
      <c r="D18" s="357" t="s">
        <v>49</v>
      </c>
      <c r="E18" t="s">
        <v>17</v>
      </c>
      <c r="F18" s="358">
        <v>45160</v>
      </c>
      <c r="G18" t="s">
        <v>41</v>
      </c>
    </row>
    <row r="19" spans="1:7">
      <c r="A19">
        <v>17</v>
      </c>
      <c r="B19" t="s">
        <v>14</v>
      </c>
      <c r="C19" t="s">
        <v>50</v>
      </c>
      <c r="D19" s="357" t="s">
        <v>51</v>
      </c>
      <c r="E19" t="s">
        <v>17</v>
      </c>
      <c r="F19" s="358">
        <v>45162</v>
      </c>
      <c r="G19" t="s">
        <v>41</v>
      </c>
    </row>
    <row r="20" spans="1:7">
      <c r="A20">
        <v>18</v>
      </c>
      <c r="B20" t="s">
        <v>14</v>
      </c>
      <c r="C20" t="s">
        <v>42</v>
      </c>
      <c r="D20" s="357" t="s">
        <v>52</v>
      </c>
      <c r="E20" t="s">
        <v>17</v>
      </c>
      <c r="F20" s="358">
        <v>45168</v>
      </c>
      <c r="G20" t="s">
        <v>38</v>
      </c>
    </row>
    <row r="21" spans="1:7">
      <c r="A21">
        <v>19</v>
      </c>
      <c r="B21" t="s">
        <v>25</v>
      </c>
      <c r="C21" t="s">
        <v>53</v>
      </c>
      <c r="D21" s="357" t="s">
        <v>54</v>
      </c>
      <c r="E21" t="s">
        <v>17</v>
      </c>
      <c r="F21" s="358">
        <v>45168</v>
      </c>
      <c r="G21" t="s">
        <v>38</v>
      </c>
    </row>
    <row r="22" spans="1:7">
      <c r="A22">
        <v>20</v>
      </c>
      <c r="B22" t="s">
        <v>14</v>
      </c>
      <c r="C22" t="s">
        <v>42</v>
      </c>
      <c r="D22" s="357" t="s">
        <v>55</v>
      </c>
      <c r="E22" t="s">
        <v>17</v>
      </c>
      <c r="F22" s="358">
        <v>45174</v>
      </c>
      <c r="G22" t="s">
        <v>38</v>
      </c>
    </row>
    <row r="23" spans="1:7">
      <c r="A23">
        <v>21</v>
      </c>
      <c r="B23" t="s">
        <v>25</v>
      </c>
      <c r="D23" s="357" t="s">
        <v>56</v>
      </c>
      <c r="E23" t="s">
        <v>17</v>
      </c>
      <c r="F23" s="358">
        <v>45174</v>
      </c>
      <c r="G23" t="s">
        <v>38</v>
      </c>
    </row>
    <row r="24" spans="1:7">
      <c r="A24">
        <v>22</v>
      </c>
      <c r="B24" t="s">
        <v>14</v>
      </c>
      <c r="C24" t="s">
        <v>57</v>
      </c>
      <c r="D24" s="357" t="s">
        <v>58</v>
      </c>
      <c r="E24" t="s">
        <v>17</v>
      </c>
      <c r="F24" s="358">
        <v>45182</v>
      </c>
      <c r="G24" t="s">
        <v>38</v>
      </c>
    </row>
    <row r="25" spans="1:7">
      <c r="A25">
        <v>23</v>
      </c>
      <c r="B25" t="s">
        <v>14</v>
      </c>
      <c r="C25" t="s">
        <v>59</v>
      </c>
      <c r="D25" s="357" t="s">
        <v>60</v>
      </c>
      <c r="E25" t="s">
        <v>17</v>
      </c>
      <c r="F25" s="358">
        <v>45182</v>
      </c>
      <c r="G25" t="s">
        <v>38</v>
      </c>
    </row>
    <row r="26" spans="1:7">
      <c r="A26">
        <v>24</v>
      </c>
      <c r="B26" t="s">
        <v>61</v>
      </c>
      <c r="D26" s="357" t="s">
        <v>62</v>
      </c>
      <c r="E26" t="s">
        <v>17</v>
      </c>
      <c r="F26" s="358">
        <v>45182</v>
      </c>
      <c r="G26" t="s">
        <v>38</v>
      </c>
    </row>
    <row r="27" spans="1:7">
      <c r="A27">
        <v>25</v>
      </c>
      <c r="B27" t="s">
        <v>63</v>
      </c>
      <c r="D27" s="357"/>
      <c r="E27" t="s">
        <v>17</v>
      </c>
      <c r="F27" s="358">
        <v>45197</v>
      </c>
      <c r="G27" t="s">
        <v>38</v>
      </c>
    </row>
    <row r="28" spans="1:7">
      <c r="A28">
        <v>26</v>
      </c>
      <c r="B28" t="s">
        <v>61</v>
      </c>
      <c r="D28" s="357" t="s">
        <v>64</v>
      </c>
      <c r="E28" t="s">
        <v>17</v>
      </c>
      <c r="F28" s="358">
        <v>45197</v>
      </c>
      <c r="G28" t="s">
        <v>38</v>
      </c>
    </row>
    <row r="29" spans="1:7">
      <c r="A29">
        <f>+A28+1</f>
        <v>27</v>
      </c>
      <c r="B29" t="s">
        <v>61</v>
      </c>
      <c r="D29" s="357" t="s">
        <v>65</v>
      </c>
      <c r="E29" t="s">
        <v>66</v>
      </c>
      <c r="F29" s="358">
        <v>45231</v>
      </c>
      <c r="G29" t="s">
        <v>38</v>
      </c>
    </row>
    <row r="30" spans="1:7">
      <c r="A30">
        <f>+A29+1</f>
        <v>28</v>
      </c>
      <c r="B30" t="s">
        <v>14</v>
      </c>
      <c r="C30" t="s">
        <v>67</v>
      </c>
      <c r="D30" s="357" t="s">
        <v>68</v>
      </c>
      <c r="E30" t="s">
        <v>66</v>
      </c>
      <c r="F30" s="358">
        <v>45231</v>
      </c>
      <c r="G30" t="s">
        <v>38</v>
      </c>
    </row>
    <row r="31" spans="1:7">
      <c r="A31">
        <f>+A30+1</f>
        <v>29</v>
      </c>
      <c r="B31" t="s">
        <v>14</v>
      </c>
      <c r="C31" t="s">
        <v>69</v>
      </c>
      <c r="D31" s="357" t="s">
        <v>70</v>
      </c>
      <c r="E31" t="s">
        <v>66</v>
      </c>
      <c r="F31" s="358">
        <v>45231</v>
      </c>
      <c r="G31" t="s">
        <v>38</v>
      </c>
    </row>
    <row r="32" spans="1:7">
      <c r="A32">
        <f>+A31+1</f>
        <v>30</v>
      </c>
      <c r="B32" t="s">
        <v>14</v>
      </c>
      <c r="C32" t="s">
        <v>71</v>
      </c>
      <c r="D32" s="357" t="s">
        <v>72</v>
      </c>
      <c r="E32" t="s">
        <v>66</v>
      </c>
      <c r="F32" s="358">
        <v>45231</v>
      </c>
      <c r="G32" t="s">
        <v>38</v>
      </c>
    </row>
  </sheetData>
  <sheetProtection algorithmName="SHA-512" hashValue="vBk7NxIZ8udAlWcUrH72PMQDhxooWyyKnY7uKUFl2cvC0xG177VP05UXun4EgZ5Y6Z3/GHHhhhKIfrMs+2MTjw==" saltValue="lR6QpSpFOaxVoIN1p4zbGw==" spinCount="100000" sheet="1" objects="1" scenarios="1"/>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rgb="FF7030A0"/>
  </sheetPr>
  <dimension ref="B1:AE42"/>
  <sheetViews>
    <sheetView workbookViewId="0">
      <selection activeCell="A1" sqref="A1"/>
    </sheetView>
  </sheetViews>
  <sheetFormatPr defaultColWidth="9" defaultRowHeight="15.75"/>
  <cols>
    <col min="1" max="1" width="1.875" customWidth="1"/>
    <col min="2" max="2" width="26.5" customWidth="1"/>
    <col min="3" max="3" width="9" customWidth="1"/>
    <col min="4" max="4" width="19.25" customWidth="1"/>
    <col min="6" max="7" width="13.5" style="4" customWidth="1"/>
    <col min="8" max="8" width="1.875" customWidth="1"/>
    <col min="9" max="9" width="5.75" customWidth="1"/>
    <col min="16" max="16" width="4" customWidth="1"/>
    <col min="17" max="22" width="1.875" customWidth="1"/>
    <col min="23" max="23" width="7.25" customWidth="1"/>
    <col min="24" max="24" width="11.875" customWidth="1"/>
    <col min="25" max="25" width="11.5" customWidth="1"/>
    <col min="26" max="26" width="6.5" customWidth="1"/>
    <col min="27" max="27" width="17.5" customWidth="1"/>
    <col min="28" max="28" width="11.875" customWidth="1"/>
    <col min="29" max="29" width="9.5" customWidth="1"/>
    <col min="30" max="30" width="10.875" customWidth="1"/>
    <col min="31" max="31" width="12.625" customWidth="1"/>
  </cols>
  <sheetData>
    <row r="1" ht="16.5" spans="23:31">
      <c r="W1" s="143"/>
      <c r="X1" s="143" t="s">
        <v>73</v>
      </c>
      <c r="Y1" s="143" t="s">
        <v>74</v>
      </c>
      <c r="Z1" s="143" t="s">
        <v>75</v>
      </c>
      <c r="AA1" s="143" t="s">
        <v>76</v>
      </c>
      <c r="AB1" s="143"/>
      <c r="AC1" s="143"/>
      <c r="AD1" s="143" t="s">
        <v>77</v>
      </c>
      <c r="AE1" s="354">
        <v>637003.1</v>
      </c>
    </row>
    <row r="2" spans="2:31">
      <c r="B2" t="s">
        <v>78</v>
      </c>
      <c r="C2" t="s">
        <v>79</v>
      </c>
      <c r="D2" t="s">
        <v>80</v>
      </c>
      <c r="E2" t="s">
        <v>81</v>
      </c>
      <c r="F2" s="4" t="s">
        <v>82</v>
      </c>
      <c r="G2" s="340" t="s">
        <v>83</v>
      </c>
      <c r="K2" s="346" t="s">
        <v>84</v>
      </c>
      <c r="L2" s="347"/>
      <c r="M2" s="347"/>
      <c r="N2" s="347"/>
      <c r="O2" s="347"/>
      <c r="P2" s="348"/>
      <c r="W2" s="143" t="s">
        <v>85</v>
      </c>
      <c r="X2" s="352">
        <v>80000</v>
      </c>
      <c r="Y2" s="355">
        <v>348496.49</v>
      </c>
      <c r="Z2" s="285">
        <v>0.05</v>
      </c>
      <c r="AA2" s="143" t="s">
        <v>86</v>
      </c>
      <c r="AB2" s="143" t="s">
        <v>87</v>
      </c>
      <c r="AC2" s="143"/>
      <c r="AD2" s="143" t="s">
        <v>88</v>
      </c>
      <c r="AE2" s="208">
        <f ca="1">English!$P$38</f>
        <v>1233473.14</v>
      </c>
    </row>
    <row r="3" ht="16.5" spans="2:31">
      <c r="B3" s="341" t="str">
        <f>C3&amp;D3&amp;E3</f>
        <v>USDAP input5</v>
      </c>
      <c r="C3" s="341" t="s">
        <v>89</v>
      </c>
      <c r="D3" s="341" t="s">
        <v>90</v>
      </c>
      <c r="E3" s="341">
        <v>5</v>
      </c>
      <c r="F3" s="342">
        <v>78519.47</v>
      </c>
      <c r="G3" s="342">
        <v>80000</v>
      </c>
      <c r="K3" s="349" t="s">
        <v>91</v>
      </c>
      <c r="L3" s="350"/>
      <c r="M3" s="350"/>
      <c r="N3" s="350"/>
      <c r="O3" s="350"/>
      <c r="P3" s="351"/>
      <c r="W3" s="143" t="s">
        <v>85</v>
      </c>
      <c r="X3" s="352">
        <v>78519.47</v>
      </c>
      <c r="Y3" s="338">
        <v>348497.01</v>
      </c>
      <c r="Z3" s="285">
        <v>0.04</v>
      </c>
      <c r="AA3" s="143">
        <f>1*(Y3&gt;=$Y2)</f>
        <v>1</v>
      </c>
      <c r="AB3" s="143" t="s">
        <v>92</v>
      </c>
      <c r="AC3" s="143"/>
      <c r="AD3" s="143" t="s">
        <v>86</v>
      </c>
      <c r="AE3" s="355">
        <f>$Y$22</f>
        <v>1250882.92</v>
      </c>
    </row>
    <row r="4" spans="2:31">
      <c r="B4" s="343" t="str">
        <f t="shared" ref="B4:B14" si="0">C4&amp;D4&amp;E4</f>
        <v>USDTotal prepayment input5</v>
      </c>
      <c r="C4" s="343" t="s">
        <v>89</v>
      </c>
      <c r="D4" s="343" t="s">
        <v>93</v>
      </c>
      <c r="E4" s="343">
        <v>5</v>
      </c>
      <c r="F4" s="344">
        <v>348437</v>
      </c>
      <c r="G4" s="344">
        <v>348438</v>
      </c>
      <c r="H4" s="345"/>
      <c r="I4" s="345" t="s">
        <v>94</v>
      </c>
      <c r="W4" s="143" t="s">
        <v>85</v>
      </c>
      <c r="X4" s="338">
        <v>78519.46</v>
      </c>
      <c r="Y4" s="338">
        <v>348496.38</v>
      </c>
      <c r="Z4" s="285">
        <v>0.04</v>
      </c>
      <c r="AA4" s="143">
        <f>1*(Y4&gt;=$Y2)</f>
        <v>0</v>
      </c>
      <c r="AB4" s="143"/>
      <c r="AC4" s="143"/>
      <c r="AD4" s="143" t="s">
        <v>95</v>
      </c>
      <c r="AE4" s="354">
        <f ca="1">ROUNDDOWN(AE3-AE2,10)</f>
        <v>17409.7799999998</v>
      </c>
    </row>
    <row r="5" spans="2:29">
      <c r="B5" s="341" t="str">
        <f t="shared" si="0"/>
        <v>USDAP input2</v>
      </c>
      <c r="C5" s="341" t="s">
        <v>89</v>
      </c>
      <c r="D5" s="341" t="s">
        <v>90</v>
      </c>
      <c r="E5" s="341">
        <v>2</v>
      </c>
      <c r="F5" s="342"/>
      <c r="G5" s="342"/>
      <c r="W5" s="143" t="s">
        <v>85</v>
      </c>
      <c r="X5" s="338"/>
      <c r="Y5" s="338"/>
      <c r="Z5" s="285"/>
      <c r="AA5" s="143"/>
      <c r="AB5" s="143"/>
      <c r="AC5" s="143"/>
    </row>
    <row r="6" spans="2:31">
      <c r="B6" s="343" t="str">
        <f t="shared" si="0"/>
        <v>USDTotal prepayment input2</v>
      </c>
      <c r="C6" s="343" t="s">
        <v>89</v>
      </c>
      <c r="D6" s="343" t="s">
        <v>93</v>
      </c>
      <c r="E6" s="343">
        <v>2</v>
      </c>
      <c r="F6" s="344"/>
      <c r="G6" s="344"/>
      <c r="W6" s="143" t="s">
        <v>85</v>
      </c>
      <c r="X6" s="338" t="s">
        <v>96</v>
      </c>
      <c r="Y6" s="338"/>
      <c r="Z6" s="285"/>
      <c r="AA6" s="143"/>
      <c r="AB6" s="143"/>
      <c r="AC6" s="143"/>
      <c r="AD6" s="143"/>
      <c r="AE6" s="143"/>
    </row>
    <row r="7" spans="2:31">
      <c r="B7" s="341" t="str">
        <f t="shared" si="0"/>
        <v>HKDAP input5</v>
      </c>
      <c r="C7" s="341" t="s">
        <v>97</v>
      </c>
      <c r="D7" s="341" t="s">
        <v>90</v>
      </c>
      <c r="E7" s="341">
        <v>5</v>
      </c>
      <c r="F7" s="342">
        <v>628109.84</v>
      </c>
      <c r="G7" s="342">
        <v>640000</v>
      </c>
      <c r="W7" s="143" t="s">
        <v>85</v>
      </c>
      <c r="X7" s="352">
        <v>348438</v>
      </c>
      <c r="Y7" s="4">
        <v>348496.49</v>
      </c>
      <c r="Z7" s="285">
        <v>0.05</v>
      </c>
      <c r="AA7" s="143" t="s">
        <v>86</v>
      </c>
      <c r="AB7" s="143" t="s">
        <v>98</v>
      </c>
      <c r="AC7" s="143"/>
      <c r="AD7" s="143"/>
      <c r="AE7" s="143"/>
    </row>
    <row r="8" spans="2:31">
      <c r="B8" s="343" t="str">
        <f t="shared" si="0"/>
        <v>HKDTotal prepayment input5</v>
      </c>
      <c r="C8" s="343" t="s">
        <v>97</v>
      </c>
      <c r="D8" s="343" t="s">
        <v>93</v>
      </c>
      <c r="E8" s="343">
        <v>5</v>
      </c>
      <c r="F8" s="344">
        <v>2797847.25</v>
      </c>
      <c r="G8" s="344">
        <v>2797855.85004699</v>
      </c>
      <c r="W8" s="143" t="s">
        <v>85</v>
      </c>
      <c r="X8" s="352">
        <v>348437</v>
      </c>
      <c r="Y8" s="338">
        <v>348497.01</v>
      </c>
      <c r="Z8" s="285">
        <v>0.04</v>
      </c>
      <c r="AA8" s="143">
        <f>1*(Y8&gt;=$Y7)</f>
        <v>1</v>
      </c>
      <c r="AB8" s="143" t="s">
        <v>99</v>
      </c>
      <c r="AC8" s="143"/>
      <c r="AD8" s="143"/>
      <c r="AE8" s="143"/>
    </row>
    <row r="9" spans="2:31">
      <c r="B9" s="341" t="str">
        <f t="shared" si="0"/>
        <v>HKDAP input2</v>
      </c>
      <c r="C9" s="341" t="s">
        <v>97</v>
      </c>
      <c r="D9" s="341" t="s">
        <v>90</v>
      </c>
      <c r="E9" s="341">
        <v>2</v>
      </c>
      <c r="F9" s="342">
        <v>637003.11</v>
      </c>
      <c r="G9" s="342">
        <v>640000</v>
      </c>
      <c r="W9" s="143" t="s">
        <v>85</v>
      </c>
      <c r="X9" s="338">
        <v>348436.99</v>
      </c>
      <c r="Y9" s="338">
        <v>348496.38</v>
      </c>
      <c r="Z9" s="285">
        <v>0.04</v>
      </c>
      <c r="AA9" s="143">
        <f>1*(Y9&gt;=$Y7)</f>
        <v>0</v>
      </c>
      <c r="AB9" s="143"/>
      <c r="AC9" s="143"/>
      <c r="AD9" s="143"/>
      <c r="AE9" s="143"/>
    </row>
    <row r="10" spans="2:31">
      <c r="B10" s="343" t="str">
        <f t="shared" si="0"/>
        <v>HKDTotal prepayment input2</v>
      </c>
      <c r="C10" s="343" t="s">
        <v>97</v>
      </c>
      <c r="D10" s="343" t="s">
        <v>93</v>
      </c>
      <c r="E10" s="343">
        <v>2</v>
      </c>
      <c r="F10" s="344">
        <v>1250686.26</v>
      </c>
      <c r="G10" s="344">
        <v>1250687.20202129</v>
      </c>
      <c r="W10" s="143"/>
      <c r="X10" s="143"/>
      <c r="Y10" s="143"/>
      <c r="Z10" s="285"/>
      <c r="AA10" s="143"/>
      <c r="AB10" s="143"/>
      <c r="AC10" s="143"/>
      <c r="AD10" s="143"/>
      <c r="AE10" s="143"/>
    </row>
    <row r="11" spans="2:31">
      <c r="B11" s="341" t="str">
        <f t="shared" si="0"/>
        <v>CNYAP input5</v>
      </c>
      <c r="C11" s="341" t="s">
        <v>100</v>
      </c>
      <c r="D11" s="341" t="s">
        <v>90</v>
      </c>
      <c r="E11" s="341">
        <v>5</v>
      </c>
      <c r="F11" s="342"/>
      <c r="G11" s="342"/>
      <c r="W11" s="143"/>
      <c r="X11" s="143" t="s">
        <v>73</v>
      </c>
      <c r="Y11" s="143"/>
      <c r="Z11" s="285"/>
      <c r="AA11" s="143"/>
      <c r="AB11" s="143"/>
      <c r="AC11" s="143"/>
      <c r="AD11" s="143"/>
      <c r="AE11" s="143"/>
    </row>
    <row r="12" spans="2:31">
      <c r="B12" s="343" t="str">
        <f t="shared" si="0"/>
        <v>CNYTotal prepayment input5</v>
      </c>
      <c r="C12" s="343" t="s">
        <v>100</v>
      </c>
      <c r="D12" s="343" t="s">
        <v>93</v>
      </c>
      <c r="E12" s="343">
        <v>5</v>
      </c>
      <c r="F12" s="344"/>
      <c r="G12" s="344"/>
      <c r="W12" s="143" t="s">
        <v>101</v>
      </c>
      <c r="X12" s="353">
        <v>640000</v>
      </c>
      <c r="Y12" s="355">
        <v>2798312.41</v>
      </c>
      <c r="Z12" s="285">
        <v>0.048</v>
      </c>
      <c r="AA12" s="143" t="s">
        <v>86</v>
      </c>
      <c r="AB12" s="143" t="s">
        <v>87</v>
      </c>
      <c r="AC12" s="143"/>
      <c r="AD12" s="143"/>
      <c r="AE12" s="143"/>
    </row>
    <row r="13" spans="2:31">
      <c r="B13" s="341" t="str">
        <f t="shared" si="0"/>
        <v>CNYAP input2</v>
      </c>
      <c r="C13" s="341" t="s">
        <v>100</v>
      </c>
      <c r="D13" s="341" t="s">
        <v>90</v>
      </c>
      <c r="E13" s="341">
        <v>2</v>
      </c>
      <c r="F13" s="342"/>
      <c r="G13" s="342"/>
      <c r="W13" s="143" t="s">
        <v>101</v>
      </c>
      <c r="X13" s="353">
        <v>628109.84</v>
      </c>
      <c r="Y13" s="143">
        <v>2798312.6</v>
      </c>
      <c r="Z13" s="285">
        <v>0.038</v>
      </c>
      <c r="AA13" s="143">
        <f>1*(Y13&gt;=$Y12)</f>
        <v>1</v>
      </c>
      <c r="AB13" s="143" t="s">
        <v>92</v>
      </c>
      <c r="AC13" s="143"/>
      <c r="AD13" s="143"/>
      <c r="AE13" s="143"/>
    </row>
    <row r="14" spans="2:31">
      <c r="B14" s="343" t="str">
        <f t="shared" si="0"/>
        <v>CNYTotal prepayment input2</v>
      </c>
      <c r="C14" s="343" t="s">
        <v>100</v>
      </c>
      <c r="D14" s="343" t="s">
        <v>93</v>
      </c>
      <c r="E14" s="343">
        <v>2</v>
      </c>
      <c r="F14" s="344"/>
      <c r="G14" s="344"/>
      <c r="W14" s="143" t="s">
        <v>101</v>
      </c>
      <c r="X14" s="143">
        <v>628109.83</v>
      </c>
      <c r="Y14" s="143">
        <v>2798312.6</v>
      </c>
      <c r="Z14" s="285">
        <v>0.038</v>
      </c>
      <c r="AA14" s="143">
        <f>1*(Y14&gt;=$Y12)</f>
        <v>1</v>
      </c>
      <c r="AB14" s="143"/>
      <c r="AC14" s="143"/>
      <c r="AD14" s="143"/>
      <c r="AE14" s="143"/>
    </row>
    <row r="15" spans="23:31">
      <c r="W15" s="143" t="s">
        <v>101</v>
      </c>
      <c r="X15" s="143"/>
      <c r="Y15" s="143"/>
      <c r="Z15" s="285"/>
      <c r="AA15" s="143"/>
      <c r="AB15" s="143"/>
      <c r="AC15" s="143"/>
      <c r="AD15" s="143"/>
      <c r="AE15" s="143"/>
    </row>
    <row r="16" spans="23:31">
      <c r="W16" s="143" t="s">
        <v>101</v>
      </c>
      <c r="X16" s="338" t="s">
        <v>96</v>
      </c>
      <c r="Y16" s="143"/>
      <c r="Z16" s="285"/>
      <c r="AA16" s="143"/>
      <c r="AB16" s="143"/>
      <c r="AC16" s="143"/>
      <c r="AD16" s="143"/>
      <c r="AE16" s="143"/>
    </row>
    <row r="17" spans="2:31">
      <c r="B17" s="341" t="str">
        <f>C17&amp;D17&amp;E17</f>
        <v>美元AP input5</v>
      </c>
      <c r="C17" s="341" t="s">
        <v>102</v>
      </c>
      <c r="D17" s="341" t="s">
        <v>90</v>
      </c>
      <c r="E17" s="341">
        <v>5</v>
      </c>
      <c r="F17" s="342">
        <f t="shared" ref="F17:G18" si="1">F3</f>
        <v>78519.47</v>
      </c>
      <c r="G17" s="342">
        <f t="shared" si="1"/>
        <v>80000</v>
      </c>
      <c r="W17" s="143" t="s">
        <v>101</v>
      </c>
      <c r="X17" s="353">
        <v>2797855.85004699</v>
      </c>
      <c r="Y17" s="143">
        <v>2798312.41</v>
      </c>
      <c r="Z17" s="285">
        <v>0.048</v>
      </c>
      <c r="AA17" s="143" t="s">
        <v>86</v>
      </c>
      <c r="AB17" s="143" t="s">
        <v>98</v>
      </c>
      <c r="AC17" s="143"/>
      <c r="AD17" s="143"/>
      <c r="AE17" s="143"/>
    </row>
    <row r="18" spans="2:31">
      <c r="B18" s="343" t="str">
        <f t="shared" ref="B18:B28" si="2">C18&amp;D18&amp;E18</f>
        <v>美元Total prepayment input5</v>
      </c>
      <c r="C18" s="343" t="s">
        <v>102</v>
      </c>
      <c r="D18" s="343" t="s">
        <v>93</v>
      </c>
      <c r="E18" s="343">
        <v>5</v>
      </c>
      <c r="F18" s="344">
        <f t="shared" si="1"/>
        <v>348437</v>
      </c>
      <c r="G18" s="344">
        <f t="shared" si="1"/>
        <v>348438</v>
      </c>
      <c r="W18" s="143" t="s">
        <v>101</v>
      </c>
      <c r="X18" s="353">
        <v>2797847.25</v>
      </c>
      <c r="Y18" s="143">
        <v>2798312.6</v>
      </c>
      <c r="Z18" s="285">
        <v>0.038</v>
      </c>
      <c r="AA18" s="143">
        <f>1*(Y18&gt;=$Y17)</f>
        <v>1</v>
      </c>
      <c r="AB18" s="143" t="s">
        <v>99</v>
      </c>
      <c r="AC18" s="143"/>
      <c r="AD18" s="143"/>
      <c r="AE18" s="143"/>
    </row>
    <row r="19" spans="2:31">
      <c r="B19" s="341" t="str">
        <f t="shared" si="2"/>
        <v>美元AP input2</v>
      </c>
      <c r="C19" s="341" t="s">
        <v>102</v>
      </c>
      <c r="D19" s="341" t="s">
        <v>90</v>
      </c>
      <c r="E19" s="341">
        <v>2</v>
      </c>
      <c r="F19" s="342"/>
      <c r="G19" s="342"/>
      <c r="W19" s="143" t="s">
        <v>101</v>
      </c>
      <c r="X19" s="143">
        <v>2797847.24</v>
      </c>
      <c r="Y19" s="143">
        <v>2798311.92</v>
      </c>
      <c r="Z19" s="285">
        <v>0.038</v>
      </c>
      <c r="AA19" s="143">
        <f>1*(Y19&gt;=$Y17)</f>
        <v>0</v>
      </c>
      <c r="AB19" s="143"/>
      <c r="AC19" s="143"/>
      <c r="AD19" s="143"/>
      <c r="AE19" s="143"/>
    </row>
    <row r="20" spans="2:31">
      <c r="B20" s="343" t="str">
        <f t="shared" si="2"/>
        <v>美元Total prepayment input2</v>
      </c>
      <c r="C20" s="343" t="s">
        <v>102</v>
      </c>
      <c r="D20" s="343" t="s">
        <v>93</v>
      </c>
      <c r="E20" s="343">
        <v>2</v>
      </c>
      <c r="F20" s="344"/>
      <c r="G20" s="344"/>
      <c r="W20" s="143"/>
      <c r="X20" s="143"/>
      <c r="Y20" s="143"/>
      <c r="Z20" s="285"/>
      <c r="AA20" s="143"/>
      <c r="AB20" s="143"/>
      <c r="AC20" s="143"/>
      <c r="AD20" s="143"/>
      <c r="AE20" s="143"/>
    </row>
    <row r="21" spans="2:31">
      <c r="B21" s="341" t="str">
        <f t="shared" si="2"/>
        <v>港幣AP input5</v>
      </c>
      <c r="C21" s="341" t="s">
        <v>103</v>
      </c>
      <c r="D21" s="341" t="s">
        <v>90</v>
      </c>
      <c r="E21" s="341">
        <v>5</v>
      </c>
      <c r="F21" s="342">
        <f t="shared" ref="F21" si="3">F7</f>
        <v>628109.84</v>
      </c>
      <c r="G21" s="342">
        <f t="shared" ref="G21:G24" si="4">G7</f>
        <v>640000</v>
      </c>
      <c r="W21" s="143"/>
      <c r="X21" s="143" t="s">
        <v>73</v>
      </c>
      <c r="Y21" s="143"/>
      <c r="Z21" s="285"/>
      <c r="AA21" s="143"/>
      <c r="AB21" s="143"/>
      <c r="AC21" s="143"/>
      <c r="AD21" s="143"/>
      <c r="AE21" s="143"/>
    </row>
    <row r="22" spans="2:31">
      <c r="B22" s="343" t="str">
        <f t="shared" si="2"/>
        <v>港幣Total prepayment input5</v>
      </c>
      <c r="C22" s="343" t="s">
        <v>103</v>
      </c>
      <c r="D22" s="343" t="s">
        <v>93</v>
      </c>
      <c r="E22" s="343">
        <v>5</v>
      </c>
      <c r="F22" s="344">
        <f t="shared" ref="F22:F24" si="5">F8</f>
        <v>2797847.25</v>
      </c>
      <c r="G22" s="344">
        <f t="shared" si="4"/>
        <v>2797855.85004699</v>
      </c>
      <c r="W22" s="143" t="s">
        <v>104</v>
      </c>
      <c r="X22" s="353">
        <v>640000</v>
      </c>
      <c r="Y22" s="355">
        <v>1250882.92</v>
      </c>
      <c r="Z22" s="285">
        <v>0.048</v>
      </c>
      <c r="AA22" s="143" t="s">
        <v>86</v>
      </c>
      <c r="AB22" s="143" t="s">
        <v>87</v>
      </c>
      <c r="AC22" s="143"/>
      <c r="AD22" s="143"/>
      <c r="AE22" s="143"/>
    </row>
    <row r="23" spans="2:31">
      <c r="B23" s="341" t="str">
        <f t="shared" si="2"/>
        <v>港幣AP input2</v>
      </c>
      <c r="C23" s="341" t="s">
        <v>103</v>
      </c>
      <c r="D23" s="341" t="s">
        <v>90</v>
      </c>
      <c r="E23" s="341">
        <v>2</v>
      </c>
      <c r="F23" s="342">
        <f t="shared" si="5"/>
        <v>637003.11</v>
      </c>
      <c r="G23" s="342">
        <f t="shared" si="4"/>
        <v>640000</v>
      </c>
      <c r="W23" s="143" t="s">
        <v>104</v>
      </c>
      <c r="X23" s="353">
        <v>637003.11</v>
      </c>
      <c r="Y23" s="143">
        <v>1250883.43</v>
      </c>
      <c r="Z23" s="285">
        <v>0.038</v>
      </c>
      <c r="AA23" s="143">
        <f>1*(Y23&gt;=$Y22)</f>
        <v>1</v>
      </c>
      <c r="AB23" s="143" t="s">
        <v>92</v>
      </c>
      <c r="AC23" s="143"/>
      <c r="AD23" s="143"/>
      <c r="AE23" s="143"/>
    </row>
    <row r="24" spans="2:31">
      <c r="B24" s="343" t="str">
        <f t="shared" si="2"/>
        <v>港幣Total prepayment input2</v>
      </c>
      <c r="C24" s="343" t="s">
        <v>103</v>
      </c>
      <c r="D24" s="343" t="s">
        <v>93</v>
      </c>
      <c r="E24" s="343">
        <v>2</v>
      </c>
      <c r="F24" s="344">
        <f t="shared" si="5"/>
        <v>1250686.26</v>
      </c>
      <c r="G24" s="344">
        <f t="shared" si="4"/>
        <v>1250687.20202129</v>
      </c>
      <c r="W24" s="143" t="s">
        <v>104</v>
      </c>
      <c r="X24" s="143">
        <v>637003.1</v>
      </c>
      <c r="Y24" s="143">
        <v>1250882.59</v>
      </c>
      <c r="Z24" s="285">
        <v>0.038</v>
      </c>
      <c r="AA24" s="143">
        <f>1*(Y24&gt;=$Y22)</f>
        <v>0</v>
      </c>
      <c r="AB24" s="143"/>
      <c r="AC24" s="143"/>
      <c r="AD24" s="143"/>
      <c r="AE24" s="143"/>
    </row>
    <row r="25" spans="2:31">
      <c r="B25" s="341" t="str">
        <f t="shared" si="2"/>
        <v>人民幣AP input5</v>
      </c>
      <c r="C25" s="341" t="s">
        <v>105</v>
      </c>
      <c r="D25" s="341" t="s">
        <v>90</v>
      </c>
      <c r="E25" s="341">
        <v>5</v>
      </c>
      <c r="F25" s="342"/>
      <c r="G25" s="342"/>
      <c r="W25" s="143" t="s">
        <v>104</v>
      </c>
      <c r="X25" s="143"/>
      <c r="Y25" s="143"/>
      <c r="Z25" s="285"/>
      <c r="AA25" s="143"/>
      <c r="AB25" s="143"/>
      <c r="AC25" s="143"/>
      <c r="AD25" s="143"/>
      <c r="AE25" s="143"/>
    </row>
    <row r="26" spans="2:31">
      <c r="B26" s="343" t="str">
        <f t="shared" si="2"/>
        <v>人民幣Total prepayment input5</v>
      </c>
      <c r="C26" s="343" t="s">
        <v>105</v>
      </c>
      <c r="D26" s="343" t="s">
        <v>93</v>
      </c>
      <c r="E26" s="343">
        <v>5</v>
      </c>
      <c r="F26" s="344"/>
      <c r="G26" s="344"/>
      <c r="W26" s="143" t="s">
        <v>104</v>
      </c>
      <c r="X26" s="143"/>
      <c r="Y26" s="143"/>
      <c r="Z26" s="285"/>
      <c r="AA26" s="143"/>
      <c r="AB26" s="143"/>
      <c r="AC26" s="143"/>
      <c r="AD26" s="143"/>
      <c r="AE26" s="143"/>
    </row>
    <row r="27" spans="2:31">
      <c r="B27" s="341" t="str">
        <f t="shared" si="2"/>
        <v>人民幣AP input2</v>
      </c>
      <c r="C27" s="341" t="s">
        <v>105</v>
      </c>
      <c r="D27" s="341" t="s">
        <v>90</v>
      </c>
      <c r="E27" s="341">
        <v>2</v>
      </c>
      <c r="F27" s="342"/>
      <c r="G27" s="342"/>
      <c r="W27" s="143" t="s">
        <v>104</v>
      </c>
      <c r="X27" s="353">
        <v>1250687.20202129</v>
      </c>
      <c r="Y27" s="143">
        <v>1250882.92</v>
      </c>
      <c r="Z27" s="285">
        <v>0.048</v>
      </c>
      <c r="AA27" s="143" t="s">
        <v>86</v>
      </c>
      <c r="AB27" s="143" t="s">
        <v>98</v>
      </c>
      <c r="AC27" s="143"/>
      <c r="AD27" s="143"/>
      <c r="AE27" s="143"/>
    </row>
    <row r="28" spans="2:31">
      <c r="B28" s="343" t="str">
        <f t="shared" si="2"/>
        <v>人民幣Total prepayment input2</v>
      </c>
      <c r="C28" s="343" t="s">
        <v>105</v>
      </c>
      <c r="D28" s="343" t="s">
        <v>93</v>
      </c>
      <c r="E28" s="343">
        <v>2</v>
      </c>
      <c r="F28" s="344"/>
      <c r="G28" s="344"/>
      <c r="W28" s="143" t="s">
        <v>104</v>
      </c>
      <c r="X28" s="353">
        <v>1250686.26</v>
      </c>
      <c r="Y28" s="143">
        <v>1250883.43</v>
      </c>
      <c r="Z28" s="285">
        <v>0.038</v>
      </c>
      <c r="AA28" s="143">
        <f>1*(Y28&gt;=$Y27)</f>
        <v>1</v>
      </c>
      <c r="AB28" s="143" t="s">
        <v>99</v>
      </c>
      <c r="AC28" s="143"/>
      <c r="AD28" s="143"/>
      <c r="AE28" s="143"/>
    </row>
    <row r="29" spans="23:31">
      <c r="W29" s="143" t="s">
        <v>104</v>
      </c>
      <c r="X29" s="143">
        <v>1250686.25</v>
      </c>
      <c r="Y29" s="143">
        <v>1250882.59</v>
      </c>
      <c r="Z29" s="285">
        <v>0.038</v>
      </c>
      <c r="AA29" s="143">
        <f>1*(Y29&gt;=$Y27)</f>
        <v>0</v>
      </c>
      <c r="AB29" s="143"/>
      <c r="AC29" s="143"/>
      <c r="AD29" s="143"/>
      <c r="AE29" s="143"/>
    </row>
    <row r="30" spans="23:31">
      <c r="W30" s="143" t="s">
        <v>104</v>
      </c>
      <c r="X30" s="143"/>
      <c r="Y30" s="143"/>
      <c r="Z30" s="285"/>
      <c r="AA30" s="143"/>
      <c r="AB30" s="143"/>
      <c r="AC30" s="143"/>
      <c r="AD30" s="143"/>
      <c r="AE30" s="143"/>
    </row>
    <row r="31" spans="2:7">
      <c r="B31" s="341" t="str">
        <f>C31&amp;D31&amp;E31</f>
        <v>美元AP input5</v>
      </c>
      <c r="C31" s="341" t="s">
        <v>102</v>
      </c>
      <c r="D31" s="341" t="s">
        <v>90</v>
      </c>
      <c r="E31" s="341">
        <v>5</v>
      </c>
      <c r="F31" s="342">
        <f t="shared" ref="F31:G32" si="6">F3</f>
        <v>78519.47</v>
      </c>
      <c r="G31" s="342">
        <f t="shared" si="6"/>
        <v>80000</v>
      </c>
    </row>
    <row r="32" spans="2:7">
      <c r="B32" s="343" t="str">
        <f t="shared" ref="B32:B42" si="7">C32&amp;D32&amp;E32</f>
        <v>美元Total prepayment input5</v>
      </c>
      <c r="C32" s="343" t="s">
        <v>102</v>
      </c>
      <c r="D32" s="343" t="s">
        <v>93</v>
      </c>
      <c r="E32" s="343">
        <v>5</v>
      </c>
      <c r="F32" s="344">
        <f t="shared" si="6"/>
        <v>348437</v>
      </c>
      <c r="G32" s="344">
        <f t="shared" si="6"/>
        <v>348438</v>
      </c>
    </row>
    <row r="33" spans="2:7">
      <c r="B33" s="341" t="str">
        <f t="shared" si="7"/>
        <v>美元AP input2</v>
      </c>
      <c r="C33" s="341" t="s">
        <v>102</v>
      </c>
      <c r="D33" s="341" t="s">
        <v>90</v>
      </c>
      <c r="E33" s="341">
        <v>2</v>
      </c>
      <c r="F33" s="342"/>
      <c r="G33" s="342"/>
    </row>
    <row r="34" spans="2:7">
      <c r="B34" s="343" t="str">
        <f t="shared" si="7"/>
        <v>美元Total prepayment input2</v>
      </c>
      <c r="C34" s="343" t="s">
        <v>102</v>
      </c>
      <c r="D34" s="343" t="s">
        <v>93</v>
      </c>
      <c r="E34" s="343">
        <v>2</v>
      </c>
      <c r="F34" s="344"/>
      <c r="G34" s="344"/>
    </row>
    <row r="35" spans="2:7">
      <c r="B35" s="341" t="str">
        <f t="shared" si="7"/>
        <v>港币AP input5</v>
      </c>
      <c r="C35" s="341" t="s">
        <v>106</v>
      </c>
      <c r="D35" s="341" t="s">
        <v>90</v>
      </c>
      <c r="E35" s="341">
        <v>5</v>
      </c>
      <c r="F35" s="342">
        <f t="shared" ref="F35" si="8">F7</f>
        <v>628109.84</v>
      </c>
      <c r="G35" s="342">
        <f t="shared" ref="G35" si="9">G7</f>
        <v>640000</v>
      </c>
    </row>
    <row r="36" spans="2:7">
      <c r="B36" s="343" t="str">
        <f t="shared" si="7"/>
        <v>港币Total prepayment input5</v>
      </c>
      <c r="C36" s="343" t="s">
        <v>106</v>
      </c>
      <c r="D36" s="343" t="s">
        <v>93</v>
      </c>
      <c r="E36" s="343">
        <v>5</v>
      </c>
      <c r="F36" s="344">
        <f t="shared" ref="F36:G38" si="10">F22</f>
        <v>2797847.25</v>
      </c>
      <c r="G36" s="344">
        <f t="shared" si="10"/>
        <v>2797855.85004699</v>
      </c>
    </row>
    <row r="37" spans="2:7">
      <c r="B37" s="341" t="str">
        <f t="shared" si="7"/>
        <v>港币AP input2</v>
      </c>
      <c r="C37" s="341" t="s">
        <v>106</v>
      </c>
      <c r="D37" s="341" t="s">
        <v>90</v>
      </c>
      <c r="E37" s="341">
        <v>2</v>
      </c>
      <c r="F37" s="342">
        <f t="shared" si="10"/>
        <v>637003.11</v>
      </c>
      <c r="G37" s="342">
        <f t="shared" si="10"/>
        <v>640000</v>
      </c>
    </row>
    <row r="38" spans="2:7">
      <c r="B38" s="343" t="str">
        <f t="shared" si="7"/>
        <v>港币Total prepayment input2</v>
      </c>
      <c r="C38" s="343" t="s">
        <v>106</v>
      </c>
      <c r="D38" s="343" t="s">
        <v>93</v>
      </c>
      <c r="E38" s="343">
        <v>2</v>
      </c>
      <c r="F38" s="344">
        <f t="shared" si="10"/>
        <v>1250686.26</v>
      </c>
      <c r="G38" s="344">
        <f t="shared" si="10"/>
        <v>1250687.20202129</v>
      </c>
    </row>
    <row r="39" spans="2:7">
      <c r="B39" s="341" t="str">
        <f t="shared" si="7"/>
        <v>人民币AP input5</v>
      </c>
      <c r="C39" s="341" t="s">
        <v>107</v>
      </c>
      <c r="D39" s="341" t="s">
        <v>90</v>
      </c>
      <c r="E39" s="341">
        <v>5</v>
      </c>
      <c r="F39" s="342"/>
      <c r="G39" s="342"/>
    </row>
    <row r="40" spans="2:7">
      <c r="B40" s="343" t="str">
        <f t="shared" si="7"/>
        <v>人民币Total prepayment input5</v>
      </c>
      <c r="C40" s="343" t="s">
        <v>107</v>
      </c>
      <c r="D40" s="343" t="s">
        <v>93</v>
      </c>
      <c r="E40" s="343">
        <v>5</v>
      </c>
      <c r="F40" s="344"/>
      <c r="G40" s="344"/>
    </row>
    <row r="41" spans="2:7">
      <c r="B41" s="341" t="str">
        <f t="shared" si="7"/>
        <v>人民币AP input2</v>
      </c>
      <c r="C41" s="341" t="s">
        <v>107</v>
      </c>
      <c r="D41" s="341" t="s">
        <v>90</v>
      </c>
      <c r="E41" s="341">
        <v>2</v>
      </c>
      <c r="F41" s="342"/>
      <c r="G41" s="342"/>
    </row>
    <row r="42" spans="2:7">
      <c r="B42" s="343" t="str">
        <f t="shared" si="7"/>
        <v>人民币Total prepayment input2</v>
      </c>
      <c r="C42" s="343" t="s">
        <v>107</v>
      </c>
      <c r="D42" s="343" t="s">
        <v>93</v>
      </c>
      <c r="E42" s="343">
        <v>2</v>
      </c>
      <c r="F42" s="344"/>
      <c r="G42" s="344"/>
    </row>
  </sheetData>
  <sheetProtection algorithmName="SHA-512" hashValue="wLgc/3vTQ8hC2l0W2G9Q04JolgvU7jhV892ErmB1IGY+Ipe+DD+T+g/gXF8thexrWRH2a+rHVXGnnrJiA+Ab/Q==" saltValue="WJlPawvHFNmFxlwVNSI/2w==" spinCount="100000" sheet="1" objects="1" scenarios="1"/>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pageSetUpPr fitToPage="1"/>
  </sheetPr>
  <dimension ref="A1:AU2882"/>
  <sheetViews>
    <sheetView zoomScale="75" zoomScaleNormal="75" topLeftCell="B1" workbookViewId="0">
      <selection activeCell="D7" sqref="D7"/>
    </sheetView>
  </sheetViews>
  <sheetFormatPr defaultColWidth="9" defaultRowHeight="15.75"/>
  <cols>
    <col min="1" max="1" width="11.125" style="143" hidden="1" customWidth="1"/>
    <col min="2" max="2" width="21.125" style="143" customWidth="1"/>
    <col min="3" max="3" width="3.125" style="143" customWidth="1"/>
    <col min="4" max="4" width="19.25" style="143" customWidth="1"/>
    <col min="5" max="5" width="3.125" style="143" customWidth="1"/>
    <col min="6" max="8" width="16.125" style="143" customWidth="1"/>
    <col min="9" max="11" width="12.625" style="143" hidden="1" customWidth="1"/>
    <col min="12" max="12" width="18" style="143" hidden="1" customWidth="1"/>
    <col min="13" max="14" width="18" style="143" customWidth="1"/>
    <col min="15" max="15" width="13" style="143" customWidth="1"/>
    <col min="16" max="18" width="18" style="143" customWidth="1"/>
    <col min="19" max="19" width="16.375" style="143" hidden="1" customWidth="1"/>
    <col min="20" max="23" width="9" style="143" hidden="1" customWidth="1"/>
    <col min="24" max="24" width="11.25" style="143" hidden="1" customWidth="1"/>
    <col min="25" max="25" width="13.875" style="143" hidden="1" customWidth="1"/>
    <col min="26" max="32" width="9" style="143" hidden="1" customWidth="1"/>
    <col min="33" max="34" width="22.125" style="143" hidden="1" customWidth="1"/>
    <col min="35" max="42" width="9" style="143" hidden="1" customWidth="1"/>
    <col min="43" max="43" width="15.25" style="143" hidden="1" customWidth="1"/>
    <col min="44" max="44" width="18.125" style="143" hidden="1" customWidth="1"/>
    <col min="45" max="45" width="9" style="143" customWidth="1"/>
    <col min="46" max="16384" width="9" style="143"/>
  </cols>
  <sheetData>
    <row r="1" spans="4:11">
      <c r="D1" s="310" t="s">
        <v>80</v>
      </c>
      <c r="K1" s="322"/>
    </row>
    <row r="2" spans="2:32">
      <c r="B2" s="145" t="s">
        <v>108</v>
      </c>
      <c r="C2" s="145"/>
      <c r="S2" s="167" t="s">
        <v>90</v>
      </c>
      <c r="AF2" s="281"/>
    </row>
    <row r="3" spans="2:31">
      <c r="B3" s="143" t="s">
        <v>81</v>
      </c>
      <c r="D3" s="146">
        <v>2</v>
      </c>
      <c r="K3" s="167" t="s">
        <v>109</v>
      </c>
      <c r="S3" s="167" t="s">
        <v>93</v>
      </c>
      <c r="T3" s="167" t="s">
        <v>110</v>
      </c>
      <c r="U3" s="167"/>
      <c r="V3" s="167"/>
      <c r="W3" s="167"/>
      <c r="X3" s="167"/>
      <c r="Y3" s="167"/>
      <c r="Z3" s="167"/>
      <c r="AA3" s="167"/>
      <c r="AB3" s="167"/>
      <c r="AC3" s="167"/>
      <c r="AD3" s="167"/>
      <c r="AE3" s="167"/>
    </row>
    <row r="4" spans="2:31">
      <c r="B4" s="147" t="s">
        <v>90</v>
      </c>
      <c r="D4" s="148">
        <v>637003.1</v>
      </c>
      <c r="E4" s="149"/>
      <c r="F4">
        <f>IF(AND($B$4=$S$2,VLOOKUP($D$7&amp;$B$4&amp;$D$3,'Black hole_Mapping'!$B:$G,5,FALSE)&lt;=$D$4,$D$4&lt;=VLOOKUP($D$7&amp;$B$4&amp;$D$3,'Black hole_Mapping'!$B:$G,6,FALSE)),VLOOKUP($D$7&amp;$B$4&amp;$D$3,'Black hole_Mapping'!$B:$G,6,FALSE),$D$4)</f>
        <v>637003.1</v>
      </c>
      <c r="I4" s="219">
        <f ca="1">IF(B4=S2,F4,K8)</f>
        <v>637003.1</v>
      </c>
      <c r="J4" s="219"/>
      <c r="K4" s="220">
        <f ca="1">ROUND(F4/(AA11-'Backward Cal (size discount) EN'!X21*AA7),2)</f>
        <v>328974.52</v>
      </c>
      <c r="S4" s="261">
        <v>2</v>
      </c>
      <c r="T4" s="261" t="s">
        <v>111</v>
      </c>
      <c r="U4" s="261"/>
      <c r="V4" s="261"/>
      <c r="W4" s="261"/>
      <c r="X4" s="261"/>
      <c r="Y4" s="261"/>
      <c r="Z4" s="261"/>
      <c r="AA4" s="261"/>
      <c r="AB4" s="261"/>
      <c r="AC4" s="261"/>
      <c r="AD4" s="261"/>
      <c r="AE4" s="261"/>
    </row>
    <row r="5" ht="100.5" customHeight="1" spans="2:31">
      <c r="B5" s="151" t="s">
        <v>112</v>
      </c>
      <c r="C5" s="152"/>
      <c r="D5" s="153">
        <f ca="1">'Backward Cal (size discount) EN'!K61-0.01</f>
        <v>637003.28</v>
      </c>
      <c r="E5" s="154" t="s">
        <v>113</v>
      </c>
      <c r="F5" s="155" t="s">
        <v>114</v>
      </c>
      <c r="G5" s="155"/>
      <c r="H5" s="155"/>
      <c r="I5" s="155"/>
      <c r="J5" s="155"/>
      <c r="K5" s="155"/>
      <c r="L5" s="155"/>
      <c r="M5" s="155"/>
      <c r="N5" s="155"/>
      <c r="O5" s="155"/>
      <c r="P5" s="155"/>
      <c r="Q5" s="155"/>
      <c r="S5" s="261">
        <v>5</v>
      </c>
      <c r="T5" s="261" t="s">
        <v>115</v>
      </c>
      <c r="U5" s="261"/>
      <c r="V5" s="261"/>
      <c r="W5" s="261"/>
      <c r="X5" s="261"/>
      <c r="Y5" s="261"/>
      <c r="Z5" s="261"/>
      <c r="AA5" s="261"/>
      <c r="AB5" s="261"/>
      <c r="AC5" s="261"/>
      <c r="AD5" s="261"/>
      <c r="AE5" s="261"/>
    </row>
    <row r="6" ht="37.5" spans="2:31">
      <c r="B6" s="156" t="s">
        <v>116</v>
      </c>
      <c r="C6" s="152"/>
      <c r="D6" s="311">
        <f ca="1">D26</f>
        <v>637003.29</v>
      </c>
      <c r="E6" s="154"/>
      <c r="F6" s="155"/>
      <c r="G6" s="155"/>
      <c r="H6" s="155"/>
      <c r="I6" s="155"/>
      <c r="J6" s="155"/>
      <c r="K6" s="155"/>
      <c r="L6" s="155"/>
      <c r="M6" s="155"/>
      <c r="N6" s="155"/>
      <c r="O6" s="155"/>
      <c r="P6" s="155"/>
      <c r="Q6" s="155"/>
      <c r="S6" s="261"/>
      <c r="T6" s="261"/>
      <c r="U6" s="261"/>
      <c r="V6" s="261"/>
      <c r="W6" s="261" t="s">
        <v>117</v>
      </c>
      <c r="X6" s="279">
        <f>$D$11</f>
        <v>0.068</v>
      </c>
      <c r="Y6" s="265">
        <v>0.02</v>
      </c>
      <c r="Z6" s="275">
        <v>1</v>
      </c>
      <c r="AA6" s="275">
        <f>IF($Z6&gt;$D$3,0,IF($Z6=1,1,AA5/(1+X6)))</f>
        <v>1</v>
      </c>
      <c r="AB6" s="261"/>
      <c r="AC6" s="261"/>
      <c r="AD6" s="261"/>
      <c r="AE6" s="261"/>
    </row>
    <row r="7" spans="2:34">
      <c r="B7" s="143" t="s">
        <v>118</v>
      </c>
      <c r="D7" s="305" t="s">
        <v>89</v>
      </c>
      <c r="K7" s="167" t="s">
        <v>119</v>
      </c>
      <c r="X7" s="279">
        <f>$D$11</f>
        <v>0.068</v>
      </c>
      <c r="Y7" s="265">
        <v>0.02</v>
      </c>
      <c r="Z7" s="275">
        <f>Z6+1</f>
        <v>2</v>
      </c>
      <c r="AA7" s="275">
        <f>IF($Z7&gt;$D$3,0,IF($Z7=1,1,AA6/(1+X6)))</f>
        <v>0.936329588014981</v>
      </c>
      <c r="AD7" s="283" t="s">
        <v>89</v>
      </c>
      <c r="AE7" s="284">
        <f>IF($D$3=2,AF7,IF($D$4&gt;=VLOOKUP($D$7&amp;$B$4&amp;$D$3,'Black hole_Mapping'!$B:$G,5,FALSE),AG7,AH7))</f>
        <v>0.068</v>
      </c>
      <c r="AF7" s="285">
        <v>0.068</v>
      </c>
      <c r="AG7" s="285">
        <v>0.05</v>
      </c>
      <c r="AH7" s="286">
        <v>0.04</v>
      </c>
    </row>
    <row r="8" hidden="1" spans="11:34">
      <c r="K8" s="220">
        <f ca="1">IF(AND($B$4=$S$3,VLOOKUP($D$7&amp;$B$4&amp;$D$3,'Black hole_Mapping'!$B:$G,5,FALSE)&lt;=$D$4,$D$4&lt;=VLOOKUP($D$7&amp;$B$4&amp;$D$3,'Black hole_Mapping'!$B:$G,6,FALSE)),VLOOKUP($D$7&amp;$S$2&amp;$D$3,'Black hole_Mapping'!$B:$G,6,FALSE),ROUND(F4/(AA11-'Backward Cal (size discount) EN'!X22*AA7),2))</f>
        <v>328974.52</v>
      </c>
      <c r="M8" s="221" t="s">
        <v>120</v>
      </c>
      <c r="N8" s="221"/>
      <c r="O8" s="221"/>
      <c r="P8" s="226" t="str">
        <f>IF(D7="CNY","N","Y")</f>
        <v>Y</v>
      </c>
      <c r="Q8" s="226"/>
      <c r="S8" s="263" t="s">
        <v>121</v>
      </c>
      <c r="X8" s="279">
        <f>$D$11</f>
        <v>0.068</v>
      </c>
      <c r="Y8" s="265">
        <v>0.02</v>
      </c>
      <c r="Z8" s="275">
        <f>Z7+1</f>
        <v>3</v>
      </c>
      <c r="AA8" s="275">
        <f>IF($Z8&gt;$D$3,0,IF($Z8=1,1,AA7/(1+X7)))</f>
        <v>0</v>
      </c>
      <c r="AD8" s="283" t="s">
        <v>97</v>
      </c>
      <c r="AE8" s="284">
        <f>IF($D$4&gt;=VLOOKUP($D$7&amp;$B$4&amp;$D$3,'Black hole_Mapping'!$B:$G,5,FALSE),AG8,AH8)</f>
        <v>0.048</v>
      </c>
      <c r="AF8" s="285"/>
      <c r="AG8" s="285">
        <v>0.048</v>
      </c>
      <c r="AH8" s="285">
        <v>0.038</v>
      </c>
    </row>
    <row r="9" hidden="1" spans="2:34">
      <c r="B9" s="145" t="s">
        <v>122</v>
      </c>
      <c r="C9" s="145"/>
      <c r="M9" s="223" t="s">
        <v>123</v>
      </c>
      <c r="N9" s="223"/>
      <c r="O9" s="221"/>
      <c r="P9" s="224">
        <f>VLOOKUP(D7,AD7:AE9,2,FALSE)</f>
        <v>0.068</v>
      </c>
      <c r="Q9" s="224"/>
      <c r="S9" s="263" t="s">
        <v>124</v>
      </c>
      <c r="X9" s="279">
        <f>$D$11</f>
        <v>0.068</v>
      </c>
      <c r="Y9" s="265">
        <v>0.02</v>
      </c>
      <c r="Z9" s="275">
        <f>Z8+1</f>
        <v>4</v>
      </c>
      <c r="AA9" s="275">
        <f>IF($Z9&gt;$D$3,0,IF($Z9=1,1,AA8/(1+X8)))</f>
        <v>0</v>
      </c>
      <c r="AD9" s="283" t="s">
        <v>100</v>
      </c>
      <c r="AE9" s="284">
        <v>0.02</v>
      </c>
      <c r="AF9" s="285"/>
      <c r="AG9" s="285">
        <v>0.02</v>
      </c>
      <c r="AH9" s="285">
        <v>0.02</v>
      </c>
    </row>
    <row r="10" hidden="1" spans="2:27">
      <c r="B10" s="143" t="s">
        <v>125</v>
      </c>
      <c r="D10" s="161">
        <v>1</v>
      </c>
      <c r="X10" s="279">
        <f>$D$11</f>
        <v>0.068</v>
      </c>
      <c r="Y10" s="265">
        <v>0.02</v>
      </c>
      <c r="Z10" s="275">
        <f>Z9+1</f>
        <v>5</v>
      </c>
      <c r="AA10" s="275">
        <f>IF($Z10&gt;$D$3,0,IF($Z10=1,1,AA9/(1+X9)))</f>
        <v>0</v>
      </c>
    </row>
    <row r="11" ht="34.9" hidden="1" customHeight="1" spans="2:27">
      <c r="B11" s="162" t="str">
        <f>IF(D7="USD","Guaranteed Interest Rate for Prepaid Premium","Interest Rate for Prepaid Premium")</f>
        <v>Guaranteed Interest Rate for Prepaid Premium</v>
      </c>
      <c r="D11" s="163">
        <f>P9</f>
        <v>0.068</v>
      </c>
      <c r="K11" s="225">
        <f>(1+D11)*((1+D12)^D10-1)/D12</f>
        <v>1.068</v>
      </c>
      <c r="M11" s="143" t="s">
        <v>126</v>
      </c>
      <c r="P11" s="226" t="s">
        <v>121</v>
      </c>
      <c r="Q11" s="226"/>
      <c r="R11" s="211"/>
      <c r="T11" s="264"/>
      <c r="X11" s="265"/>
      <c r="Y11" s="265"/>
      <c r="Z11" s="275"/>
      <c r="AA11" s="275">
        <f>SUM(AA6:AA10)</f>
        <v>1.93632958801498</v>
      </c>
    </row>
    <row r="12" hidden="1" spans="2:27">
      <c r="B12" s="164" t="s">
        <v>127</v>
      </c>
      <c r="D12" s="165">
        <v>0.02</v>
      </c>
      <c r="K12" s="225">
        <f>(1+D12)^(D3-D10)</f>
        <v>1.02</v>
      </c>
      <c r="M12" s="164" t="s">
        <v>128</v>
      </c>
      <c r="N12" s="164"/>
      <c r="O12" s="164"/>
      <c r="P12" s="227">
        <v>0</v>
      </c>
      <c r="Q12" s="227"/>
      <c r="S12" s="199"/>
      <c r="T12" s="264"/>
      <c r="X12" s="265"/>
      <c r="Y12" s="265"/>
      <c r="Z12" s="275"/>
      <c r="AA12" s="275"/>
    </row>
    <row r="13" hidden="1" spans="2:31">
      <c r="B13" s="143" t="s">
        <v>129</v>
      </c>
      <c r="D13" s="166">
        <f ca="1">ROUNDUP(($I$38+$J$38-$K$38),2)</f>
        <v>596457.03</v>
      </c>
      <c r="M13" s="143" t="s">
        <v>130</v>
      </c>
      <c r="P13" s="228">
        <f ca="1">IF(P11="Y",'Backward Cal (size discount) EN'!U22,0)</f>
        <v>0</v>
      </c>
      <c r="Q13" s="227"/>
      <c r="T13" s="264"/>
      <c r="U13" s="332"/>
      <c r="V13" s="332"/>
      <c r="W13" s="332"/>
      <c r="X13" s="265"/>
      <c r="Y13" s="265"/>
      <c r="Z13" s="275"/>
      <c r="AA13" s="275"/>
      <c r="AB13" s="332"/>
      <c r="AC13" s="332"/>
      <c r="AD13" s="332"/>
      <c r="AE13" s="332"/>
    </row>
    <row r="14" hidden="1" spans="2:27">
      <c r="B14" s="167" t="s">
        <v>131</v>
      </c>
      <c r="C14" s="167"/>
      <c r="D14" s="168">
        <f ca="1">0*ROUNDUP(('Backward Cal (size discount) EN'!K61*(T38-S38)-$P$13*$T$27)/(S38+T27*IF(P8="Y",P9-D12,0))+U38,2)</f>
        <v>0</v>
      </c>
      <c r="E14" s="169"/>
      <c r="F14" s="169"/>
      <c r="G14" s="169"/>
      <c r="H14" s="169"/>
      <c r="T14" s="264"/>
      <c r="X14" s="265"/>
      <c r="Y14" s="265"/>
      <c r="Z14" s="275"/>
      <c r="AA14" s="275"/>
    </row>
    <row r="15" hidden="1" spans="2:47">
      <c r="B15" s="167"/>
      <c r="C15" s="167"/>
      <c r="D15" s="312"/>
      <c r="K15" s="169"/>
      <c r="L15" s="231"/>
      <c r="T15" s="264"/>
      <c r="X15" s="265"/>
      <c r="Y15" s="265"/>
      <c r="Z15" s="275"/>
      <c r="AA15" s="275"/>
      <c r="AU15" s="286"/>
    </row>
    <row r="16" ht="45.75" hidden="1" customHeight="1" spans="2:27">
      <c r="B16" s="167"/>
      <c r="C16" s="167"/>
      <c r="D16" s="169"/>
      <c r="E16" s="169"/>
      <c r="F16" s="169"/>
      <c r="G16" s="169"/>
      <c r="H16" s="169"/>
      <c r="K16" s="232"/>
      <c r="X16" s="265"/>
      <c r="Y16" s="265"/>
      <c r="Z16" s="275"/>
      <c r="AA16" s="275"/>
    </row>
    <row r="17" ht="90" hidden="1" customHeight="1" spans="2:27">
      <c r="B17" s="170" t="str">
        <f>+"MyWealth Savings Insurance Plan 2 (Premier)"</f>
        <v>MyWealth Savings Insurance Plan 2 (Premier)</v>
      </c>
      <c r="C17" s="171"/>
      <c r="D17" s="172"/>
      <c r="E17" s="172"/>
      <c r="F17" s="172"/>
      <c r="G17" s="172"/>
      <c r="H17" s="172"/>
      <c r="I17" s="173"/>
      <c r="J17" s="173"/>
      <c r="K17" s="173"/>
      <c r="L17" s="323"/>
      <c r="M17" s="173"/>
      <c r="N17" s="173"/>
      <c r="O17" s="173"/>
      <c r="P17" s="173"/>
      <c r="Q17" s="173"/>
      <c r="R17" s="173"/>
      <c r="X17" s="265"/>
      <c r="Y17" s="265"/>
      <c r="Z17" s="275"/>
      <c r="AA17" s="275"/>
    </row>
    <row r="18" ht="22.5" hidden="1" spans="2:11">
      <c r="B18" s="167"/>
      <c r="C18" s="167"/>
      <c r="D18" s="169"/>
      <c r="E18" s="169"/>
      <c r="F18" s="169"/>
      <c r="G18" s="169"/>
      <c r="H18" s="169"/>
      <c r="K18" s="232"/>
    </row>
    <row r="19" ht="22.5" hidden="1" spans="2:11">
      <c r="B19" s="174" t="s">
        <v>132</v>
      </c>
      <c r="C19" s="174"/>
      <c r="D19" s="169"/>
      <c r="E19" s="169"/>
      <c r="F19" s="169"/>
      <c r="G19" s="169"/>
      <c r="H19" s="169"/>
      <c r="K19" s="232"/>
    </row>
    <row r="20" ht="79.5" hidden="1" customHeight="1" spans="1:19">
      <c r="A20" s="211"/>
      <c r="B20" s="175" t="str">
        <f>S20&amp;" 2nd"&amp;IF(D3=2,""," to 5th")&amp;" policy years when they become due, as illustrated below:"</f>
        <v>You can choose to pay up the Policy in a reduced payment period of just 1 year. You can simply pay the First Year Extra Lump Sum listed below together with your required First Year Annual Premium upon application.  The additional payment will be accumulated in your Premium Deposit Account with interest and the balance will be applied to settle the premiums for the (including Premium Levy) 2nd policy years when they become due, as illustrated below:</v>
      </c>
      <c r="C20" s="175"/>
      <c r="D20" s="175"/>
      <c r="E20" s="175"/>
      <c r="F20" s="175"/>
      <c r="G20" s="175"/>
      <c r="H20" s="175"/>
      <c r="I20" s="175"/>
      <c r="J20" s="175"/>
      <c r="K20" s="175"/>
      <c r="L20" s="175"/>
      <c r="M20" s="175"/>
      <c r="N20" s="175"/>
      <c r="O20" s="175"/>
      <c r="P20" s="175"/>
      <c r="Q20" s="175"/>
      <c r="R20" s="175"/>
      <c r="S20" s="333" t="s">
        <v>133</v>
      </c>
    </row>
    <row r="21" hidden="1"/>
    <row r="22" hidden="1" spans="2:20">
      <c r="B22" s="176"/>
      <c r="C22" s="177" t="str">
        <f>$D$3&amp;" years payment"</f>
        <v>2 years payment</v>
      </c>
      <c r="D22" s="178"/>
      <c r="E22" s="179"/>
      <c r="F22" s="179"/>
      <c r="G22" s="179"/>
      <c r="H22" s="179"/>
      <c r="I22" s="179"/>
      <c r="J22" s="179"/>
      <c r="K22" s="179"/>
      <c r="L22" s="179"/>
      <c r="M22" s="233" t="str">
        <f>"Pay Up the Policy in "&amp;D10&amp;" year"&amp;IF(D10=1,"","s")</f>
        <v>Pay Up the Policy in 1 year</v>
      </c>
      <c r="N22" s="234"/>
      <c r="O22" s="234"/>
      <c r="P22" s="234"/>
      <c r="Q22" s="234"/>
      <c r="R22" s="266"/>
      <c r="S22" s="267" t="s">
        <v>134</v>
      </c>
      <c r="T22" s="268"/>
    </row>
    <row r="23" ht="94.5" hidden="1" spans="2:32">
      <c r="B23" s="180" t="s">
        <v>135</v>
      </c>
      <c r="C23" s="313" t="s">
        <v>136</v>
      </c>
      <c r="D23" s="307"/>
      <c r="E23" s="314" t="s">
        <v>137</v>
      </c>
      <c r="F23" s="315"/>
      <c r="G23" s="315" t="s">
        <v>138</v>
      </c>
      <c r="H23" s="315" t="s">
        <v>139</v>
      </c>
      <c r="I23" s="235" t="s">
        <v>140</v>
      </c>
      <c r="J23" s="235" t="s">
        <v>141</v>
      </c>
      <c r="K23" s="236" t="s">
        <v>142</v>
      </c>
      <c r="L23" s="324" t="s">
        <v>143</v>
      </c>
      <c r="M23" s="325" t="s">
        <v>144</v>
      </c>
      <c r="N23" s="325" t="s">
        <v>145</v>
      </c>
      <c r="O23" s="326" t="s">
        <v>146</v>
      </c>
      <c r="P23" s="327"/>
      <c r="Q23" s="334" t="s">
        <v>147</v>
      </c>
      <c r="R23" s="325" t="s">
        <v>148</v>
      </c>
      <c r="S23" s="269" t="s">
        <v>149</v>
      </c>
      <c r="T23" s="270" t="s">
        <v>150</v>
      </c>
      <c r="U23" s="271" t="s">
        <v>151</v>
      </c>
      <c r="V23" s="271"/>
      <c r="W23" s="271"/>
      <c r="X23" s="272" t="s">
        <v>152</v>
      </c>
      <c r="Y23" s="272" t="s">
        <v>153</v>
      </c>
      <c r="Z23" s="272" t="s">
        <v>154</v>
      </c>
      <c r="AA23" s="272" t="s">
        <v>155</v>
      </c>
      <c r="AB23" s="272" t="s">
        <v>156</v>
      </c>
      <c r="AC23" s="272" t="s">
        <v>157</v>
      </c>
      <c r="AD23" s="272" t="s">
        <v>158</v>
      </c>
      <c r="AE23" s="272" t="s">
        <v>159</v>
      </c>
      <c r="AF23" s="271"/>
    </row>
    <row r="24" ht="16.5" hidden="1" spans="2:40">
      <c r="B24" s="185"/>
      <c r="C24" s="186" t="str">
        <f>"("&amp;$D$7&amp;")"</f>
        <v>(USD)</v>
      </c>
      <c r="D24" s="187"/>
      <c r="E24" s="316" t="str">
        <f>"("&amp;$D$7&amp;")"</f>
        <v>(USD)</v>
      </c>
      <c r="F24" s="317"/>
      <c r="G24" s="317" t="str">
        <f t="shared" ref="G24:R24" si="0">"("&amp;$D$7&amp;")"</f>
        <v>(USD)</v>
      </c>
      <c r="H24" s="317" t="str">
        <f t="shared" si="0"/>
        <v>(USD)</v>
      </c>
      <c r="I24" s="328" t="str">
        <f t="shared" si="0"/>
        <v>(USD)</v>
      </c>
      <c r="J24" s="328" t="str">
        <f t="shared" si="0"/>
        <v>(USD)</v>
      </c>
      <c r="K24" s="329" t="str">
        <f t="shared" si="0"/>
        <v>(USD)</v>
      </c>
      <c r="L24" s="243" t="str">
        <f t="shared" si="0"/>
        <v>(USD)</v>
      </c>
      <c r="M24" s="186" t="str">
        <f t="shared" si="0"/>
        <v>(USD)</v>
      </c>
      <c r="N24" s="186" t="str">
        <f t="shared" si="0"/>
        <v>(USD)</v>
      </c>
      <c r="O24" s="330" t="str">
        <f t="shared" si="0"/>
        <v>(USD)</v>
      </c>
      <c r="P24" s="331"/>
      <c r="Q24" s="335" t="s">
        <v>160</v>
      </c>
      <c r="R24" s="274" t="str">
        <f t="shared" si="0"/>
        <v>(USD)</v>
      </c>
      <c r="S24" s="269"/>
      <c r="T24" s="270"/>
      <c r="U24" s="271"/>
      <c r="V24" s="271"/>
      <c r="W24" s="271"/>
      <c r="X24" s="272"/>
      <c r="Y24" s="272"/>
      <c r="Z24" s="272"/>
      <c r="AA24" s="272"/>
      <c r="AB24" s="272"/>
      <c r="AC24" s="272"/>
      <c r="AD24" s="272"/>
      <c r="AE24" s="272"/>
      <c r="AF24" s="271"/>
      <c r="AM24" s="143">
        <v>7.8</v>
      </c>
      <c r="AN24" s="143">
        <v>1.2</v>
      </c>
    </row>
    <row r="25" ht="16.5" hidden="1" spans="2:40">
      <c r="B25" s="188"/>
      <c r="C25" s="189"/>
      <c r="D25" s="190"/>
      <c r="E25" s="191"/>
      <c r="F25" s="192"/>
      <c r="G25" s="192"/>
      <c r="H25" s="192"/>
      <c r="I25" s="244"/>
      <c r="J25" s="244"/>
      <c r="K25" s="245"/>
      <c r="L25" s="246"/>
      <c r="M25" s="247"/>
      <c r="N25" s="247"/>
      <c r="O25" s="248"/>
      <c r="P25" s="249"/>
      <c r="Q25" s="188"/>
      <c r="R25" s="188"/>
      <c r="S25" s="167"/>
      <c r="T25" s="167"/>
      <c r="X25" s="275"/>
      <c r="Y25" s="275"/>
      <c r="Z25" s="275"/>
      <c r="AA25" s="275"/>
      <c r="AB25" s="275"/>
      <c r="AC25" s="275"/>
      <c r="AD25" s="275"/>
      <c r="AE25" s="275"/>
      <c r="AH25" s="287" t="s">
        <v>161</v>
      </c>
      <c r="AI25" s="287" t="s">
        <v>82</v>
      </c>
      <c r="AJ25" s="287" t="s">
        <v>83</v>
      </c>
      <c r="AK25" s="287" t="s">
        <v>162</v>
      </c>
      <c r="AL25" s="288" t="s">
        <v>163</v>
      </c>
      <c r="AM25" s="289"/>
      <c r="AN25" s="290"/>
    </row>
    <row r="26" ht="16.5" hidden="1" spans="1:44">
      <c r="A26" s="193">
        <f ca="1">MAX(Date!$D$3,TODAY())</f>
        <v>45832</v>
      </c>
      <c r="B26" s="194">
        <v>1</v>
      </c>
      <c r="C26" s="195"/>
      <c r="D26" s="198">
        <f ca="1">IF($B26&gt;$D$3,0,'Backward Cal (size discount) EN'!$K$61)</f>
        <v>637003.29</v>
      </c>
      <c r="E26" s="197"/>
      <c r="F26" s="198">
        <f ca="1">MIN(ROUND(D26*INDEX($AK$27:$AK$32,MATCH($A26,$AI$27:$AI$32)),2),INDEX($AL$27:$AN$32,MATCH($A26,$AI$27:$AI$32),MATCH($D$7,$AL$26:$AN$26,FALSE)))</f>
        <v>12.82</v>
      </c>
      <c r="G26" s="198">
        <v>0</v>
      </c>
      <c r="H26" s="198">
        <f ca="1" t="shared" ref="H26:H37" si="1">IF($P$8="N",0,IF($B26=$D$3,ROUND(((SUMPRODUCT($D$27:$D$37,$AB$27:$AB$37)+SUMPRODUCT($F$27:$F$37,$AB$27:$AB$37)-SUMPRODUCT($G$27:$G$37,$AB$27:$AB$37))-(SUMPRODUCT($D$27:$D$37,$AE$27:$AE$37)+SUMPRODUCT($F$27:$F$37,$AE$27:$AE$37)-SUMPRODUCT($G$27:$G$37,$AE$27:$AE$37))/$AE$26)/(1/$AE$26+$AB26),2),0))</f>
        <v>0</v>
      </c>
      <c r="I26" s="250">
        <f ca="1">IF($B26&lt;=$D$10,0,D26*$AB26+0*D26*(1+$D$11)*(1+$D$12)^($D$3-$B26))</f>
        <v>0</v>
      </c>
      <c r="J26" s="250">
        <f ca="1">IF($B26&lt;=$D$10,0,F26*$AB26+0*(1+$D$11)*(1+$D$12)^($D$3-$B26))</f>
        <v>0</v>
      </c>
      <c r="K26" s="251">
        <f ca="1">IF($B26&lt;=$D$10,0,(G26+H26)*$AB26+0*(1+$D$11)*(1+$D$12)^($D$3-$B26))</f>
        <v>0</v>
      </c>
      <c r="L26" s="250">
        <f ca="1">D26+F26-G26-H26</f>
        <v>637016.11</v>
      </c>
      <c r="M26" s="252">
        <f ca="1">IF($B26&gt;$D$10,0,D26+F26)</f>
        <v>637016.11</v>
      </c>
      <c r="N26" s="252">
        <f ca="1">$D$13</f>
        <v>596457.03</v>
      </c>
      <c r="O26" s="197"/>
      <c r="P26" s="253">
        <f ca="1">M26+N26</f>
        <v>1233473.14</v>
      </c>
      <c r="Q26" s="198">
        <f ca="1">ROUND(R25+R26-(M26+N26-L26),2)</f>
        <v>11929.14</v>
      </c>
      <c r="R26" s="276">
        <f ca="1" t="shared" ref="R26:R37" si="2">MAX(0,ROUND((R25+N26-(L26-M26))*(1+D$12),2))</f>
        <v>608386.17</v>
      </c>
      <c r="S26" s="277">
        <f t="shared" ref="S26:S37" si="3">ROUND(IF(B26&gt;$D$10,0,(1+$D$12)^(-B26+1)),9)</f>
        <v>1</v>
      </c>
      <c r="T26" s="277">
        <f t="shared" ref="T26:T37" si="4">ROUND(IF(B26&gt;$D$3,0,(1+$D$12)^(-B26+1)),9)</f>
        <v>1</v>
      </c>
      <c r="U26" s="278"/>
      <c r="V26" s="278"/>
      <c r="W26" s="278"/>
      <c r="X26" s="279">
        <f>$P$9</f>
        <v>0.068</v>
      </c>
      <c r="Y26" s="279">
        <v>0.02</v>
      </c>
      <c r="Z26" s="275">
        <v>1</v>
      </c>
      <c r="AA26" s="275">
        <f t="shared" ref="AA26:AA37" si="5">IF($Z26&gt;$D$3,0,IF($Z26=1,1,AA25/(1+X26)))</f>
        <v>1</v>
      </c>
      <c r="AB26" s="275">
        <f t="shared" ref="AB26:AB37" si="6">IF($Z26&gt;$D$3,0,IF($Z26=1,1,AB25/(1+Y26)))</f>
        <v>1</v>
      </c>
      <c r="AC26" s="275">
        <f t="shared" ref="AC26:AC37" si="7">IF($Z26&gt;$D$3,0,IF($Z26=$D$3,1,AC27*(1+X26)))</f>
        <v>1.068</v>
      </c>
      <c r="AD26" s="275">
        <f t="shared" ref="AD26:AD37" si="8">IF($Z26&gt;$D$3,0,IF($Z26=$D$3,1,AD27*(1+Y26)))</f>
        <v>1.02</v>
      </c>
      <c r="AE26" s="275">
        <f>AC26-AD26</f>
        <v>0.048</v>
      </c>
      <c r="AF26" s="278"/>
      <c r="AH26" s="291"/>
      <c r="AI26" s="291"/>
      <c r="AJ26" s="291"/>
      <c r="AK26" s="291"/>
      <c r="AL26" s="292" t="s">
        <v>97</v>
      </c>
      <c r="AM26" s="292" t="s">
        <v>89</v>
      </c>
      <c r="AN26" s="292" t="s">
        <v>100</v>
      </c>
      <c r="AQ26" s="280">
        <f ca="1">ROUND(D26+F26,0)</f>
        <v>637016</v>
      </c>
      <c r="AR26" s="338">
        <f ca="1">ROUND(P26,0)</f>
        <v>1233473</v>
      </c>
    </row>
    <row r="27" ht="16.5" hidden="1" spans="1:44">
      <c r="A27" s="199">
        <f ca="1">EDATE($A$26,(B27-B$26)*12)</f>
        <v>46197</v>
      </c>
      <c r="B27" s="194">
        <f>B26+1</f>
        <v>2</v>
      </c>
      <c r="C27" s="195"/>
      <c r="D27" s="198">
        <f ca="1">IF($B27&gt;$D$3,0,'Backward Cal (size discount) EN'!$K$61)</f>
        <v>637003.29</v>
      </c>
      <c r="E27" s="197"/>
      <c r="F27" s="198">
        <f ca="1">MIN(ROUND(D27*INDEX($AK$27:$AK$32,MATCH($A27,$AI$27:$AI$32)),2),INDEX($AL$27:$AN$32,MATCH($A27,$AI$27:$AI$32),MATCH($D$7,$AL$26:$AN$26,FALSE)))</f>
        <v>12.82</v>
      </c>
      <c r="G27" s="198">
        <f ca="1">$P$13+0*$D$14*IF($P$8="Y",$P$9-$D$12,0)</f>
        <v>0</v>
      </c>
      <c r="H27" s="198">
        <f ca="1" t="shared" si="1"/>
        <v>28629.94</v>
      </c>
      <c r="I27" s="250">
        <f ca="1">IF($B27&lt;=$D$10,0,D27*$AB27+0*D27*(1+$D$11)*(1+$D$12)^($D$3-$B27))</f>
        <v>624513.029411765</v>
      </c>
      <c r="J27" s="250">
        <f ca="1" t="shared" ref="J27:J37" si="9">IF($B27&lt;=$D$10,0,F27*$AB27+0*(1+$D$11)*(1+$D$12)^($D$3-$B27))</f>
        <v>12.5686274509804</v>
      </c>
      <c r="K27" s="251">
        <f ca="1">IF($B27&lt;=$D$10,0,(G27+H27)*$AB27)</f>
        <v>28068.568627451</v>
      </c>
      <c r="L27" s="250">
        <f ca="1" t="shared" ref="L27:L37" si="10">D27+F27-G27-H27</f>
        <v>608386.17</v>
      </c>
      <c r="M27" s="252">
        <f ca="1">IF($B27&gt;$D$10,0,D27+F27)</f>
        <v>0</v>
      </c>
      <c r="N27" s="252">
        <f ca="1" t="shared" ref="N27:N37" si="11">IF($B27&gt;$D$10,0,$D$13)</f>
        <v>0</v>
      </c>
      <c r="O27" s="197"/>
      <c r="P27" s="198">
        <f ca="1" t="shared" ref="P27:P37" si="12">IF($B27&gt;$D$10,0,M27+N27)</f>
        <v>0</v>
      </c>
      <c r="Q27" s="198">
        <f ca="1">ROUND(R27-(R26+M27+N27-L27),2)</f>
        <v>0</v>
      </c>
      <c r="R27" s="276">
        <f ca="1" t="shared" si="2"/>
        <v>0</v>
      </c>
      <c r="S27" s="277">
        <f t="shared" si="3"/>
        <v>0</v>
      </c>
      <c r="T27" s="336">
        <f t="shared" si="4"/>
        <v>0.980392157</v>
      </c>
      <c r="U27" s="278">
        <f ca="1">F27/(1+$D$12)^($B27-1)</f>
        <v>12.5686274509804</v>
      </c>
      <c r="V27" s="278"/>
      <c r="W27" s="278"/>
      <c r="X27" s="279">
        <f>$P$9</f>
        <v>0.068</v>
      </c>
      <c r="Y27" s="279">
        <v>0.02</v>
      </c>
      <c r="Z27" s="275">
        <f>Z26+1</f>
        <v>2</v>
      </c>
      <c r="AA27" s="275">
        <f t="shared" si="5"/>
        <v>0.936329588014981</v>
      </c>
      <c r="AB27" s="275">
        <f t="shared" si="6"/>
        <v>0.980392156862745</v>
      </c>
      <c r="AC27" s="275">
        <f t="shared" si="7"/>
        <v>1</v>
      </c>
      <c r="AD27" s="275">
        <f t="shared" si="8"/>
        <v>1</v>
      </c>
      <c r="AE27" s="275">
        <f>AC27-AD27</f>
        <v>0</v>
      </c>
      <c r="AF27" s="278"/>
      <c r="AH27" s="294" t="s">
        <v>164</v>
      </c>
      <c r="AI27" s="295">
        <v>43101</v>
      </c>
      <c r="AJ27" s="295">
        <v>43555</v>
      </c>
      <c r="AK27" s="296">
        <v>0.0004</v>
      </c>
      <c r="AL27" s="297">
        <v>40</v>
      </c>
      <c r="AM27" s="298">
        <f>ROUNDDOWN($AL27/AM$24,2)</f>
        <v>5.12</v>
      </c>
      <c r="AN27" s="298">
        <f>ROUNDDOWN($AL27/AN$24,2)</f>
        <v>33.33</v>
      </c>
      <c r="AO27" s="143">
        <v>7.8</v>
      </c>
      <c r="AR27" s="338">
        <f ca="1">ROUND((D26+F26)*5,0)</f>
        <v>3185081</v>
      </c>
    </row>
    <row r="28" ht="16.5" hidden="1" spans="1:44">
      <c r="A28" s="199">
        <f ca="1">EDATE($A$26,(B28-B$26)*12)</f>
        <v>46562</v>
      </c>
      <c r="B28" s="194">
        <f>B27+1</f>
        <v>3</v>
      </c>
      <c r="C28" s="195"/>
      <c r="D28" s="198">
        <f ca="1">IF($B28&gt;$D$3,0,'Backward Cal (size discount) EN'!$K$61)</f>
        <v>0</v>
      </c>
      <c r="E28" s="197"/>
      <c r="F28" s="198">
        <f ca="1">MIN(ROUND(D28*INDEX($AK$27:$AK$32,MATCH($A28,$AI$27:$AI$32)),2),INDEX($AL$27:$AN$32,MATCH($A28,$AI$27:$AI$32),MATCH($D$7,$AL$26:$AN$26,FALSE)))</f>
        <v>0</v>
      </c>
      <c r="G28" s="198">
        <v>0</v>
      </c>
      <c r="H28" s="198">
        <f ca="1" t="shared" si="1"/>
        <v>0</v>
      </c>
      <c r="I28" s="250">
        <f ca="1" t="shared" ref="I28:I37" si="13">IF($B28&lt;=$D$10,0,D28*$AB28+0*D28*(1+$D$11)*(1+$D$12)^($D$3-$B28))</f>
        <v>0</v>
      </c>
      <c r="J28" s="250">
        <f ca="1" t="shared" si="9"/>
        <v>0</v>
      </c>
      <c r="K28" s="251">
        <f ca="1">IF($B28&lt;=$D$10,0,(G28+H28)*$AB28)</f>
        <v>0</v>
      </c>
      <c r="L28" s="250">
        <f ca="1" t="shared" si="10"/>
        <v>0</v>
      </c>
      <c r="M28" s="252">
        <f ca="1">IF($B28&gt;$D$10,0,D28+F28)</f>
        <v>0</v>
      </c>
      <c r="N28" s="252">
        <f ca="1" t="shared" si="11"/>
        <v>0</v>
      </c>
      <c r="O28" s="197"/>
      <c r="P28" s="198">
        <f ca="1" t="shared" si="12"/>
        <v>0</v>
      </c>
      <c r="Q28" s="198">
        <f ca="1" t="shared" ref="Q28:Q37" si="14">ROUND(R28-(R27+M28+N28-L28),2)</f>
        <v>0</v>
      </c>
      <c r="R28" s="276">
        <f ca="1" t="shared" si="2"/>
        <v>0</v>
      </c>
      <c r="S28" s="277">
        <f t="shared" si="3"/>
        <v>0</v>
      </c>
      <c r="T28" s="336">
        <f t="shared" si="4"/>
        <v>0</v>
      </c>
      <c r="U28" s="278">
        <f ca="1">F28/(1+$D$12)^($B28-1)</f>
        <v>0</v>
      </c>
      <c r="V28" s="278"/>
      <c r="W28" s="278"/>
      <c r="X28" s="279">
        <f>$P$9</f>
        <v>0.068</v>
      </c>
      <c r="Y28" s="279">
        <v>0.02</v>
      </c>
      <c r="Z28" s="275">
        <f t="shared" ref="Z28:Z37" si="15">Z27+1</f>
        <v>3</v>
      </c>
      <c r="AA28" s="275">
        <f t="shared" si="5"/>
        <v>0</v>
      </c>
      <c r="AB28" s="275">
        <f t="shared" si="6"/>
        <v>0</v>
      </c>
      <c r="AC28" s="275">
        <f t="shared" si="7"/>
        <v>0</v>
      </c>
      <c r="AD28" s="275">
        <f t="shared" si="8"/>
        <v>0</v>
      </c>
      <c r="AE28" s="275">
        <f>AC28-AD28</f>
        <v>0</v>
      </c>
      <c r="AF28" s="278"/>
      <c r="AH28" s="294" t="s">
        <v>165</v>
      </c>
      <c r="AI28" s="295">
        <v>43556</v>
      </c>
      <c r="AJ28" s="295">
        <v>43921</v>
      </c>
      <c r="AK28" s="296">
        <v>0.0006</v>
      </c>
      <c r="AL28" s="297">
        <v>60</v>
      </c>
      <c r="AM28" s="298">
        <f t="shared" ref="AM28:AN31" si="16">ROUNDDOWN($AL28/AM$24,2)</f>
        <v>7.69</v>
      </c>
      <c r="AN28" s="298">
        <f t="shared" si="16"/>
        <v>50</v>
      </c>
      <c r="AO28" s="143">
        <v>7.8</v>
      </c>
      <c r="AR28" s="338">
        <f ca="1">AR27-AR26</f>
        <v>1951608</v>
      </c>
    </row>
    <row r="29" ht="16.5" hidden="1" spans="1:44">
      <c r="A29" s="199">
        <f ca="1">EDATE($A$26,(B29-B$26)*12)</f>
        <v>46928</v>
      </c>
      <c r="B29" s="194">
        <f>B28+1</f>
        <v>4</v>
      </c>
      <c r="C29" s="195"/>
      <c r="D29" s="198">
        <f ca="1">IF($B29&gt;$D$3,0,'Backward Cal (size discount) EN'!$K$61)</f>
        <v>0</v>
      </c>
      <c r="E29" s="197"/>
      <c r="F29" s="198">
        <f ca="1">MIN(ROUND(D29*INDEX($AK$27:$AK$32,MATCH($A29,$AI$27:$AI$32)),2),INDEX($AL$27:$AN$32,MATCH($A29,$AI$27:$AI$32),MATCH($D$7,$AL$26:$AN$26,FALSE)))</f>
        <v>0</v>
      </c>
      <c r="G29" s="198">
        <v>0</v>
      </c>
      <c r="H29" s="198">
        <f ca="1" t="shared" si="1"/>
        <v>0</v>
      </c>
      <c r="I29" s="250">
        <f ca="1" t="shared" si="13"/>
        <v>0</v>
      </c>
      <c r="J29" s="250">
        <f ca="1" t="shared" si="9"/>
        <v>0</v>
      </c>
      <c r="K29" s="251">
        <f ca="1">IF($B29&lt;=$D$10,0,(G29+H29)*$AB29)</f>
        <v>0</v>
      </c>
      <c r="L29" s="250">
        <f ca="1" t="shared" si="10"/>
        <v>0</v>
      </c>
      <c r="M29" s="252">
        <f ca="1">IF($B29&gt;$D$10,0,D29+F29)</f>
        <v>0</v>
      </c>
      <c r="N29" s="252">
        <f ca="1" t="shared" si="11"/>
        <v>0</v>
      </c>
      <c r="O29" s="197"/>
      <c r="P29" s="198">
        <f ca="1" t="shared" si="12"/>
        <v>0</v>
      </c>
      <c r="Q29" s="198">
        <f ca="1" t="shared" si="14"/>
        <v>0</v>
      </c>
      <c r="R29" s="276">
        <f ca="1" t="shared" si="2"/>
        <v>0</v>
      </c>
      <c r="S29" s="277">
        <f t="shared" si="3"/>
        <v>0</v>
      </c>
      <c r="T29" s="336">
        <f t="shared" si="4"/>
        <v>0</v>
      </c>
      <c r="U29" s="278">
        <f ca="1">F29/(1+$D$12)^($B29-1)</f>
        <v>0</v>
      </c>
      <c r="V29" s="278"/>
      <c r="W29" s="278"/>
      <c r="X29" s="279">
        <f>$P$9</f>
        <v>0.068</v>
      </c>
      <c r="Y29" s="279">
        <v>0.02</v>
      </c>
      <c r="Z29" s="275">
        <f t="shared" si="15"/>
        <v>4</v>
      </c>
      <c r="AA29" s="275">
        <f t="shared" si="5"/>
        <v>0</v>
      </c>
      <c r="AB29" s="275">
        <f t="shared" si="6"/>
        <v>0</v>
      </c>
      <c r="AC29" s="275">
        <f t="shared" si="7"/>
        <v>0</v>
      </c>
      <c r="AD29" s="275">
        <f t="shared" si="8"/>
        <v>0</v>
      </c>
      <c r="AE29" s="275">
        <f t="shared" ref="AE29:AE37" si="17">AC29-AD29</f>
        <v>0</v>
      </c>
      <c r="AF29" s="278"/>
      <c r="AH29" s="294" t="s">
        <v>166</v>
      </c>
      <c r="AI29" s="295">
        <v>43922</v>
      </c>
      <c r="AJ29" s="295">
        <v>44286</v>
      </c>
      <c r="AK29" s="296">
        <v>0.00085</v>
      </c>
      <c r="AL29" s="297">
        <v>85</v>
      </c>
      <c r="AM29" s="298">
        <f t="shared" si="16"/>
        <v>10.89</v>
      </c>
      <c r="AN29" s="298">
        <f t="shared" si="16"/>
        <v>70.83</v>
      </c>
      <c r="AO29" s="143">
        <v>7.8</v>
      </c>
      <c r="AR29" s="338">
        <f ca="1">AR28/D26</f>
        <v>3.06373299893004</v>
      </c>
    </row>
    <row r="30" ht="16.5" hidden="1" spans="1:41">
      <c r="A30" s="199">
        <f ca="1">EDATE($A$26,(B30-B$26)*12)</f>
        <v>47293</v>
      </c>
      <c r="B30" s="194">
        <f t="shared" ref="B30:B37" si="18">B29+1</f>
        <v>5</v>
      </c>
      <c r="C30" s="195"/>
      <c r="D30" s="198">
        <f ca="1">IF($B30&gt;$D$3,0,'Backward Cal (size discount) EN'!$K$61)</f>
        <v>0</v>
      </c>
      <c r="E30" s="197"/>
      <c r="F30" s="198">
        <f ca="1">MIN(ROUND(D30*INDEX($AK$27:$AK$32,MATCH($A30,$AI$27:$AI$32)),2),INDEX($AL$27:$AN$32,MATCH($A30,$AI$27:$AI$32),MATCH($D$7,$AL$26:$AN$26,FALSE)))</f>
        <v>0</v>
      </c>
      <c r="G30" s="198">
        <v>0</v>
      </c>
      <c r="H30" s="198">
        <f ca="1" t="shared" si="1"/>
        <v>0</v>
      </c>
      <c r="I30" s="250">
        <f ca="1" t="shared" si="13"/>
        <v>0</v>
      </c>
      <c r="J30" s="250">
        <f ca="1" t="shared" si="9"/>
        <v>0</v>
      </c>
      <c r="K30" s="251">
        <f ca="1">IF($B30&lt;=$D$10,0,(G30+H30)*$AB30)</f>
        <v>0</v>
      </c>
      <c r="L30" s="250">
        <f ca="1" t="shared" si="10"/>
        <v>0</v>
      </c>
      <c r="M30" s="252">
        <f ca="1">IF($B30&gt;$D$10,0,D30+F30)</f>
        <v>0</v>
      </c>
      <c r="N30" s="252">
        <f ca="1" t="shared" si="11"/>
        <v>0</v>
      </c>
      <c r="O30" s="197"/>
      <c r="P30" s="198">
        <f ca="1" t="shared" si="12"/>
        <v>0</v>
      </c>
      <c r="Q30" s="198">
        <f ca="1" t="shared" si="14"/>
        <v>0</v>
      </c>
      <c r="R30" s="276">
        <f ca="1" t="shared" si="2"/>
        <v>0</v>
      </c>
      <c r="S30" s="277">
        <f t="shared" si="3"/>
        <v>0</v>
      </c>
      <c r="T30" s="336">
        <f t="shared" si="4"/>
        <v>0</v>
      </c>
      <c r="U30" s="278">
        <f ca="1">F30/(1+$D$12)^($B30-1)</f>
        <v>0</v>
      </c>
      <c r="V30" s="278"/>
      <c r="W30" s="278"/>
      <c r="X30" s="279">
        <f>$P$9</f>
        <v>0.068</v>
      </c>
      <c r="Y30" s="279">
        <v>0.02</v>
      </c>
      <c r="Z30" s="275">
        <f t="shared" si="15"/>
        <v>5</v>
      </c>
      <c r="AA30" s="275">
        <f t="shared" si="5"/>
        <v>0</v>
      </c>
      <c r="AB30" s="275">
        <f t="shared" si="6"/>
        <v>0</v>
      </c>
      <c r="AC30" s="275">
        <f t="shared" si="7"/>
        <v>0</v>
      </c>
      <c r="AD30" s="275">
        <f t="shared" si="8"/>
        <v>0</v>
      </c>
      <c r="AE30" s="275">
        <f t="shared" si="17"/>
        <v>0</v>
      </c>
      <c r="AF30" s="278"/>
      <c r="AH30" s="294" t="s">
        <v>167</v>
      </c>
      <c r="AI30" s="295">
        <v>44287</v>
      </c>
      <c r="AJ30" s="295">
        <v>44788</v>
      </c>
      <c r="AK30" s="296">
        <v>0.001</v>
      </c>
      <c r="AL30" s="297">
        <v>100</v>
      </c>
      <c r="AM30" s="298">
        <f t="shared" si="16"/>
        <v>12.82</v>
      </c>
      <c r="AN30" s="298">
        <f t="shared" si="16"/>
        <v>83.33</v>
      </c>
      <c r="AO30" s="143">
        <v>7.8</v>
      </c>
    </row>
    <row r="31" ht="16.5" hidden="1" spans="2:41">
      <c r="B31" s="194">
        <f t="shared" si="18"/>
        <v>6</v>
      </c>
      <c r="C31" s="195"/>
      <c r="D31" s="198">
        <f ca="1">IF($B31&gt;$D$3,0,'Backward Cal (size discount) EN'!$K$61)</f>
        <v>0</v>
      </c>
      <c r="E31" s="197"/>
      <c r="F31" s="198"/>
      <c r="G31" s="198">
        <v>0</v>
      </c>
      <c r="H31" s="198">
        <f ca="1" t="shared" si="1"/>
        <v>0</v>
      </c>
      <c r="I31" s="250">
        <f ca="1" t="shared" si="13"/>
        <v>0</v>
      </c>
      <c r="J31" s="250">
        <f t="shared" si="9"/>
        <v>0</v>
      </c>
      <c r="K31" s="251">
        <f ca="1" t="shared" ref="K31:K37" si="19">IF($B31&lt;=$D$10,0,(G31+H31)*$AB31+0*(1+$D$11)*(1+$D$12)^($D$3-$B31))</f>
        <v>0</v>
      </c>
      <c r="L31" s="250">
        <f ca="1" t="shared" si="10"/>
        <v>0</v>
      </c>
      <c r="M31" s="252">
        <f ca="1" t="shared" ref="M31:M37" si="20">IF($B31&gt;$D$10,0,D31)</f>
        <v>0</v>
      </c>
      <c r="N31" s="252">
        <f ca="1" t="shared" si="11"/>
        <v>0</v>
      </c>
      <c r="O31" s="197"/>
      <c r="P31" s="198">
        <f ca="1" t="shared" si="12"/>
        <v>0</v>
      </c>
      <c r="Q31" s="198">
        <f ca="1" t="shared" si="14"/>
        <v>0</v>
      </c>
      <c r="R31" s="276">
        <f ca="1" t="shared" si="2"/>
        <v>0</v>
      </c>
      <c r="S31" s="277">
        <f t="shared" si="3"/>
        <v>0</v>
      </c>
      <c r="T31" s="277">
        <f t="shared" si="4"/>
        <v>0</v>
      </c>
      <c r="U31" s="278"/>
      <c r="V31" s="278"/>
      <c r="W31" s="278"/>
      <c r="X31" s="265">
        <f t="shared" ref="X31:X37" si="21">$D$11</f>
        <v>0.068</v>
      </c>
      <c r="Y31" s="265">
        <v>0.02</v>
      </c>
      <c r="Z31" s="275">
        <f t="shared" si="15"/>
        <v>6</v>
      </c>
      <c r="AA31" s="275">
        <f t="shared" si="5"/>
        <v>0</v>
      </c>
      <c r="AB31" s="275">
        <f t="shared" si="6"/>
        <v>0</v>
      </c>
      <c r="AC31" s="275">
        <f t="shared" si="7"/>
        <v>0</v>
      </c>
      <c r="AD31" s="275">
        <f t="shared" si="8"/>
        <v>0</v>
      </c>
      <c r="AE31" s="275">
        <f t="shared" si="17"/>
        <v>0</v>
      </c>
      <c r="AF31" s="278"/>
      <c r="AH31" s="294" t="s">
        <v>168</v>
      </c>
      <c r="AI31" s="295">
        <v>44789</v>
      </c>
      <c r="AJ31" s="295">
        <v>44926</v>
      </c>
      <c r="AK31" s="296">
        <v>0.001</v>
      </c>
      <c r="AL31" s="297">
        <v>100</v>
      </c>
      <c r="AM31" s="298">
        <f>ROUNDDOWN($AL31/AO$31,2)</f>
        <v>12.72</v>
      </c>
      <c r="AN31" s="298">
        <f t="shared" si="16"/>
        <v>83.33</v>
      </c>
      <c r="AO31" s="143">
        <v>7.86</v>
      </c>
    </row>
    <row r="32" ht="16.5" hidden="1" spans="2:41">
      <c r="B32" s="194">
        <f t="shared" si="18"/>
        <v>7</v>
      </c>
      <c r="C32" s="195"/>
      <c r="D32" s="198">
        <f ca="1">IF($B32&gt;$D$3,0,'Backward Cal (size discount) EN'!$K$61)</f>
        <v>0</v>
      </c>
      <c r="E32" s="197"/>
      <c r="F32" s="198"/>
      <c r="G32" s="198">
        <v>0</v>
      </c>
      <c r="H32" s="198">
        <f ca="1" t="shared" si="1"/>
        <v>0</v>
      </c>
      <c r="I32" s="250">
        <f ca="1" t="shared" si="13"/>
        <v>0</v>
      </c>
      <c r="J32" s="250">
        <f t="shared" si="9"/>
        <v>0</v>
      </c>
      <c r="K32" s="251">
        <f ca="1" t="shared" si="19"/>
        <v>0</v>
      </c>
      <c r="L32" s="250">
        <f ca="1" t="shared" si="10"/>
        <v>0</v>
      </c>
      <c r="M32" s="252">
        <f ca="1" t="shared" si="20"/>
        <v>0</v>
      </c>
      <c r="N32" s="252">
        <f ca="1" t="shared" si="11"/>
        <v>0</v>
      </c>
      <c r="O32" s="197"/>
      <c r="P32" s="198">
        <f ca="1" t="shared" si="12"/>
        <v>0</v>
      </c>
      <c r="Q32" s="198">
        <f ca="1" t="shared" si="14"/>
        <v>0</v>
      </c>
      <c r="R32" s="276">
        <f ca="1" t="shared" si="2"/>
        <v>0</v>
      </c>
      <c r="S32" s="277">
        <f t="shared" si="3"/>
        <v>0</v>
      </c>
      <c r="T32" s="277">
        <f t="shared" si="4"/>
        <v>0</v>
      </c>
      <c r="U32" s="278"/>
      <c r="V32" s="278"/>
      <c r="W32" s="278"/>
      <c r="X32" s="265">
        <f t="shared" si="21"/>
        <v>0.068</v>
      </c>
      <c r="Y32" s="265">
        <v>0.02</v>
      </c>
      <c r="Z32" s="275">
        <f t="shared" si="15"/>
        <v>7</v>
      </c>
      <c r="AA32" s="275">
        <f t="shared" si="5"/>
        <v>0</v>
      </c>
      <c r="AB32" s="275">
        <f t="shared" si="6"/>
        <v>0</v>
      </c>
      <c r="AC32" s="275">
        <f t="shared" si="7"/>
        <v>0</v>
      </c>
      <c r="AD32" s="275">
        <f t="shared" si="8"/>
        <v>0</v>
      </c>
      <c r="AE32" s="275">
        <f t="shared" si="17"/>
        <v>0</v>
      </c>
      <c r="AF32" s="278"/>
      <c r="AH32" s="294" t="s">
        <v>169</v>
      </c>
      <c r="AI32" s="295">
        <v>44927</v>
      </c>
      <c r="AJ32" s="295"/>
      <c r="AK32" s="296">
        <v>0.001</v>
      </c>
      <c r="AL32" s="297">
        <v>100</v>
      </c>
      <c r="AM32" s="298">
        <v>12.82</v>
      </c>
      <c r="AN32" s="299">
        <v>87.09</v>
      </c>
      <c r="AO32" s="143">
        <v>7.8</v>
      </c>
    </row>
    <row r="33" hidden="1" spans="2:32">
      <c r="B33" s="194">
        <f t="shared" si="18"/>
        <v>8</v>
      </c>
      <c r="C33" s="195"/>
      <c r="D33" s="198">
        <f ca="1">IF($B33&gt;$D$3,0,'Backward Cal (size discount) EN'!$K$61)</f>
        <v>0</v>
      </c>
      <c r="E33" s="197"/>
      <c r="F33" s="198"/>
      <c r="G33" s="198">
        <v>0</v>
      </c>
      <c r="H33" s="198">
        <f ca="1" t="shared" si="1"/>
        <v>0</v>
      </c>
      <c r="I33" s="250">
        <f ca="1" t="shared" si="13"/>
        <v>0</v>
      </c>
      <c r="J33" s="250">
        <f t="shared" si="9"/>
        <v>0</v>
      </c>
      <c r="K33" s="251">
        <f ca="1" t="shared" si="19"/>
        <v>0</v>
      </c>
      <c r="L33" s="250">
        <f ca="1" t="shared" si="10"/>
        <v>0</v>
      </c>
      <c r="M33" s="252">
        <f ca="1" t="shared" si="20"/>
        <v>0</v>
      </c>
      <c r="N33" s="252">
        <f ca="1" t="shared" si="11"/>
        <v>0</v>
      </c>
      <c r="O33" s="197"/>
      <c r="P33" s="198">
        <f ca="1" t="shared" si="12"/>
        <v>0</v>
      </c>
      <c r="Q33" s="198">
        <f ca="1" t="shared" si="14"/>
        <v>0</v>
      </c>
      <c r="R33" s="276">
        <f ca="1" t="shared" si="2"/>
        <v>0</v>
      </c>
      <c r="S33" s="277">
        <f t="shared" si="3"/>
        <v>0</v>
      </c>
      <c r="T33" s="277">
        <f t="shared" si="4"/>
        <v>0</v>
      </c>
      <c r="U33" s="278"/>
      <c r="V33" s="278"/>
      <c r="W33" s="278"/>
      <c r="X33" s="265">
        <f t="shared" si="21"/>
        <v>0.068</v>
      </c>
      <c r="Y33" s="265">
        <v>0.02</v>
      </c>
      <c r="Z33" s="275">
        <f t="shared" si="15"/>
        <v>8</v>
      </c>
      <c r="AA33" s="275">
        <f t="shared" si="5"/>
        <v>0</v>
      </c>
      <c r="AB33" s="275">
        <f t="shared" si="6"/>
        <v>0</v>
      </c>
      <c r="AC33" s="275">
        <f t="shared" si="7"/>
        <v>0</v>
      </c>
      <c r="AD33" s="275">
        <f t="shared" si="8"/>
        <v>0</v>
      </c>
      <c r="AE33" s="275">
        <f t="shared" si="17"/>
        <v>0</v>
      </c>
      <c r="AF33" s="278"/>
    </row>
    <row r="34" hidden="1" spans="2:32">
      <c r="B34" s="194">
        <f t="shared" si="18"/>
        <v>9</v>
      </c>
      <c r="C34" s="195"/>
      <c r="D34" s="198">
        <f ca="1">IF($B34&gt;$D$3,0,'Backward Cal (size discount) EN'!$K$61)</f>
        <v>0</v>
      </c>
      <c r="E34" s="197"/>
      <c r="F34" s="198"/>
      <c r="G34" s="198">
        <v>0</v>
      </c>
      <c r="H34" s="198">
        <f ca="1" t="shared" si="1"/>
        <v>0</v>
      </c>
      <c r="I34" s="250">
        <f ca="1" t="shared" si="13"/>
        <v>0</v>
      </c>
      <c r="J34" s="250">
        <f t="shared" si="9"/>
        <v>0</v>
      </c>
      <c r="K34" s="251">
        <f ca="1" t="shared" si="19"/>
        <v>0</v>
      </c>
      <c r="L34" s="250">
        <f ca="1" t="shared" si="10"/>
        <v>0</v>
      </c>
      <c r="M34" s="252">
        <f ca="1" t="shared" si="20"/>
        <v>0</v>
      </c>
      <c r="N34" s="252">
        <f ca="1" t="shared" si="11"/>
        <v>0</v>
      </c>
      <c r="O34" s="197"/>
      <c r="P34" s="198">
        <f ca="1" t="shared" si="12"/>
        <v>0</v>
      </c>
      <c r="Q34" s="198">
        <f ca="1" t="shared" si="14"/>
        <v>0</v>
      </c>
      <c r="R34" s="276">
        <f ca="1" t="shared" si="2"/>
        <v>0</v>
      </c>
      <c r="S34" s="277">
        <f t="shared" si="3"/>
        <v>0</v>
      </c>
      <c r="T34" s="277">
        <f t="shared" si="4"/>
        <v>0</v>
      </c>
      <c r="U34" s="278"/>
      <c r="V34" s="278"/>
      <c r="W34" s="278"/>
      <c r="X34" s="265">
        <f t="shared" si="21"/>
        <v>0.068</v>
      </c>
      <c r="Y34" s="265">
        <v>0.02</v>
      </c>
      <c r="Z34" s="275">
        <f t="shared" si="15"/>
        <v>9</v>
      </c>
      <c r="AA34" s="275">
        <f t="shared" si="5"/>
        <v>0</v>
      </c>
      <c r="AB34" s="275">
        <f t="shared" si="6"/>
        <v>0</v>
      </c>
      <c r="AC34" s="275">
        <f t="shared" si="7"/>
        <v>0</v>
      </c>
      <c r="AD34" s="275">
        <f t="shared" si="8"/>
        <v>0</v>
      </c>
      <c r="AE34" s="275">
        <f t="shared" si="17"/>
        <v>0</v>
      </c>
      <c r="AF34" s="278"/>
    </row>
    <row r="35" hidden="1" spans="2:32">
      <c r="B35" s="194">
        <f t="shared" si="18"/>
        <v>10</v>
      </c>
      <c r="C35" s="195"/>
      <c r="D35" s="198">
        <f ca="1">IF($B35&gt;$D$3,0,'Backward Cal (size discount) EN'!$K$61)</f>
        <v>0</v>
      </c>
      <c r="E35" s="197"/>
      <c r="F35" s="198"/>
      <c r="G35" s="198">
        <v>0</v>
      </c>
      <c r="H35" s="198">
        <f ca="1" t="shared" si="1"/>
        <v>0</v>
      </c>
      <c r="I35" s="250">
        <f ca="1" t="shared" si="13"/>
        <v>0</v>
      </c>
      <c r="J35" s="250">
        <f t="shared" si="9"/>
        <v>0</v>
      </c>
      <c r="K35" s="251">
        <f ca="1" t="shared" si="19"/>
        <v>0</v>
      </c>
      <c r="L35" s="250">
        <f ca="1" t="shared" si="10"/>
        <v>0</v>
      </c>
      <c r="M35" s="252">
        <f ca="1" t="shared" si="20"/>
        <v>0</v>
      </c>
      <c r="N35" s="252">
        <f ca="1" t="shared" si="11"/>
        <v>0</v>
      </c>
      <c r="O35" s="197"/>
      <c r="P35" s="198">
        <f ca="1" t="shared" si="12"/>
        <v>0</v>
      </c>
      <c r="Q35" s="198">
        <f ca="1" t="shared" si="14"/>
        <v>0</v>
      </c>
      <c r="R35" s="276">
        <f ca="1" t="shared" si="2"/>
        <v>0</v>
      </c>
      <c r="S35" s="277">
        <f t="shared" si="3"/>
        <v>0</v>
      </c>
      <c r="T35" s="277">
        <f t="shared" si="4"/>
        <v>0</v>
      </c>
      <c r="U35" s="278"/>
      <c r="V35" s="278"/>
      <c r="W35" s="278"/>
      <c r="X35" s="265">
        <f t="shared" si="21"/>
        <v>0.068</v>
      </c>
      <c r="Y35" s="265">
        <v>0.02</v>
      </c>
      <c r="Z35" s="275">
        <f t="shared" si="15"/>
        <v>10</v>
      </c>
      <c r="AA35" s="275">
        <f t="shared" si="5"/>
        <v>0</v>
      </c>
      <c r="AB35" s="275">
        <f t="shared" si="6"/>
        <v>0</v>
      </c>
      <c r="AC35" s="275">
        <f t="shared" si="7"/>
        <v>0</v>
      </c>
      <c r="AD35" s="275">
        <f t="shared" si="8"/>
        <v>0</v>
      </c>
      <c r="AE35" s="275">
        <f t="shared" si="17"/>
        <v>0</v>
      </c>
      <c r="AF35" s="278"/>
    </row>
    <row r="36" hidden="1" spans="2:32">
      <c r="B36" s="194">
        <f t="shared" si="18"/>
        <v>11</v>
      </c>
      <c r="C36" s="195"/>
      <c r="D36" s="198">
        <f ca="1">IF($B36&gt;$D$3,0,'Backward Cal (size discount) EN'!$K$61)</f>
        <v>0</v>
      </c>
      <c r="E36" s="197"/>
      <c r="F36" s="198"/>
      <c r="G36" s="198">
        <v>0</v>
      </c>
      <c r="H36" s="198">
        <f ca="1" t="shared" si="1"/>
        <v>0</v>
      </c>
      <c r="I36" s="250">
        <f ca="1" t="shared" si="13"/>
        <v>0</v>
      </c>
      <c r="J36" s="250">
        <f t="shared" si="9"/>
        <v>0</v>
      </c>
      <c r="K36" s="251">
        <f ca="1" t="shared" si="19"/>
        <v>0</v>
      </c>
      <c r="L36" s="250">
        <f ca="1" t="shared" si="10"/>
        <v>0</v>
      </c>
      <c r="M36" s="252">
        <f ca="1" t="shared" si="20"/>
        <v>0</v>
      </c>
      <c r="N36" s="252">
        <f ca="1" t="shared" si="11"/>
        <v>0</v>
      </c>
      <c r="O36" s="197"/>
      <c r="P36" s="198">
        <f ca="1" t="shared" si="12"/>
        <v>0</v>
      </c>
      <c r="Q36" s="198">
        <f ca="1" t="shared" si="14"/>
        <v>0</v>
      </c>
      <c r="R36" s="276">
        <f ca="1" t="shared" si="2"/>
        <v>0</v>
      </c>
      <c r="S36" s="277">
        <f t="shared" si="3"/>
        <v>0</v>
      </c>
      <c r="T36" s="277">
        <f t="shared" si="4"/>
        <v>0</v>
      </c>
      <c r="U36" s="278"/>
      <c r="V36" s="278"/>
      <c r="W36" s="278"/>
      <c r="X36" s="265">
        <f t="shared" si="21"/>
        <v>0.068</v>
      </c>
      <c r="Y36" s="265">
        <v>0.02</v>
      </c>
      <c r="Z36" s="275">
        <f t="shared" si="15"/>
        <v>11</v>
      </c>
      <c r="AA36" s="275">
        <f t="shared" si="5"/>
        <v>0</v>
      </c>
      <c r="AB36" s="275">
        <f t="shared" si="6"/>
        <v>0</v>
      </c>
      <c r="AC36" s="275">
        <f t="shared" si="7"/>
        <v>0</v>
      </c>
      <c r="AD36" s="275">
        <f t="shared" si="8"/>
        <v>0</v>
      </c>
      <c r="AE36" s="275">
        <f t="shared" si="17"/>
        <v>0</v>
      </c>
      <c r="AF36" s="278"/>
    </row>
    <row r="37" hidden="1" spans="2:32">
      <c r="B37" s="200">
        <f t="shared" si="18"/>
        <v>12</v>
      </c>
      <c r="C37" s="195"/>
      <c r="D37" s="203">
        <f ca="1">IF($B37&gt;$D$3,0,'Backward Cal (size discount) EN'!$K$61)</f>
        <v>0</v>
      </c>
      <c r="E37" s="202"/>
      <c r="F37" s="203"/>
      <c r="G37" s="203">
        <v>0</v>
      </c>
      <c r="H37" s="203">
        <f ca="1" t="shared" si="1"/>
        <v>0</v>
      </c>
      <c r="I37" s="254">
        <f ca="1" t="shared" si="13"/>
        <v>0</v>
      </c>
      <c r="J37" s="254">
        <f t="shared" si="9"/>
        <v>0</v>
      </c>
      <c r="K37" s="255">
        <f ca="1" t="shared" si="19"/>
        <v>0</v>
      </c>
      <c r="L37" s="254">
        <f ca="1" t="shared" si="10"/>
        <v>0</v>
      </c>
      <c r="M37" s="256">
        <f ca="1" t="shared" si="20"/>
        <v>0</v>
      </c>
      <c r="N37" s="256">
        <f ca="1" t="shared" si="11"/>
        <v>0</v>
      </c>
      <c r="O37" s="202"/>
      <c r="P37" s="203">
        <f ca="1" t="shared" si="12"/>
        <v>0</v>
      </c>
      <c r="Q37" s="198">
        <f ca="1" t="shared" si="14"/>
        <v>0</v>
      </c>
      <c r="R37" s="276">
        <f ca="1" t="shared" si="2"/>
        <v>0</v>
      </c>
      <c r="S37" s="277">
        <f t="shared" si="3"/>
        <v>0</v>
      </c>
      <c r="T37" s="277">
        <f t="shared" si="4"/>
        <v>0</v>
      </c>
      <c r="U37" s="278"/>
      <c r="V37" s="278"/>
      <c r="W37" s="278"/>
      <c r="X37" s="265">
        <f t="shared" si="21"/>
        <v>0.068</v>
      </c>
      <c r="Y37" s="265">
        <v>0.02</v>
      </c>
      <c r="Z37" s="275">
        <f t="shared" si="15"/>
        <v>12</v>
      </c>
      <c r="AA37" s="275">
        <f t="shared" si="5"/>
        <v>0</v>
      </c>
      <c r="AB37" s="275">
        <f t="shared" si="6"/>
        <v>0</v>
      </c>
      <c r="AC37" s="275">
        <f t="shared" si="7"/>
        <v>0</v>
      </c>
      <c r="AD37" s="275">
        <f t="shared" si="8"/>
        <v>0</v>
      </c>
      <c r="AE37" s="275">
        <f t="shared" si="17"/>
        <v>0</v>
      </c>
      <c r="AF37" s="278"/>
    </row>
    <row r="38" hidden="1" spans="2:32">
      <c r="B38" s="318" t="s">
        <v>170</v>
      </c>
      <c r="C38" s="205" t="s">
        <v>171</v>
      </c>
      <c r="D38" s="208">
        <f ca="1">SUM(D26:D37)</f>
        <v>1274006.58</v>
      </c>
      <c r="E38" s="207" t="s">
        <v>172</v>
      </c>
      <c r="F38" s="208">
        <f ca="1" t="shared" ref="F38:K38" si="22">SUM(F26:F37)</f>
        <v>25.64</v>
      </c>
      <c r="G38" s="208">
        <f ca="1" t="shared" si="22"/>
        <v>0</v>
      </c>
      <c r="H38" s="208">
        <f ca="1" t="shared" si="22"/>
        <v>28629.94</v>
      </c>
      <c r="I38" s="257">
        <f ca="1" t="shared" si="22"/>
        <v>624513.029411765</v>
      </c>
      <c r="J38" s="257">
        <f ca="1" t="shared" si="22"/>
        <v>12.5686274509804</v>
      </c>
      <c r="K38" s="258">
        <f ca="1" t="shared" si="22"/>
        <v>28068.568627451</v>
      </c>
      <c r="L38" s="257"/>
      <c r="M38" s="259">
        <f ca="1">SUM(M26:M37)</f>
        <v>637016.11</v>
      </c>
      <c r="N38" s="259">
        <f ca="1">SUM(N26:N37)</f>
        <v>596457.03</v>
      </c>
      <c r="O38" s="260" t="s">
        <v>173</v>
      </c>
      <c r="P38" s="208">
        <f ca="1">SUM(P26:P37)</f>
        <v>1233473.14</v>
      </c>
      <c r="Q38" s="208"/>
      <c r="R38" s="259"/>
      <c r="S38" s="277">
        <f>SUM(S26:S37)</f>
        <v>1</v>
      </c>
      <c r="T38" s="277">
        <f>SUM(T26:T37)</f>
        <v>1.980392157</v>
      </c>
      <c r="U38" s="278">
        <f ca="1">SUM(U26:U30)</f>
        <v>12.5686274509804</v>
      </c>
      <c r="V38" s="278"/>
      <c r="W38" s="278"/>
      <c r="AA38" s="275">
        <f>SUM(AA26:AA37)</f>
        <v>1.93632958801498</v>
      </c>
      <c r="AB38" s="275">
        <f>SUM(AB26:AB37)</f>
        <v>1.98039215686275</v>
      </c>
      <c r="AF38" s="278"/>
    </row>
    <row r="39" hidden="1" spans="2:17">
      <c r="B39" s="209"/>
      <c r="C39" s="209"/>
      <c r="D39" s="209"/>
      <c r="E39" s="209"/>
      <c r="F39" s="209"/>
      <c r="G39" s="209"/>
      <c r="H39" s="209"/>
      <c r="I39" s="209"/>
      <c r="J39" s="209"/>
      <c r="K39" s="209"/>
      <c r="L39" s="209"/>
      <c r="M39" s="209"/>
      <c r="N39" s="209"/>
      <c r="O39" s="209"/>
      <c r="P39" s="209"/>
      <c r="Q39" s="209"/>
    </row>
    <row r="40" hidden="1" spans="2:20">
      <c r="B40" s="319" t="str">
        <f ca="1">"Basic premium saved "&amp;"[(a)+(b)-(c)]: "&amp;$D$7&amp;" "&amp;TEXT(D38+F38-P38,IF(D38+F38-P38&gt;1000,"0,000.00","0.00"))&amp;" ("&amp;TEXT((D38+F38-P38)/(D38+F38),"0.00%")&amp;" of "&amp;D3&amp;" years total premiums with premium levy payable)"</f>
        <v>Basic premium saved [(a)+(b)-(c)]: USD 40,559.08 (3.18% of 2 years total premiums with premium levy payable)</v>
      </c>
      <c r="C40" s="319"/>
      <c r="D40" s="319"/>
      <c r="E40" s="319"/>
      <c r="F40" s="319"/>
      <c r="G40" s="319"/>
      <c r="H40" s="319"/>
      <c r="I40" s="319"/>
      <c r="J40" s="319"/>
      <c r="K40" s="319"/>
      <c r="L40" s="319"/>
      <c r="M40" s="319"/>
      <c r="N40" s="319"/>
      <c r="O40" s="319"/>
      <c r="P40" s="319"/>
      <c r="Q40" s="319"/>
      <c r="R40" s="319"/>
      <c r="S40" s="143" t="s">
        <v>174</v>
      </c>
      <c r="T40" s="280">
        <f ca="1">ROUND(D38+F38-P38-G38-H38,2)</f>
        <v>11929.14</v>
      </c>
    </row>
    <row r="41" hidden="1" spans="19:20">
      <c r="S41" s="143" t="s">
        <v>175</v>
      </c>
      <c r="T41" s="280">
        <f ca="1">H38</f>
        <v>28629.94</v>
      </c>
    </row>
    <row r="42" hidden="1" spans="2:2">
      <c r="B42" s="143" t="s">
        <v>176</v>
      </c>
    </row>
    <row r="43" hidden="1" spans="2:17">
      <c r="B43" s="212" t="s">
        <v>177</v>
      </c>
      <c r="C43" s="212"/>
      <c r="D43" s="212"/>
      <c r="E43" s="212"/>
      <c r="F43" s="212"/>
      <c r="G43" s="212"/>
      <c r="H43" s="212"/>
      <c r="I43" s="212"/>
      <c r="J43" s="212"/>
      <c r="K43" s="212"/>
      <c r="L43" s="212"/>
      <c r="M43" s="212"/>
      <c r="N43" s="212"/>
      <c r="O43" s="212"/>
      <c r="P43" s="212"/>
      <c r="Q43" s="212"/>
    </row>
    <row r="44" hidden="1"/>
    <row r="45" hidden="1" spans="2:19">
      <c r="B45" s="174" t="s">
        <v>178</v>
      </c>
      <c r="S45" s="281" t="s">
        <v>179</v>
      </c>
    </row>
    <row r="46" hidden="1" customHeight="1" spans="2:19">
      <c r="B46" s="320" t="s">
        <v>180</v>
      </c>
      <c r="C46" s="320"/>
      <c r="D46" s="320"/>
      <c r="E46" s="320"/>
      <c r="F46" s="320"/>
      <c r="G46" s="320"/>
      <c r="H46" s="320"/>
      <c r="I46" s="320"/>
      <c r="J46" s="320"/>
      <c r="K46" s="320"/>
      <c r="L46" s="320"/>
      <c r="M46" s="320"/>
      <c r="N46" s="320"/>
      <c r="O46" s="320"/>
      <c r="P46" s="320"/>
      <c r="Q46" s="320"/>
      <c r="R46" s="320"/>
      <c r="S46" s="282" t="str">
        <f ca="1">"the First Year Premium Refund amount of "&amp;$D$7&amp;TEXT($P$13,IF($P$13&gt;1000,"0,000.00","0.00"))</f>
        <v>the First Year Premium Refund amount of USD0.00</v>
      </c>
    </row>
    <row r="47" hidden="1" spans="2:19">
      <c r="B47" s="320"/>
      <c r="C47" s="320"/>
      <c r="D47" s="320"/>
      <c r="E47" s="320"/>
      <c r="F47" s="320"/>
      <c r="G47" s="320"/>
      <c r="H47" s="320"/>
      <c r="I47" s="320"/>
      <c r="J47" s="320"/>
      <c r="K47" s="320"/>
      <c r="L47" s="320"/>
      <c r="M47" s="320"/>
      <c r="N47" s="320"/>
      <c r="O47" s="320"/>
      <c r="P47" s="320"/>
      <c r="Q47" s="320"/>
      <c r="R47" s="320"/>
      <c r="S47" s="282" t="str">
        <f ca="1">"the interest on prepaid premium calculated based on Basic Interest Rate of 2% per annum for the entire prepayment period of "&amp;$D$7&amp;TEXT($T$40,IF($T$40&gt;1000,"0,000.00","0.00"))</f>
        <v>the interest on prepaid premium calculated based on Basic Interest Rate of 2% per annum for the entire prepayment period of USD11,929.14</v>
      </c>
    </row>
    <row r="48" hidden="1" spans="2:19">
      <c r="B48" s="320"/>
      <c r="C48" s="320"/>
      <c r="D48" s="320"/>
      <c r="E48" s="320"/>
      <c r="F48" s="320"/>
      <c r="G48" s="320"/>
      <c r="H48" s="320"/>
      <c r="I48" s="320"/>
      <c r="J48" s="320"/>
      <c r="K48" s="320"/>
      <c r="L48" s="320"/>
      <c r="M48" s="320"/>
      <c r="N48" s="320"/>
      <c r="O48" s="320"/>
      <c r="P48" s="320"/>
      <c r="Q48" s="320"/>
      <c r="R48" s="320"/>
      <c r="S48" s="282" t="str">
        <f ca="1">"the interest on prepaid premium calculated based on the Extra Interest Rate of "&amp;TEXT(P9-2%,"0.0%")&amp;" per annum for the entire prepayment period of "&amp;$D$7&amp;TEXT($H$38,IF(($H$38)&gt;1000,"0,000.00","0.00"))</f>
        <v>the interest on prepaid premium calculated based on the Extra Interest Rate of 4.8% per annum for the entire prepayment period of USD28,629.94</v>
      </c>
    </row>
    <row r="49" ht="15.6" hidden="1" customHeight="1" spans="2:19">
      <c r="B49" s="320" t="s">
        <v>181</v>
      </c>
      <c r="C49" s="320"/>
      <c r="D49" s="320"/>
      <c r="E49" s="320"/>
      <c r="F49" s="320"/>
      <c r="G49" s="320"/>
      <c r="H49" s="320"/>
      <c r="I49" s="320"/>
      <c r="J49" s="320"/>
      <c r="K49" s="320"/>
      <c r="L49" s="320"/>
      <c r="M49" s="320"/>
      <c r="N49" s="320"/>
      <c r="O49" s="320"/>
      <c r="P49" s="320"/>
      <c r="Q49" s="320"/>
      <c r="R49" s="320"/>
      <c r="S49" s="282" t="str">
        <f>" To enjoy the offer, customer must submit the application of "&amp;B17&amp;" during the period from "&amp;Date!$F$3&amp;" to "&amp;Date!$F$4&amp;" and such application must be approved on or before "&amp;Date!$F$5&amp;"."</f>
        <v> To enjoy the offer, customer must submit the application of MyWealth Savings Insurance Plan 2 (Premier) during the period from 31 May to 30 Jun 2025 and such application must be approved on or before 31 Jul 2025.</v>
      </c>
    </row>
    <row r="50" ht="15.6" hidden="1" customHeight="1" spans="2:19">
      <c r="B50" s="320" t="s">
        <v>182</v>
      </c>
      <c r="C50" s="320"/>
      <c r="D50" s="320"/>
      <c r="E50" s="320"/>
      <c r="F50" s="320"/>
      <c r="G50" s="320"/>
      <c r="H50" s="320"/>
      <c r="I50" s="320"/>
      <c r="J50" s="320"/>
      <c r="K50" s="320"/>
      <c r="L50" s="320"/>
      <c r="M50" s="320"/>
      <c r="N50" s="320"/>
      <c r="O50" s="320"/>
      <c r="P50" s="320"/>
      <c r="Q50" s="320"/>
      <c r="R50" s="320"/>
      <c r="S50" s="282" t="str">
        <f ca="1">IF($P$13&gt;0,"The First Year Premium Refund amount "&amp;IF($P$13&gt;0,"and ",""),"")&amp;IF(OR($P$8="Y",$P$13&gt;0),IF($P$13=0,"T","t")&amp;"he interest on prepaid premium will be used for premium payment in the future.","")</f>
        <v>The interest on prepaid premium will be used for premium payment in the future.</v>
      </c>
    </row>
    <row r="51" ht="70.15" hidden="1" customHeight="1" spans="1:18">
      <c r="A51" s="211"/>
      <c r="B51" s="321" t="str">
        <f ca="1">"4) Total First Year Payment above has taken into consideration of "&amp;IF(AND($P$8="N",$P$13=0),$S$47&amp;".",IF(AND($P$8="Y",$P$13&gt;0)," (i) "&amp;$S$46&amp;", (ii) "&amp;$S$47&amp;", and (iii) "&amp;$S$48,IF(AND($P$8="Y",$P$13=0)," (i) "&amp;$S$47&amp;" and (ii) "&amp;$S$48,IF(AND($P$8="N",$P$13&gt;0)," (i) "&amp;$S$46&amp;" and (ii) "&amp;$S$47,"")))&amp;". "&amp;S50&amp;$S$49)</f>
        <v>4) Total First Year Payment above has taken into consideration of  (i) the interest on prepaid premium calculated based on Basic Interest Rate of 2% per annum for the entire prepayment period of USD11,929.14 and (ii) the interest on prepaid premium calculated based on the Extra Interest Rate of 4.8% per annum for the entire prepayment period of USD28,629.94. The interest on prepaid premium will be used for premium payment in the future. To enjoy the offer, customer must submit the application of MyWealth Savings Insurance Plan 2 (Premier) during the period from 31 May to 30 Jun 2025 and such application must be approved on or before 31 Jul 2025.</v>
      </c>
      <c r="C51" s="321"/>
      <c r="D51" s="321"/>
      <c r="E51" s="321"/>
      <c r="F51" s="321"/>
      <c r="G51" s="321"/>
      <c r="H51" s="321"/>
      <c r="I51" s="321"/>
      <c r="J51" s="321"/>
      <c r="K51" s="321"/>
      <c r="L51" s="321"/>
      <c r="M51" s="321"/>
      <c r="N51" s="321"/>
      <c r="O51" s="321"/>
      <c r="P51" s="321"/>
      <c r="Q51" s="321"/>
      <c r="R51" s="321"/>
    </row>
    <row r="52" hidden="1" spans="1:18">
      <c r="A52" s="211"/>
      <c r="B52" s="320" t="str">
        <f>"5) The Annual Premium (including Premium Levy) for the original premium payment period of "&amp;D3&amp;" years remains to be payable by you on each policy anniversary unless it is settled from the Premium Deposit Account."</f>
        <v>5) The Annual Premium (including Premium Levy) for the original premium payment period of 2 years remains to be payable by you on each policy anniversary unless it is settled from the Premium Deposit Account.</v>
      </c>
      <c r="C52" s="320"/>
      <c r="D52" s="320"/>
      <c r="E52" s="320"/>
      <c r="F52" s="320"/>
      <c r="G52" s="320"/>
      <c r="H52" s="320"/>
      <c r="I52" s="320"/>
      <c r="J52" s="320"/>
      <c r="K52" s="320"/>
      <c r="L52" s="320"/>
      <c r="M52" s="320"/>
      <c r="N52" s="320"/>
      <c r="O52" s="320"/>
      <c r="P52" s="320"/>
      <c r="Q52" s="320"/>
      <c r="R52" s="320"/>
    </row>
    <row r="53" hidden="1" spans="2:19">
      <c r="B53" s="320"/>
      <c r="C53" s="320"/>
      <c r="D53" s="320"/>
      <c r="E53" s="320"/>
      <c r="F53" s="320"/>
      <c r="G53" s="320"/>
      <c r="H53" s="320"/>
      <c r="I53" s="320"/>
      <c r="J53" s="320"/>
      <c r="K53" s="320"/>
      <c r="L53" s="320"/>
      <c r="M53" s="320"/>
      <c r="N53" s="320"/>
      <c r="O53" s="320"/>
      <c r="P53" s="320"/>
      <c r="Q53" s="320"/>
      <c r="R53" s="320"/>
      <c r="S53" s="143" t="s">
        <v>183</v>
      </c>
    </row>
    <row r="54" ht="15.6" hidden="1" customHeight="1" spans="2:19">
      <c r="B54" s="321" t="str">
        <f>IF(P8="N","6) The accumulated premiums in the Premium Deposit Account will generate interest at a rate determined by us. The current interest rate is 2% per annum, which may vary from time to time without prior notice and is not guaranteed. ","6) The accumulated premiums in the Premium Deposit Account will generate interest at a rate of "&amp;TEXT(P9,"0.0%")&amp;" per annum (“Guaranteed Interest Rate for Prepaid Premium Offer”). Guaranteed Interest Rate for Prepaid Premium Offer refers to "&amp;TEXT((P9-2%),"0.0%")&amp;S53&amp;" "&amp;TEXT(P9,"0.0%")&amp;".")</f>
        <v>6) The accumulated premiums in the Premium Deposit Account will generate interest at a rate of 6.8% per annum (“Guaranteed Interest Rate for Prepaid Premium Offer”). Guaranteed Interest Rate for Prepaid Premium Offer refers to 4.8% Extra Interest Rate (“Extra Interest Rate”) and Basic Prepaid Premium Interest Rate (the current interest rate offered is 2% per annum, but is not guaranteed). If the non-guaranteed Basic Prepaid Premium Interest Rate increases or decreases, the Extra Interest Rate will be adjusted accordingly to ensure the interest rate of This Offer reaches the guaranteed 6.8%.</v>
      </c>
      <c r="C54" s="321"/>
      <c r="D54" s="321"/>
      <c r="E54" s="321"/>
      <c r="F54" s="321"/>
      <c r="G54" s="321"/>
      <c r="H54" s="321"/>
      <c r="I54" s="321"/>
      <c r="J54" s="321"/>
      <c r="K54" s="321"/>
      <c r="L54" s="321"/>
      <c r="M54" s="321"/>
      <c r="N54" s="321"/>
      <c r="O54" s="321"/>
      <c r="P54" s="321"/>
      <c r="Q54" s="321"/>
      <c r="R54" s="321"/>
      <c r="S54" s="143" t="s">
        <v>184</v>
      </c>
    </row>
    <row r="55" ht="48" hidden="1" customHeight="1" spans="2:19">
      <c r="B55" s="321"/>
      <c r="C55" s="321"/>
      <c r="D55" s="321"/>
      <c r="E55" s="321"/>
      <c r="F55" s="321"/>
      <c r="G55" s="321"/>
      <c r="H55" s="321"/>
      <c r="I55" s="321"/>
      <c r="J55" s="321"/>
      <c r="K55" s="321"/>
      <c r="L55" s="321"/>
      <c r="M55" s="321"/>
      <c r="N55" s="321"/>
      <c r="O55" s="321"/>
      <c r="P55" s="321"/>
      <c r="Q55" s="321"/>
      <c r="R55" s="321"/>
      <c r="S55" s="143" t="s">
        <v>185</v>
      </c>
    </row>
    <row r="56" ht="15.6" hidden="1" customHeight="1" spans="2:19">
      <c r="B56" s="321" t="str">
        <f>IF($P$8="N",S57,S56)</f>
        <v>7) Interest of the Guaranteed Interest Rate for Prepaid Premium Offer is determined based on the Premiums Payable (deducting the annual premium due and premium levy, with accumulated interest) from the policy issue date to the last premium payment due date by annum. Total Interest of the Extra Interest Rate will be automatically deposited to the premium deposit account before the last premium due date for premiums payable of that Policy year (include the premium levy). Interest of Basic Prepaid Premium Interest Rate will be automatically credited to the premium deposit account on the corresponding Policy Anniversary.</v>
      </c>
      <c r="C56" s="321"/>
      <c r="D56" s="321"/>
      <c r="E56" s="321"/>
      <c r="F56" s="321"/>
      <c r="G56" s="321"/>
      <c r="H56" s="321"/>
      <c r="I56" s="321"/>
      <c r="J56" s="321"/>
      <c r="K56" s="321"/>
      <c r="L56" s="321"/>
      <c r="M56" s="321"/>
      <c r="N56" s="321"/>
      <c r="O56" s="321"/>
      <c r="P56" s="321"/>
      <c r="Q56" s="321"/>
      <c r="R56" s="321"/>
      <c r="S56" s="333" t="s">
        <v>186</v>
      </c>
    </row>
    <row r="57" ht="52.35" hidden="1" customHeight="1" spans="2:19">
      <c r="B57" s="321"/>
      <c r="C57" s="321"/>
      <c r="D57" s="321"/>
      <c r="E57" s="321"/>
      <c r="F57" s="321"/>
      <c r="G57" s="321"/>
      <c r="H57" s="321"/>
      <c r="I57" s="321"/>
      <c r="J57" s="321"/>
      <c r="K57" s="321"/>
      <c r="L57" s="321"/>
      <c r="M57" s="321"/>
      <c r="N57" s="321"/>
      <c r="O57" s="321"/>
      <c r="P57" s="321"/>
      <c r="Q57" s="321"/>
      <c r="R57" s="321"/>
      <c r="S57" s="143" t="s">
        <v>187</v>
      </c>
    </row>
    <row r="58" ht="15.6" hidden="1" customHeight="1" spans="2:19">
      <c r="B58" s="215" t="str">
        <f>IF($D$3=2,8,8)&amp;")"&amp;" "&amp;S58</f>
        <v>8) You may withdraw the entire amount from the Premium Deposit Account before policy termination or maturity but any interest credited will be forfeited. We reserve the right of final decision on any withdrawal requests on the Premium Deposit Account.</v>
      </c>
      <c r="C58" s="215"/>
      <c r="D58" s="215"/>
      <c r="E58" s="215"/>
      <c r="F58" s="215"/>
      <c r="G58" s="215"/>
      <c r="H58" s="215"/>
      <c r="I58" s="215"/>
      <c r="J58" s="215"/>
      <c r="K58" s="215"/>
      <c r="L58" s="215"/>
      <c r="M58" s="215"/>
      <c r="N58" s="215"/>
      <c r="O58" s="215"/>
      <c r="P58" s="215"/>
      <c r="Q58" s="215"/>
      <c r="R58" s="215"/>
      <c r="S58" s="337" t="s">
        <v>188</v>
      </c>
    </row>
    <row r="59" hidden="1" spans="2:18">
      <c r="B59" s="215"/>
      <c r="C59" s="215"/>
      <c r="D59" s="215"/>
      <c r="E59" s="215"/>
      <c r="F59" s="215"/>
      <c r="G59" s="215"/>
      <c r="H59" s="215"/>
      <c r="I59" s="215"/>
      <c r="J59" s="215"/>
      <c r="K59" s="215"/>
      <c r="L59" s="215"/>
      <c r="M59" s="215"/>
      <c r="N59" s="215"/>
      <c r="O59" s="215"/>
      <c r="P59" s="215"/>
      <c r="Q59" s="215"/>
      <c r="R59" s="215"/>
    </row>
    <row r="60" hidden="1" customHeight="1" spans="2:19">
      <c r="B60" s="215" t="str">
        <f>IF($D$3=2,9,9)&amp;")"&amp;" "&amp;S60</f>
        <v>9) If there is any remaining balance in your Premium Deposit Account, it will be refunded upon termination or maturity of the policy.</v>
      </c>
      <c r="C60" s="215"/>
      <c r="D60" s="215"/>
      <c r="E60" s="215"/>
      <c r="F60" s="215"/>
      <c r="G60" s="215"/>
      <c r="H60" s="215"/>
      <c r="I60" s="215"/>
      <c r="J60" s="215"/>
      <c r="K60" s="215"/>
      <c r="L60" s="215"/>
      <c r="M60" s="215"/>
      <c r="N60" s="215"/>
      <c r="O60" s="215"/>
      <c r="P60" s="215"/>
      <c r="Q60" s="215"/>
      <c r="R60" s="215"/>
      <c r="S60" s="333" t="s">
        <v>189</v>
      </c>
    </row>
    <row r="61" hidden="1" spans="2:18">
      <c r="B61" s="215"/>
      <c r="C61" s="215"/>
      <c r="D61" s="215"/>
      <c r="E61" s="215"/>
      <c r="F61" s="215"/>
      <c r="G61" s="215"/>
      <c r="H61" s="215"/>
      <c r="I61" s="215"/>
      <c r="J61" s="215"/>
      <c r="K61" s="215"/>
      <c r="L61" s="215"/>
      <c r="M61" s="215"/>
      <c r="N61" s="215"/>
      <c r="O61" s="215"/>
      <c r="P61" s="215"/>
      <c r="Q61" s="215"/>
      <c r="R61" s="215"/>
    </row>
    <row r="62" hidden="1" customHeight="1" spans="2:19">
      <c r="B62" s="215" t="str">
        <f>IF($D$3=2,10,10)&amp;")"&amp;" "&amp;S62</f>
        <v>10) The value in Premium Deposit Account will not be paid as a part of benefit to the beneficiary on the death of the insured, but will be treated as the property or the estate of the Owner.</v>
      </c>
      <c r="C62" s="215"/>
      <c r="D62" s="215"/>
      <c r="E62" s="215"/>
      <c r="F62" s="215"/>
      <c r="G62" s="215"/>
      <c r="H62" s="215"/>
      <c r="I62" s="215"/>
      <c r="J62" s="215"/>
      <c r="K62" s="215"/>
      <c r="L62" s="215"/>
      <c r="M62" s="215"/>
      <c r="N62" s="215"/>
      <c r="O62" s="215"/>
      <c r="P62" s="215"/>
      <c r="Q62" s="215"/>
      <c r="R62" s="215"/>
      <c r="S62" s="333" t="s">
        <v>190</v>
      </c>
    </row>
    <row r="63" hidden="1" spans="2:18">
      <c r="B63" s="215"/>
      <c r="C63" s="215"/>
      <c r="D63" s="215"/>
      <c r="E63" s="215"/>
      <c r="F63" s="215"/>
      <c r="G63" s="215"/>
      <c r="H63" s="215"/>
      <c r="I63" s="215"/>
      <c r="J63" s="215"/>
      <c r="K63" s="215"/>
      <c r="L63" s="215"/>
      <c r="M63" s="215"/>
      <c r="N63" s="215"/>
      <c r="O63" s="215"/>
      <c r="P63" s="215"/>
      <c r="Q63" s="215"/>
      <c r="R63" s="215"/>
    </row>
    <row r="64" ht="15.6" hidden="1" customHeight="1" spans="2:19">
      <c r="B64" s="215" t="str">
        <f>IF($D$3=2,11,11)&amp;")"&amp;" "&amp;S64</f>
        <v>11) The Company reserves the right not to accept the amount deposited into Premium Deposit Account.</v>
      </c>
      <c r="C64" s="215"/>
      <c r="D64" s="215"/>
      <c r="E64" s="215"/>
      <c r="F64" s="215"/>
      <c r="G64" s="215"/>
      <c r="H64" s="215"/>
      <c r="I64" s="215"/>
      <c r="J64" s="215"/>
      <c r="K64" s="215"/>
      <c r="L64" s="215"/>
      <c r="M64" s="215"/>
      <c r="N64" s="215"/>
      <c r="O64" s="215"/>
      <c r="P64" s="215"/>
      <c r="Q64" s="215"/>
      <c r="R64" s="215"/>
      <c r="S64" s="333" t="s">
        <v>191</v>
      </c>
    </row>
    <row r="65" hidden="1"/>
    <row r="66" ht="15.6" hidden="1" customHeight="1" spans="2:18">
      <c r="B66" s="217" t="s">
        <v>192</v>
      </c>
      <c r="C66" s="217"/>
      <c r="D66" s="217"/>
      <c r="E66" s="217"/>
      <c r="F66" s="217"/>
      <c r="G66" s="217"/>
      <c r="H66" s="217"/>
      <c r="I66" s="217"/>
      <c r="J66" s="217"/>
      <c r="K66" s="217"/>
      <c r="L66" s="217"/>
      <c r="M66" s="217"/>
      <c r="N66" s="217"/>
      <c r="O66" s="217"/>
      <c r="P66" s="217"/>
      <c r="Q66" s="217"/>
      <c r="R66" s="217"/>
    </row>
    <row r="67" hidden="1" spans="2:18">
      <c r="B67" s="217"/>
      <c r="C67" s="217"/>
      <c r="D67" s="217"/>
      <c r="E67" s="217"/>
      <c r="F67" s="217"/>
      <c r="G67" s="217"/>
      <c r="H67" s="217"/>
      <c r="I67" s="217"/>
      <c r="J67" s="217"/>
      <c r="K67" s="217"/>
      <c r="L67" s="217"/>
      <c r="M67" s="217"/>
      <c r="N67" s="217"/>
      <c r="O67" s="217"/>
      <c r="P67" s="217"/>
      <c r="Q67" s="217"/>
      <c r="R67" s="217"/>
    </row>
    <row r="68" hidden="1" spans="2:18">
      <c r="B68" s="217"/>
      <c r="C68" s="217"/>
      <c r="D68" s="217"/>
      <c r="E68" s="217"/>
      <c r="F68" s="217"/>
      <c r="G68" s="217"/>
      <c r="H68" s="217"/>
      <c r="I68" s="217"/>
      <c r="J68" s="217"/>
      <c r="K68" s="217"/>
      <c r="L68" s="217"/>
      <c r="M68" s="217"/>
      <c r="N68" s="217"/>
      <c r="O68" s="217"/>
      <c r="P68" s="217"/>
      <c r="Q68" s="217"/>
      <c r="R68" s="217"/>
    </row>
    <row r="69" ht="36.75" hidden="1" customHeight="1" spans="2:18">
      <c r="B69" s="217"/>
      <c r="C69" s="217"/>
      <c r="D69" s="217"/>
      <c r="E69" s="217"/>
      <c r="F69" s="217"/>
      <c r="G69" s="217"/>
      <c r="H69" s="217"/>
      <c r="I69" s="217"/>
      <c r="J69" s="217"/>
      <c r="K69" s="217"/>
      <c r="L69" s="217"/>
      <c r="M69" s="217"/>
      <c r="N69" s="217"/>
      <c r="O69" s="217"/>
      <c r="P69" s="217"/>
      <c r="Q69" s="217"/>
      <c r="R69" s="217"/>
    </row>
    <row r="70" ht="19.5" hidden="1" customHeight="1" spans="2:17">
      <c r="B70" s="218"/>
      <c r="C70" s="218"/>
      <c r="D70" s="218"/>
      <c r="E70" s="218"/>
      <c r="F70" s="218"/>
      <c r="G70" s="218"/>
      <c r="H70" s="218"/>
      <c r="I70" s="218"/>
      <c r="J70" s="218"/>
      <c r="K70" s="218"/>
      <c r="L70" s="218"/>
      <c r="M70" s="218"/>
      <c r="N70" s="218"/>
      <c r="O70" s="218"/>
      <c r="P70" s="218"/>
      <c r="Q70" s="218"/>
    </row>
    <row r="71" hidden="1"/>
    <row r="72" hidden="1" spans="2:18">
      <c r="B72" s="143" t="s">
        <v>193</v>
      </c>
      <c r="C72" s="301"/>
      <c r="D72" s="309"/>
      <c r="E72" s="309"/>
      <c r="F72" s="309"/>
      <c r="G72" s="309"/>
      <c r="H72" s="309"/>
      <c r="I72" s="309"/>
      <c r="J72" s="309"/>
      <c r="K72" s="309"/>
      <c r="N72" s="143" t="s">
        <v>194</v>
      </c>
      <c r="O72" s="304"/>
      <c r="P72" s="304"/>
      <c r="Q72" s="304"/>
      <c r="R72" s="304"/>
    </row>
    <row r="73" hidden="1"/>
    <row r="74" hidden="1"/>
    <row r="75" hidden="1" spans="2:18">
      <c r="B75" s="143" t="s">
        <v>195</v>
      </c>
      <c r="C75" s="301"/>
      <c r="D75" s="301"/>
      <c r="E75" s="301"/>
      <c r="F75" s="301"/>
      <c r="G75" s="301"/>
      <c r="H75" s="301"/>
      <c r="I75" s="301"/>
      <c r="J75" s="301"/>
      <c r="K75" s="301"/>
      <c r="N75" s="143" t="s">
        <v>196</v>
      </c>
      <c r="O75" s="301"/>
      <c r="P75" s="301"/>
      <c r="Q75" s="301"/>
      <c r="R75" s="301"/>
    </row>
    <row r="76" hidden="1"/>
    <row r="77" hidden="1" spans="2:25">
      <c r="B77" s="143" t="str">
        <f>"MW2I"&amp;LEFT($D$7)&amp;IF($D$7="USD","(A/T)","(A)")</f>
        <v>MW2IU(A/T)</v>
      </c>
      <c r="N77"/>
      <c r="O77"/>
      <c r="P77"/>
      <c r="Q77"/>
      <c r="R77"/>
      <c r="S77"/>
      <c r="T77"/>
      <c r="U77"/>
      <c r="V77"/>
      <c r="W77"/>
      <c r="X77"/>
      <c r="Y77"/>
    </row>
    <row r="78" hidden="1" spans="7:25">
      <c r="G78" s="280"/>
      <c r="N78"/>
      <c r="O78"/>
      <c r="P78"/>
      <c r="Q78"/>
      <c r="R78"/>
      <c r="S78"/>
      <c r="T78"/>
      <c r="U78"/>
      <c r="V78"/>
      <c r="W78"/>
      <c r="X78"/>
      <c r="Y78"/>
    </row>
    <row r="79" hidden="1" spans="6:25">
      <c r="F79"/>
      <c r="G79"/>
      <c r="H79"/>
      <c r="I79"/>
      <c r="J79"/>
      <c r="K79"/>
      <c r="L79"/>
      <c r="M79"/>
      <c r="N79"/>
      <c r="O79"/>
      <c r="P79"/>
      <c r="Q79"/>
      <c r="R79"/>
      <c r="S79"/>
      <c r="T79"/>
      <c r="U79"/>
      <c r="V79"/>
      <c r="W79"/>
      <c r="X79"/>
      <c r="Y79"/>
    </row>
    <row r="80" hidden="1" spans="6:25">
      <c r="F80"/>
      <c r="G80"/>
      <c r="H80"/>
      <c r="I80"/>
      <c r="J80"/>
      <c r="K80"/>
      <c r="L80"/>
      <c r="M80"/>
      <c r="N80"/>
      <c r="O80"/>
      <c r="P80"/>
      <c r="Q80"/>
      <c r="R80"/>
      <c r="S80"/>
      <c r="T80"/>
      <c r="U80"/>
      <c r="V80"/>
      <c r="W80"/>
      <c r="X80"/>
      <c r="Y80"/>
    </row>
    <row r="81" hidden="1" spans="6:25">
      <c r="F81"/>
      <c r="G81"/>
      <c r="H81"/>
      <c r="I81"/>
      <c r="J81"/>
      <c r="K81"/>
      <c r="L81"/>
      <c r="M81"/>
      <c r="N81"/>
      <c r="O81"/>
      <c r="P81"/>
      <c r="Q81"/>
      <c r="R81"/>
      <c r="S81"/>
      <c r="T81"/>
      <c r="U81"/>
      <c r="V81"/>
      <c r="W81"/>
      <c r="X81"/>
      <c r="Y81"/>
    </row>
    <row r="82" hidden="1" spans="6:25">
      <c r="F82"/>
      <c r="G82"/>
      <c r="H82"/>
      <c r="I82"/>
      <c r="J82"/>
      <c r="K82"/>
      <c r="L82"/>
      <c r="M82"/>
      <c r="N82"/>
      <c r="O82"/>
      <c r="P82"/>
      <c r="Q82"/>
      <c r="R82"/>
      <c r="S82"/>
      <c r="T82"/>
      <c r="U82"/>
      <c r="V82"/>
      <c r="W82"/>
      <c r="X82"/>
      <c r="Y82"/>
    </row>
    <row r="83" hidden="1" spans="6:25">
      <c r="F83"/>
      <c r="G83"/>
      <c r="H83"/>
      <c r="I83"/>
      <c r="J83"/>
      <c r="K83"/>
      <c r="L83"/>
      <c r="M83"/>
      <c r="N83"/>
      <c r="O83"/>
      <c r="P83"/>
      <c r="Q83"/>
      <c r="R83"/>
      <c r="S83"/>
      <c r="T83"/>
      <c r="U83"/>
      <c r="V83"/>
      <c r="W83"/>
      <c r="X83"/>
      <c r="Y83"/>
    </row>
    <row r="84" hidden="1" spans="6:25">
      <c r="F84"/>
      <c r="G84"/>
      <c r="H84"/>
      <c r="I84"/>
      <c r="J84"/>
      <c r="K84"/>
      <c r="L84"/>
      <c r="M84"/>
      <c r="N84"/>
      <c r="O84"/>
      <c r="P84"/>
      <c r="Q84"/>
      <c r="R84"/>
      <c r="S84"/>
      <c r="T84"/>
      <c r="U84"/>
      <c r="V84"/>
      <c r="W84"/>
      <c r="X84"/>
      <c r="Y84"/>
    </row>
    <row r="85" hidden="1" spans="6:25">
      <c r="F85"/>
      <c r="G85"/>
      <c r="H85"/>
      <c r="I85"/>
      <c r="J85"/>
      <c r="K85"/>
      <c r="L85"/>
      <c r="M85"/>
      <c r="N85"/>
      <c r="O85"/>
      <c r="P85"/>
      <c r="Q85"/>
      <c r="R85"/>
      <c r="S85"/>
      <c r="T85"/>
      <c r="U85"/>
      <c r="V85"/>
      <c r="W85"/>
      <c r="X85"/>
      <c r="Y85"/>
    </row>
    <row r="86" hidden="1" spans="6:25">
      <c r="F86"/>
      <c r="G86"/>
      <c r="H86"/>
      <c r="I86"/>
      <c r="J86"/>
      <c r="K86"/>
      <c r="L86"/>
      <c r="M86"/>
      <c r="N86"/>
      <c r="O86"/>
      <c r="P86"/>
      <c r="Q86"/>
      <c r="R86"/>
      <c r="S86"/>
      <c r="T86"/>
      <c r="U86"/>
      <c r="V86"/>
      <c r="W86"/>
      <c r="X86"/>
      <c r="Y86"/>
    </row>
    <row r="87" hidden="1" spans="6:25">
      <c r="F87"/>
      <c r="G87"/>
      <c r="H87"/>
      <c r="I87"/>
      <c r="J87"/>
      <c r="K87"/>
      <c r="L87"/>
      <c r="M87"/>
      <c r="N87"/>
      <c r="O87"/>
      <c r="P87"/>
      <c r="Q87"/>
      <c r="R87"/>
      <c r="S87"/>
      <c r="T87"/>
      <c r="U87"/>
      <c r="V87"/>
      <c r="W87"/>
      <c r="X87"/>
      <c r="Y87"/>
    </row>
    <row r="88" hidden="1" spans="6:25">
      <c r="F88"/>
      <c r="G88"/>
      <c r="H88"/>
      <c r="I88"/>
      <c r="J88"/>
      <c r="K88"/>
      <c r="L88"/>
      <c r="M88"/>
      <c r="N88"/>
      <c r="O88"/>
      <c r="P88"/>
      <c r="Q88"/>
      <c r="R88"/>
      <c r="S88"/>
      <c r="T88"/>
      <c r="U88"/>
      <c r="V88"/>
      <c r="W88"/>
      <c r="X88"/>
      <c r="Y88"/>
    </row>
    <row r="89" hidden="1" spans="6:25">
      <c r="F89"/>
      <c r="G89"/>
      <c r="H89"/>
      <c r="I89"/>
      <c r="J89"/>
      <c r="K89"/>
      <c r="L89"/>
      <c r="M89"/>
      <c r="N89"/>
      <c r="O89"/>
      <c r="P89"/>
      <c r="Q89"/>
      <c r="R89"/>
      <c r="S89"/>
      <c r="T89"/>
      <c r="U89"/>
      <c r="V89"/>
      <c r="W89"/>
      <c r="X89"/>
      <c r="Y89"/>
    </row>
    <row r="90" hidden="1" spans="6:25">
      <c r="F90"/>
      <c r="G90"/>
      <c r="H90"/>
      <c r="I90"/>
      <c r="J90"/>
      <c r="K90"/>
      <c r="L90"/>
      <c r="M90"/>
      <c r="N90"/>
      <c r="O90"/>
      <c r="P90"/>
      <c r="Q90"/>
      <c r="R90"/>
      <c r="S90"/>
      <c r="T90"/>
      <c r="U90"/>
      <c r="V90"/>
      <c r="W90"/>
      <c r="X90"/>
      <c r="Y90"/>
    </row>
    <row r="91" hidden="1" spans="6:25">
      <c r="F91"/>
      <c r="G91"/>
      <c r="H91"/>
      <c r="I91"/>
      <c r="J91"/>
      <c r="K91"/>
      <c r="L91"/>
      <c r="M91"/>
      <c r="N91"/>
      <c r="O91"/>
      <c r="P91"/>
      <c r="Q91"/>
      <c r="R91"/>
      <c r="S91"/>
      <c r="T91"/>
      <c r="U91"/>
      <c r="V91"/>
      <c r="W91"/>
      <c r="X91"/>
      <c r="Y91"/>
    </row>
    <row r="92" hidden="1" spans="6:25">
      <c r="F92"/>
      <c r="G92"/>
      <c r="H92"/>
      <c r="I92"/>
      <c r="J92"/>
      <c r="K92"/>
      <c r="L92"/>
      <c r="M92"/>
      <c r="N92"/>
      <c r="O92"/>
      <c r="P92"/>
      <c r="Q92"/>
      <c r="R92"/>
      <c r="S92"/>
      <c r="T92"/>
      <c r="U92"/>
      <c r="V92"/>
      <c r="W92"/>
      <c r="X92"/>
      <c r="Y92"/>
    </row>
    <row r="93" hidden="1" spans="6:25">
      <c r="F93"/>
      <c r="G93"/>
      <c r="H93"/>
      <c r="I93"/>
      <c r="J93"/>
      <c r="K93"/>
      <c r="L93"/>
      <c r="M93"/>
      <c r="N93"/>
      <c r="O93"/>
      <c r="P93"/>
      <c r="Q93"/>
      <c r="R93"/>
      <c r="S93"/>
      <c r="T93"/>
      <c r="U93"/>
      <c r="V93"/>
      <c r="W93"/>
      <c r="X93"/>
      <c r="Y93"/>
    </row>
    <row r="94" hidden="1" spans="6:25">
      <c r="F94"/>
      <c r="G94"/>
      <c r="H94"/>
      <c r="I94"/>
      <c r="J94"/>
      <c r="K94"/>
      <c r="L94"/>
      <c r="M94"/>
      <c r="N94"/>
      <c r="O94"/>
      <c r="P94"/>
      <c r="Q94"/>
      <c r="R94"/>
      <c r="S94"/>
      <c r="T94"/>
      <c r="U94"/>
      <c r="V94"/>
      <c r="W94"/>
      <c r="X94"/>
      <c r="Y94"/>
    </row>
    <row r="95" hidden="1" spans="6:25">
      <c r="F95"/>
      <c r="G95"/>
      <c r="H95"/>
      <c r="I95"/>
      <c r="J95"/>
      <c r="K95"/>
      <c r="L95"/>
      <c r="M95"/>
      <c r="N95"/>
      <c r="O95"/>
      <c r="P95"/>
      <c r="Q95"/>
      <c r="R95"/>
      <c r="S95"/>
      <c r="T95"/>
      <c r="U95"/>
      <c r="V95"/>
      <c r="W95"/>
      <c r="X95"/>
      <c r="Y95"/>
    </row>
    <row r="96" hidden="1" spans="6:25">
      <c r="F96"/>
      <c r="G96"/>
      <c r="H96"/>
      <c r="I96"/>
      <c r="J96"/>
      <c r="K96"/>
      <c r="L96"/>
      <c r="M96"/>
      <c r="N96"/>
      <c r="O96"/>
      <c r="P96"/>
      <c r="Q96"/>
      <c r="R96"/>
      <c r="S96"/>
      <c r="T96"/>
      <c r="U96"/>
      <c r="V96"/>
      <c r="W96"/>
      <c r="X96"/>
      <c r="Y96"/>
    </row>
    <row r="97" hidden="1" spans="6:25">
      <c r="F97"/>
      <c r="G97"/>
      <c r="H97"/>
      <c r="I97"/>
      <c r="J97"/>
      <c r="K97"/>
      <c r="L97"/>
      <c r="M97"/>
      <c r="N97"/>
      <c r="O97"/>
      <c r="P97"/>
      <c r="Q97"/>
      <c r="R97"/>
      <c r="S97"/>
      <c r="T97"/>
      <c r="U97"/>
      <c r="V97"/>
      <c r="W97"/>
      <c r="X97"/>
      <c r="Y97"/>
    </row>
    <row r="98" hidden="1" spans="6:25">
      <c r="F98"/>
      <c r="G98"/>
      <c r="H98"/>
      <c r="I98"/>
      <c r="J98"/>
      <c r="K98"/>
      <c r="L98"/>
      <c r="M98"/>
      <c r="N98"/>
      <c r="O98"/>
      <c r="P98"/>
      <c r="Q98"/>
      <c r="R98"/>
      <c r="S98"/>
      <c r="T98"/>
      <c r="U98"/>
      <c r="V98"/>
      <c r="W98"/>
      <c r="X98"/>
      <c r="Y98"/>
    </row>
    <row r="99" hidden="1" spans="6:25">
      <c r="F99"/>
      <c r="G99"/>
      <c r="H99"/>
      <c r="I99"/>
      <c r="J99"/>
      <c r="K99"/>
      <c r="L99"/>
      <c r="M99"/>
      <c r="N99"/>
      <c r="O99"/>
      <c r="P99"/>
      <c r="Q99"/>
      <c r="R99"/>
      <c r="S99"/>
      <c r="T99"/>
      <c r="U99"/>
      <c r="V99"/>
      <c r="W99"/>
      <c r="X99"/>
      <c r="Y99"/>
    </row>
    <row r="100" spans="6:25">
      <c r="F100"/>
      <c r="G100"/>
      <c r="H100"/>
      <c r="I100"/>
      <c r="J100"/>
      <c r="K100"/>
      <c r="L100"/>
      <c r="M100"/>
      <c r="N100"/>
      <c r="O100"/>
      <c r="P100"/>
      <c r="Q100"/>
      <c r="R100"/>
      <c r="S100"/>
      <c r="T100"/>
      <c r="U100"/>
      <c r="V100"/>
      <c r="W100"/>
      <c r="X100"/>
      <c r="Y100"/>
    </row>
    <row r="101" spans="6:25">
      <c r="F101"/>
      <c r="G101"/>
      <c r="H101" s="339"/>
      <c r="I101"/>
      <c r="J101"/>
      <c r="K101"/>
      <c r="L101"/>
      <c r="M101"/>
      <c r="N101"/>
      <c r="O101"/>
      <c r="P101"/>
      <c r="Q101"/>
      <c r="R101"/>
      <c r="S101"/>
      <c r="T101"/>
      <c r="U101"/>
      <c r="V101"/>
      <c r="W101"/>
      <c r="X101"/>
      <c r="Y101"/>
    </row>
    <row r="102" spans="6:25">
      <c r="F102"/>
      <c r="G102"/>
      <c r="H102"/>
      <c r="I102"/>
      <c r="J102"/>
      <c r="K102"/>
      <c r="L102"/>
      <c r="M102"/>
      <c r="N102"/>
      <c r="O102"/>
      <c r="P102"/>
      <c r="Q102"/>
      <c r="R102"/>
      <c r="S102"/>
      <c r="T102"/>
      <c r="U102"/>
      <c r="V102"/>
      <c r="W102"/>
      <c r="X102"/>
      <c r="Y102"/>
    </row>
    <row r="103" spans="6:25">
      <c r="F103"/>
      <c r="G103"/>
      <c r="H103"/>
      <c r="I103"/>
      <c r="J103"/>
      <c r="K103"/>
      <c r="L103"/>
      <c r="M103"/>
      <c r="N103"/>
      <c r="O103"/>
      <c r="P103"/>
      <c r="Q103"/>
      <c r="R103"/>
      <c r="S103"/>
      <c r="T103"/>
      <c r="U103"/>
      <c r="V103"/>
      <c r="W103"/>
      <c r="X103"/>
      <c r="Y103"/>
    </row>
    <row r="104" spans="6:25">
      <c r="F104"/>
      <c r="G104"/>
      <c r="H104"/>
      <c r="I104"/>
      <c r="J104"/>
      <c r="K104"/>
      <c r="L104"/>
      <c r="M104"/>
      <c r="N104"/>
      <c r="O104"/>
      <c r="P104"/>
      <c r="Q104"/>
      <c r="R104"/>
      <c r="S104"/>
      <c r="T104"/>
      <c r="U104"/>
      <c r="V104"/>
      <c r="W104"/>
      <c r="X104"/>
      <c r="Y104"/>
    </row>
    <row r="105" spans="6:25">
      <c r="F105"/>
      <c r="G105"/>
      <c r="H105"/>
      <c r="I105"/>
      <c r="J105"/>
      <c r="K105"/>
      <c r="L105"/>
      <c r="M105"/>
      <c r="N105"/>
      <c r="O105"/>
      <c r="P105"/>
      <c r="Q105"/>
      <c r="R105"/>
      <c r="S105"/>
      <c r="T105"/>
      <c r="U105"/>
      <c r="V105"/>
      <c r="W105"/>
      <c r="X105"/>
      <c r="Y105"/>
    </row>
    <row r="106" spans="6:25">
      <c r="F106"/>
      <c r="G106"/>
      <c r="H106"/>
      <c r="I106"/>
      <c r="J106"/>
      <c r="K106"/>
      <c r="L106"/>
      <c r="M106"/>
      <c r="N106"/>
      <c r="O106"/>
      <c r="P106"/>
      <c r="Q106"/>
      <c r="R106"/>
      <c r="S106"/>
      <c r="T106"/>
      <c r="U106"/>
      <c r="V106"/>
      <c r="W106"/>
      <c r="X106"/>
      <c r="Y106"/>
    </row>
    <row r="107" spans="6:25">
      <c r="F107"/>
      <c r="G107"/>
      <c r="H107"/>
      <c r="I107"/>
      <c r="J107"/>
      <c r="K107"/>
      <c r="L107"/>
      <c r="M107"/>
      <c r="N107"/>
      <c r="O107"/>
      <c r="P107"/>
      <c r="Q107"/>
      <c r="R107"/>
      <c r="S107"/>
      <c r="T107"/>
      <c r="U107"/>
      <c r="V107"/>
      <c r="W107"/>
      <c r="X107"/>
      <c r="Y107"/>
    </row>
    <row r="108" spans="6:25">
      <c r="F108"/>
      <c r="G108"/>
      <c r="H108"/>
      <c r="I108"/>
      <c r="J108"/>
      <c r="K108"/>
      <c r="L108"/>
      <c r="M108"/>
      <c r="N108"/>
      <c r="O108"/>
      <c r="P108"/>
      <c r="Q108"/>
      <c r="R108"/>
      <c r="S108"/>
      <c r="T108"/>
      <c r="U108"/>
      <c r="V108"/>
      <c r="W108"/>
      <c r="X108"/>
      <c r="Y108"/>
    </row>
    <row r="109" spans="6:25">
      <c r="F109"/>
      <c r="G109"/>
      <c r="H109"/>
      <c r="I109"/>
      <c r="J109"/>
      <c r="K109"/>
      <c r="L109"/>
      <c r="M109"/>
      <c r="N109"/>
      <c r="O109"/>
      <c r="P109"/>
      <c r="Q109"/>
      <c r="R109"/>
      <c r="S109"/>
      <c r="T109"/>
      <c r="U109"/>
      <c r="V109"/>
      <c r="W109"/>
      <c r="X109"/>
      <c r="Y109"/>
    </row>
    <row r="110" spans="6:25">
      <c r="F110"/>
      <c r="G110"/>
      <c r="H110"/>
      <c r="I110"/>
      <c r="J110"/>
      <c r="K110"/>
      <c r="L110"/>
      <c r="M110"/>
      <c r="N110"/>
      <c r="O110"/>
      <c r="P110"/>
      <c r="Q110"/>
      <c r="R110"/>
      <c r="S110"/>
      <c r="T110"/>
      <c r="U110"/>
      <c r="V110"/>
      <c r="W110"/>
      <c r="X110"/>
      <c r="Y110"/>
    </row>
    <row r="111" spans="6:25">
      <c r="F111"/>
      <c r="G111"/>
      <c r="H111"/>
      <c r="I111"/>
      <c r="J111"/>
      <c r="K111"/>
      <c r="L111"/>
      <c r="M111"/>
      <c r="N111"/>
      <c r="O111"/>
      <c r="P111"/>
      <c r="Q111"/>
      <c r="R111"/>
      <c r="S111"/>
      <c r="T111"/>
      <c r="U111"/>
      <c r="V111"/>
      <c r="W111"/>
      <c r="X111"/>
      <c r="Y111"/>
    </row>
    <row r="112" spans="6:25">
      <c r="F112"/>
      <c r="G112"/>
      <c r="H112"/>
      <c r="I112"/>
      <c r="J112"/>
      <c r="K112"/>
      <c r="L112"/>
      <c r="M112"/>
      <c r="N112"/>
      <c r="O112"/>
      <c r="P112"/>
      <c r="Q112"/>
      <c r="R112"/>
      <c r="S112"/>
      <c r="T112"/>
      <c r="U112"/>
      <c r="V112"/>
      <c r="W112"/>
      <c r="X112"/>
      <c r="Y112"/>
    </row>
    <row r="113" spans="6:25">
      <c r="F113"/>
      <c r="G113"/>
      <c r="H113"/>
      <c r="I113"/>
      <c r="J113"/>
      <c r="K113"/>
      <c r="L113"/>
      <c r="M113"/>
      <c r="N113"/>
      <c r="O113"/>
      <c r="P113"/>
      <c r="Q113"/>
      <c r="R113"/>
      <c r="S113"/>
      <c r="T113"/>
      <c r="U113"/>
      <c r="V113"/>
      <c r="W113"/>
      <c r="X113"/>
      <c r="Y113"/>
    </row>
    <row r="114" spans="6:25">
      <c r="F114"/>
      <c r="G114"/>
      <c r="H114"/>
      <c r="I114"/>
      <c r="J114"/>
      <c r="K114"/>
      <c r="L114"/>
      <c r="M114"/>
      <c r="N114"/>
      <c r="O114"/>
      <c r="P114"/>
      <c r="Q114"/>
      <c r="R114"/>
      <c r="S114"/>
      <c r="T114"/>
      <c r="U114"/>
      <c r="V114"/>
      <c r="W114"/>
      <c r="X114"/>
      <c r="Y114"/>
    </row>
    <row r="115" spans="6:25">
      <c r="F115"/>
      <c r="G115"/>
      <c r="H115"/>
      <c r="I115"/>
      <c r="J115"/>
      <c r="K115"/>
      <c r="L115"/>
      <c r="M115"/>
      <c r="N115"/>
      <c r="O115"/>
      <c r="P115"/>
      <c r="Q115"/>
      <c r="R115"/>
      <c r="S115"/>
      <c r="T115"/>
      <c r="U115"/>
      <c r="V115"/>
      <c r="W115"/>
      <c r="X115"/>
      <c r="Y115"/>
    </row>
    <row r="116" spans="6:25">
      <c r="F116"/>
      <c r="G116"/>
      <c r="H116"/>
      <c r="I116"/>
      <c r="J116"/>
      <c r="K116"/>
      <c r="L116"/>
      <c r="M116"/>
      <c r="N116"/>
      <c r="O116"/>
      <c r="P116"/>
      <c r="Q116"/>
      <c r="R116"/>
      <c r="S116"/>
      <c r="T116"/>
      <c r="U116"/>
      <c r="V116"/>
      <c r="W116"/>
      <c r="X116"/>
      <c r="Y116"/>
    </row>
    <row r="117" spans="6:25">
      <c r="F117"/>
      <c r="G117"/>
      <c r="H117"/>
      <c r="I117"/>
      <c r="J117"/>
      <c r="K117"/>
      <c r="L117"/>
      <c r="M117"/>
      <c r="N117"/>
      <c r="O117"/>
      <c r="P117"/>
      <c r="Q117"/>
      <c r="R117"/>
      <c r="S117"/>
      <c r="T117"/>
      <c r="U117"/>
      <c r="V117"/>
      <c r="W117"/>
      <c r="X117"/>
      <c r="Y117"/>
    </row>
    <row r="118" spans="6:25">
      <c r="F118"/>
      <c r="G118"/>
      <c r="H118"/>
      <c r="I118"/>
      <c r="J118"/>
      <c r="K118"/>
      <c r="L118"/>
      <c r="M118"/>
      <c r="N118"/>
      <c r="O118"/>
      <c r="P118"/>
      <c r="Q118"/>
      <c r="R118"/>
      <c r="S118"/>
      <c r="T118"/>
      <c r="U118"/>
      <c r="V118"/>
      <c r="W118"/>
      <c r="X118"/>
      <c r="Y118"/>
    </row>
    <row r="119" spans="6:15">
      <c r="F119"/>
      <c r="G119"/>
      <c r="H119"/>
      <c r="I119"/>
      <c r="J119"/>
      <c r="K119"/>
      <c r="L119"/>
      <c r="M119"/>
      <c r="N119"/>
      <c r="O119"/>
    </row>
    <row r="120" spans="6:15">
      <c r="F120"/>
      <c r="G120"/>
      <c r="H120"/>
      <c r="I120"/>
      <c r="J120"/>
      <c r="K120"/>
      <c r="L120"/>
      <c r="M120"/>
      <c r="N120"/>
      <c r="O120"/>
    </row>
    <row r="121" spans="6:15">
      <c r="F121"/>
      <c r="G121"/>
      <c r="H121"/>
      <c r="I121"/>
      <c r="J121"/>
      <c r="K121"/>
      <c r="L121"/>
      <c r="M121"/>
      <c r="N121"/>
      <c r="O121"/>
    </row>
    <row r="122" spans="6:15">
      <c r="F122"/>
      <c r="G122"/>
      <c r="H122"/>
      <c r="I122"/>
      <c r="J122"/>
      <c r="K122"/>
      <c r="L122"/>
      <c r="M122"/>
      <c r="N122"/>
      <c r="O122"/>
    </row>
    <row r="123" spans="6:15">
      <c r="F123"/>
      <c r="G123"/>
      <c r="H123"/>
      <c r="I123"/>
      <c r="J123"/>
      <c r="K123"/>
      <c r="L123"/>
      <c r="M123"/>
      <c r="N123"/>
      <c r="O123"/>
    </row>
    <row r="124" spans="6:15">
      <c r="F124"/>
      <c r="G124"/>
      <c r="H124"/>
      <c r="I124"/>
      <c r="J124"/>
      <c r="K124"/>
      <c r="L124"/>
      <c r="M124"/>
      <c r="N124"/>
      <c r="O124"/>
    </row>
    <row r="125" spans="6:15">
      <c r="F125"/>
      <c r="G125"/>
      <c r="H125"/>
      <c r="I125"/>
      <c r="J125"/>
      <c r="K125"/>
      <c r="L125"/>
      <c r="M125"/>
      <c r="N125"/>
      <c r="O125"/>
    </row>
    <row r="126" spans="6:15">
      <c r="F126"/>
      <c r="G126"/>
      <c r="H126"/>
      <c r="I126"/>
      <c r="J126"/>
      <c r="K126"/>
      <c r="L126"/>
      <c r="M126"/>
      <c r="N126"/>
      <c r="O126"/>
    </row>
    <row r="127" spans="6:15">
      <c r="F127"/>
      <c r="G127"/>
      <c r="H127"/>
      <c r="I127"/>
      <c r="J127"/>
      <c r="K127"/>
      <c r="L127"/>
      <c r="M127"/>
      <c r="N127"/>
      <c r="O127"/>
    </row>
    <row r="128" spans="6:15">
      <c r="F128"/>
      <c r="G128"/>
      <c r="H128"/>
      <c r="I128"/>
      <c r="J128"/>
      <c r="K128"/>
      <c r="L128"/>
      <c r="M128"/>
      <c r="N128"/>
      <c r="O128"/>
    </row>
    <row r="129" spans="6:15">
      <c r="F129"/>
      <c r="G129"/>
      <c r="H129"/>
      <c r="I129"/>
      <c r="J129"/>
      <c r="K129"/>
      <c r="L129"/>
      <c r="M129"/>
      <c r="N129"/>
      <c r="O129"/>
    </row>
    <row r="130" spans="6:15">
      <c r="F130"/>
      <c r="G130"/>
      <c r="H130"/>
      <c r="I130"/>
      <c r="J130"/>
      <c r="K130"/>
      <c r="L130"/>
      <c r="M130"/>
      <c r="N130"/>
      <c r="O130"/>
    </row>
    <row r="131" spans="6:15">
      <c r="F131"/>
      <c r="G131"/>
      <c r="H131"/>
      <c r="I131"/>
      <c r="J131"/>
      <c r="K131"/>
      <c r="L131"/>
      <c r="M131"/>
      <c r="N131"/>
      <c r="O131"/>
    </row>
    <row r="132" spans="6:15">
      <c r="F132"/>
      <c r="G132"/>
      <c r="H132"/>
      <c r="I132"/>
      <c r="J132"/>
      <c r="K132"/>
      <c r="L132"/>
      <c r="M132"/>
      <c r="N132"/>
      <c r="O132"/>
    </row>
    <row r="133" spans="6:15">
      <c r="F133"/>
      <c r="G133"/>
      <c r="H133"/>
      <c r="I133"/>
      <c r="J133"/>
      <c r="K133"/>
      <c r="L133"/>
      <c r="M133"/>
      <c r="N133"/>
      <c r="O133"/>
    </row>
    <row r="134" spans="6:15">
      <c r="F134"/>
      <c r="G134"/>
      <c r="H134"/>
      <c r="I134"/>
      <c r="J134"/>
      <c r="K134"/>
      <c r="L134"/>
      <c r="M134"/>
      <c r="N134"/>
      <c r="O134"/>
    </row>
    <row r="135" spans="6:15">
      <c r="F135"/>
      <c r="G135"/>
      <c r="H135"/>
      <c r="I135"/>
      <c r="J135"/>
      <c r="K135"/>
      <c r="L135"/>
      <c r="M135"/>
      <c r="N135"/>
      <c r="O135"/>
    </row>
    <row r="136" spans="6:15">
      <c r="F136"/>
      <c r="G136"/>
      <c r="H136"/>
      <c r="I136"/>
      <c r="J136"/>
      <c r="K136"/>
      <c r="L136"/>
      <c r="M136"/>
      <c r="N136"/>
      <c r="O136"/>
    </row>
    <row r="137" spans="6:15">
      <c r="F137"/>
      <c r="G137"/>
      <c r="H137"/>
      <c r="I137"/>
      <c r="J137"/>
      <c r="K137"/>
      <c r="L137"/>
      <c r="M137"/>
      <c r="N137"/>
      <c r="O137"/>
    </row>
    <row r="138" spans="6:15">
      <c r="F138"/>
      <c r="G138"/>
      <c r="H138"/>
      <c r="I138"/>
      <c r="J138"/>
      <c r="K138"/>
      <c r="L138"/>
      <c r="M138"/>
      <c r="N138"/>
      <c r="O138"/>
    </row>
    <row r="139" spans="6:15">
      <c r="F139"/>
      <c r="G139"/>
      <c r="H139"/>
      <c r="I139"/>
      <c r="J139"/>
      <c r="K139"/>
      <c r="L139"/>
      <c r="M139"/>
      <c r="N139"/>
      <c r="O139"/>
    </row>
    <row r="140" spans="6:15">
      <c r="F140"/>
      <c r="G140"/>
      <c r="H140"/>
      <c r="I140"/>
      <c r="J140"/>
      <c r="K140"/>
      <c r="L140"/>
      <c r="M140"/>
      <c r="N140"/>
      <c r="O140"/>
    </row>
    <row r="141" spans="6:15">
      <c r="F141"/>
      <c r="G141"/>
      <c r="H141"/>
      <c r="I141"/>
      <c r="J141"/>
      <c r="K141"/>
      <c r="L141"/>
      <c r="M141"/>
      <c r="N141"/>
      <c r="O141"/>
    </row>
    <row r="142" spans="6:15">
      <c r="F142"/>
      <c r="G142"/>
      <c r="H142"/>
      <c r="I142"/>
      <c r="J142"/>
      <c r="K142"/>
      <c r="L142"/>
      <c r="M142"/>
      <c r="N142"/>
      <c r="O142"/>
    </row>
    <row r="143" spans="6:15">
      <c r="F143"/>
      <c r="G143"/>
      <c r="H143"/>
      <c r="I143"/>
      <c r="J143"/>
      <c r="K143"/>
      <c r="L143"/>
      <c r="M143"/>
      <c r="N143"/>
      <c r="O143"/>
    </row>
    <row r="144" spans="6:15">
      <c r="F144"/>
      <c r="G144"/>
      <c r="H144"/>
      <c r="I144"/>
      <c r="J144"/>
      <c r="K144"/>
      <c r="L144"/>
      <c r="M144"/>
      <c r="N144"/>
      <c r="O144"/>
    </row>
    <row r="145" spans="6:15">
      <c r="F145"/>
      <c r="G145"/>
      <c r="H145"/>
      <c r="I145"/>
      <c r="J145"/>
      <c r="K145"/>
      <c r="L145"/>
      <c r="M145"/>
      <c r="N145"/>
      <c r="O145"/>
    </row>
    <row r="146" spans="6:15">
      <c r="F146"/>
      <c r="G146"/>
      <c r="H146"/>
      <c r="I146"/>
      <c r="J146"/>
      <c r="K146"/>
      <c r="L146"/>
      <c r="M146"/>
      <c r="N146"/>
      <c r="O146"/>
    </row>
    <row r="147" spans="6:15">
      <c r="F147"/>
      <c r="G147"/>
      <c r="H147"/>
      <c r="I147"/>
      <c r="J147"/>
      <c r="K147"/>
      <c r="L147"/>
      <c r="M147"/>
      <c r="N147"/>
      <c r="O147"/>
    </row>
    <row r="148" spans="6:15">
      <c r="F148"/>
      <c r="G148"/>
      <c r="H148"/>
      <c r="I148"/>
      <c r="J148"/>
      <c r="K148"/>
      <c r="L148"/>
      <c r="M148"/>
      <c r="N148"/>
      <c r="O148"/>
    </row>
    <row r="149" spans="6:15">
      <c r="F149"/>
      <c r="G149"/>
      <c r="H149"/>
      <c r="I149"/>
      <c r="J149"/>
      <c r="K149"/>
      <c r="L149"/>
      <c r="M149"/>
      <c r="N149"/>
      <c r="O149"/>
    </row>
    <row r="150" spans="6:15">
      <c r="F150"/>
      <c r="G150"/>
      <c r="H150"/>
      <c r="I150"/>
      <c r="J150"/>
      <c r="K150"/>
      <c r="L150"/>
      <c r="M150"/>
      <c r="N150"/>
      <c r="O150"/>
    </row>
    <row r="151" spans="6:15">
      <c r="F151"/>
      <c r="G151"/>
      <c r="H151"/>
      <c r="I151"/>
      <c r="J151"/>
      <c r="K151"/>
      <c r="L151"/>
      <c r="M151"/>
      <c r="N151"/>
      <c r="O151"/>
    </row>
    <row r="152" spans="6:15">
      <c r="F152"/>
      <c r="G152"/>
      <c r="H152"/>
      <c r="I152"/>
      <c r="J152"/>
      <c r="K152"/>
      <c r="L152"/>
      <c r="M152"/>
      <c r="N152"/>
      <c r="O152"/>
    </row>
    <row r="153" spans="6:15">
      <c r="F153"/>
      <c r="G153"/>
      <c r="H153"/>
      <c r="I153"/>
      <c r="J153"/>
      <c r="K153"/>
      <c r="L153"/>
      <c r="M153"/>
      <c r="N153"/>
      <c r="O153"/>
    </row>
    <row r="154" spans="6:15">
      <c r="F154"/>
      <c r="G154"/>
      <c r="H154"/>
      <c r="I154"/>
      <c r="J154"/>
      <c r="K154"/>
      <c r="L154"/>
      <c r="M154"/>
      <c r="N154"/>
      <c r="O154"/>
    </row>
    <row r="155" spans="6:15">
      <c r="F155"/>
      <c r="G155"/>
      <c r="H155"/>
      <c r="I155"/>
      <c r="J155"/>
      <c r="K155"/>
      <c r="L155"/>
      <c r="M155"/>
      <c r="N155"/>
      <c r="O155"/>
    </row>
    <row r="156" spans="6:15">
      <c r="F156"/>
      <c r="G156"/>
      <c r="H156"/>
      <c r="I156"/>
      <c r="J156"/>
      <c r="K156"/>
      <c r="L156"/>
      <c r="M156"/>
      <c r="N156"/>
      <c r="O156"/>
    </row>
    <row r="157" spans="6:15">
      <c r="F157"/>
      <c r="G157"/>
      <c r="H157"/>
      <c r="I157"/>
      <c r="J157"/>
      <c r="K157"/>
      <c r="L157"/>
      <c r="M157"/>
      <c r="N157"/>
      <c r="O157"/>
    </row>
    <row r="158" spans="6:15">
      <c r="F158"/>
      <c r="G158"/>
      <c r="H158"/>
      <c r="I158"/>
      <c r="J158"/>
      <c r="K158"/>
      <c r="L158"/>
      <c r="M158"/>
      <c r="N158"/>
      <c r="O158"/>
    </row>
    <row r="159" spans="6:15">
      <c r="F159"/>
      <c r="G159"/>
      <c r="H159"/>
      <c r="I159"/>
      <c r="J159"/>
      <c r="K159"/>
      <c r="L159"/>
      <c r="M159"/>
      <c r="N159"/>
      <c r="O159"/>
    </row>
    <row r="160" spans="6:15">
      <c r="F160"/>
      <c r="G160"/>
      <c r="H160"/>
      <c r="I160"/>
      <c r="J160"/>
      <c r="K160"/>
      <c r="L160"/>
      <c r="M160"/>
      <c r="N160"/>
      <c r="O160"/>
    </row>
    <row r="161" spans="6:15">
      <c r="F161"/>
      <c r="G161"/>
      <c r="H161"/>
      <c r="I161"/>
      <c r="J161"/>
      <c r="K161"/>
      <c r="L161"/>
      <c r="M161"/>
      <c r="N161"/>
      <c r="O161"/>
    </row>
    <row r="162" spans="6:16">
      <c r="F162"/>
      <c r="G162"/>
      <c r="H162"/>
      <c r="I162"/>
      <c r="J162"/>
      <c r="K162"/>
      <c r="L162"/>
      <c r="M162"/>
      <c r="N162"/>
      <c r="O162"/>
      <c r="P162" s="143" t="s">
        <v>197</v>
      </c>
    </row>
    <row r="163" spans="6:15">
      <c r="F163"/>
      <c r="G163"/>
      <c r="H163"/>
      <c r="I163"/>
      <c r="J163"/>
      <c r="K163"/>
      <c r="L163"/>
      <c r="M163"/>
      <c r="N163"/>
      <c r="O163"/>
    </row>
    <row r="164" spans="6:15">
      <c r="F164"/>
      <c r="G164"/>
      <c r="H164"/>
      <c r="I164"/>
      <c r="J164"/>
      <c r="K164"/>
      <c r="L164"/>
      <c r="M164"/>
      <c r="N164"/>
      <c r="O164"/>
    </row>
    <row r="165" spans="6:15">
      <c r="F165"/>
      <c r="G165"/>
      <c r="H165"/>
      <c r="I165"/>
      <c r="J165"/>
      <c r="K165"/>
      <c r="L165"/>
      <c r="M165"/>
      <c r="N165"/>
      <c r="O165"/>
    </row>
    <row r="166" spans="6:15">
      <c r="F166"/>
      <c r="G166"/>
      <c r="H166"/>
      <c r="I166"/>
      <c r="J166"/>
      <c r="K166"/>
      <c r="L166"/>
      <c r="M166"/>
      <c r="N166"/>
      <c r="O166"/>
    </row>
    <row r="167" spans="6:15">
      <c r="F167"/>
      <c r="G167"/>
      <c r="H167"/>
      <c r="I167"/>
      <c r="J167"/>
      <c r="K167"/>
      <c r="L167"/>
      <c r="M167"/>
      <c r="N167"/>
      <c r="O167"/>
    </row>
    <row r="168" spans="6:15">
      <c r="F168"/>
      <c r="G168"/>
      <c r="H168"/>
      <c r="I168"/>
      <c r="J168"/>
      <c r="K168"/>
      <c r="L168"/>
      <c r="M168"/>
      <c r="N168"/>
      <c r="O168"/>
    </row>
    <row r="169" spans="6:15">
      <c r="F169"/>
      <c r="G169"/>
      <c r="H169"/>
      <c r="I169"/>
      <c r="J169"/>
      <c r="K169"/>
      <c r="L169"/>
      <c r="M169"/>
      <c r="N169"/>
      <c r="O169"/>
    </row>
    <row r="170" spans="6:15">
      <c r="F170"/>
      <c r="G170"/>
      <c r="H170"/>
      <c r="I170"/>
      <c r="J170"/>
      <c r="K170"/>
      <c r="L170"/>
      <c r="M170"/>
      <c r="N170"/>
      <c r="O170"/>
    </row>
    <row r="171" spans="6:15">
      <c r="F171"/>
      <c r="G171"/>
      <c r="H171"/>
      <c r="I171"/>
      <c r="J171"/>
      <c r="K171"/>
      <c r="L171"/>
      <c r="M171"/>
      <c r="N171"/>
      <c r="O171"/>
    </row>
    <row r="172" spans="6:15">
      <c r="F172"/>
      <c r="G172"/>
      <c r="H172"/>
      <c r="I172"/>
      <c r="J172"/>
      <c r="K172"/>
      <c r="L172"/>
      <c r="M172"/>
      <c r="N172"/>
      <c r="O172"/>
    </row>
    <row r="173" spans="6:15">
      <c r="F173"/>
      <c r="G173"/>
      <c r="H173"/>
      <c r="I173"/>
      <c r="J173"/>
      <c r="K173"/>
      <c r="L173"/>
      <c r="M173"/>
      <c r="N173"/>
      <c r="O173"/>
    </row>
    <row r="174" spans="6:15">
      <c r="F174"/>
      <c r="G174"/>
      <c r="H174"/>
      <c r="I174"/>
      <c r="J174"/>
      <c r="K174"/>
      <c r="L174"/>
      <c r="M174"/>
      <c r="N174"/>
      <c r="O174"/>
    </row>
    <row r="175" spans="6:15">
      <c r="F175"/>
      <c r="G175"/>
      <c r="H175"/>
      <c r="I175"/>
      <c r="J175"/>
      <c r="K175"/>
      <c r="L175"/>
      <c r="M175"/>
      <c r="N175"/>
      <c r="O175"/>
    </row>
    <row r="176" spans="6:15">
      <c r="F176"/>
      <c r="G176"/>
      <c r="H176"/>
      <c r="I176"/>
      <c r="J176"/>
      <c r="K176"/>
      <c r="L176"/>
      <c r="M176"/>
      <c r="N176"/>
      <c r="O176"/>
    </row>
    <row r="177" spans="6:15">
      <c r="F177"/>
      <c r="G177"/>
      <c r="H177"/>
      <c r="I177"/>
      <c r="J177"/>
      <c r="K177"/>
      <c r="L177"/>
      <c r="M177"/>
      <c r="N177"/>
      <c r="O177"/>
    </row>
    <row r="178" spans="6:15">
      <c r="F178"/>
      <c r="G178"/>
      <c r="H178"/>
      <c r="I178"/>
      <c r="J178"/>
      <c r="K178"/>
      <c r="L178"/>
      <c r="M178"/>
      <c r="N178"/>
      <c r="O178"/>
    </row>
    <row r="179" spans="6:15">
      <c r="F179"/>
      <c r="G179"/>
      <c r="H179"/>
      <c r="I179"/>
      <c r="J179"/>
      <c r="K179"/>
      <c r="L179"/>
      <c r="M179"/>
      <c r="N179"/>
      <c r="O179"/>
    </row>
    <row r="180" spans="6:15">
      <c r="F180"/>
      <c r="G180"/>
      <c r="H180"/>
      <c r="I180"/>
      <c r="J180"/>
      <c r="K180"/>
      <c r="L180"/>
      <c r="M180"/>
      <c r="N180"/>
      <c r="O180"/>
    </row>
    <row r="181" spans="6:15">
      <c r="F181"/>
      <c r="G181"/>
      <c r="H181"/>
      <c r="I181"/>
      <c r="J181"/>
      <c r="K181"/>
      <c r="L181"/>
      <c r="M181"/>
      <c r="N181"/>
      <c r="O181"/>
    </row>
    <row r="182" spans="6:15">
      <c r="F182"/>
      <c r="G182"/>
      <c r="H182"/>
      <c r="I182"/>
      <c r="J182"/>
      <c r="K182"/>
      <c r="L182"/>
      <c r="M182"/>
      <c r="N182"/>
      <c r="O182"/>
    </row>
    <row r="183" spans="6:15">
      <c r="F183"/>
      <c r="G183"/>
      <c r="H183"/>
      <c r="I183"/>
      <c r="J183"/>
      <c r="K183"/>
      <c r="L183"/>
      <c r="M183"/>
      <c r="N183"/>
      <c r="O183"/>
    </row>
    <row r="184" spans="6:15">
      <c r="F184"/>
      <c r="G184"/>
      <c r="H184"/>
      <c r="I184"/>
      <c r="J184"/>
      <c r="K184"/>
      <c r="L184"/>
      <c r="M184"/>
      <c r="N184"/>
      <c r="O184"/>
    </row>
    <row r="185" spans="6:15">
      <c r="F185"/>
      <c r="G185"/>
      <c r="H185"/>
      <c r="I185"/>
      <c r="J185"/>
      <c r="K185"/>
      <c r="L185"/>
      <c r="M185"/>
      <c r="N185"/>
      <c r="O185"/>
    </row>
    <row r="186" spans="6:15">
      <c r="F186"/>
      <c r="G186"/>
      <c r="H186"/>
      <c r="I186"/>
      <c r="J186"/>
      <c r="K186"/>
      <c r="L186"/>
      <c r="M186"/>
      <c r="N186"/>
      <c r="O186"/>
    </row>
    <row r="187" spans="6:15">
      <c r="F187"/>
      <c r="G187"/>
      <c r="H187"/>
      <c r="I187"/>
      <c r="J187"/>
      <c r="K187"/>
      <c r="L187"/>
      <c r="M187"/>
      <c r="N187"/>
      <c r="O187"/>
    </row>
    <row r="188" spans="6:15">
      <c r="F188"/>
      <c r="G188"/>
      <c r="H188"/>
      <c r="I188"/>
      <c r="J188"/>
      <c r="K188"/>
      <c r="L188"/>
      <c r="M188"/>
      <c r="N188"/>
      <c r="O188"/>
    </row>
    <row r="189" spans="6:15">
      <c r="F189"/>
      <c r="G189"/>
      <c r="H189"/>
      <c r="I189"/>
      <c r="J189"/>
      <c r="K189"/>
      <c r="L189"/>
      <c r="M189"/>
      <c r="N189"/>
      <c r="O189"/>
    </row>
    <row r="190" spans="6:15">
      <c r="F190"/>
      <c r="G190"/>
      <c r="H190"/>
      <c r="I190"/>
      <c r="J190"/>
      <c r="K190"/>
      <c r="L190"/>
      <c r="M190"/>
      <c r="N190"/>
      <c r="O190"/>
    </row>
    <row r="191" spans="6:15">
      <c r="F191"/>
      <c r="G191"/>
      <c r="H191"/>
      <c r="I191"/>
      <c r="J191"/>
      <c r="K191"/>
      <c r="L191"/>
      <c r="M191"/>
      <c r="N191"/>
      <c r="O191"/>
    </row>
    <row r="192" spans="6:15">
      <c r="F192"/>
      <c r="G192"/>
      <c r="H192"/>
      <c r="I192"/>
      <c r="J192"/>
      <c r="K192"/>
      <c r="L192"/>
      <c r="M192"/>
      <c r="N192"/>
      <c r="O192"/>
    </row>
    <row r="193" spans="6:15">
      <c r="F193"/>
      <c r="G193"/>
      <c r="H193"/>
      <c r="I193"/>
      <c r="J193"/>
      <c r="K193"/>
      <c r="L193"/>
      <c r="M193"/>
      <c r="N193"/>
      <c r="O193"/>
    </row>
    <row r="194" spans="6:15">
      <c r="F194"/>
      <c r="G194"/>
      <c r="H194"/>
      <c r="I194"/>
      <c r="J194"/>
      <c r="K194"/>
      <c r="L194"/>
      <c r="M194"/>
      <c r="N194"/>
      <c r="O194"/>
    </row>
    <row r="195" spans="6:15">
      <c r="F195"/>
      <c r="G195"/>
      <c r="H195"/>
      <c r="I195"/>
      <c r="J195"/>
      <c r="K195"/>
      <c r="L195"/>
      <c r="M195"/>
      <c r="N195"/>
      <c r="O195"/>
    </row>
    <row r="196" spans="6:15">
      <c r="F196"/>
      <c r="G196"/>
      <c r="H196"/>
      <c r="I196"/>
      <c r="J196"/>
      <c r="K196"/>
      <c r="L196"/>
      <c r="M196"/>
      <c r="N196"/>
      <c r="O196"/>
    </row>
    <row r="197" spans="6:15">
      <c r="F197"/>
      <c r="G197"/>
      <c r="H197"/>
      <c r="I197"/>
      <c r="J197"/>
      <c r="K197"/>
      <c r="L197"/>
      <c r="M197"/>
      <c r="N197"/>
      <c r="O197"/>
    </row>
    <row r="198" spans="6:15">
      <c r="F198"/>
      <c r="G198"/>
      <c r="H198"/>
      <c r="I198"/>
      <c r="J198"/>
      <c r="K198"/>
      <c r="L198"/>
      <c r="M198"/>
      <c r="N198"/>
      <c r="O198"/>
    </row>
    <row r="199" spans="6:15">
      <c r="F199"/>
      <c r="G199"/>
      <c r="H199"/>
      <c r="I199"/>
      <c r="J199"/>
      <c r="K199"/>
      <c r="L199"/>
      <c r="M199"/>
      <c r="N199"/>
      <c r="O199"/>
    </row>
    <row r="200" spans="6:15">
      <c r="F200"/>
      <c r="G200"/>
      <c r="H200"/>
      <c r="I200"/>
      <c r="J200"/>
      <c r="K200"/>
      <c r="L200"/>
      <c r="M200"/>
      <c r="N200"/>
      <c r="O200"/>
    </row>
    <row r="201" spans="6:15">
      <c r="F201"/>
      <c r="G201"/>
      <c r="H201"/>
      <c r="I201"/>
      <c r="J201"/>
      <c r="K201"/>
      <c r="L201"/>
      <c r="M201"/>
      <c r="N201"/>
      <c r="O201"/>
    </row>
    <row r="202" spans="6:15">
      <c r="F202"/>
      <c r="G202"/>
      <c r="H202"/>
      <c r="I202"/>
      <c r="J202"/>
      <c r="K202"/>
      <c r="L202"/>
      <c r="M202"/>
      <c r="N202"/>
      <c r="O202"/>
    </row>
    <row r="203" spans="6:15">
      <c r="F203"/>
      <c r="G203"/>
      <c r="H203"/>
      <c r="I203"/>
      <c r="J203"/>
      <c r="K203"/>
      <c r="L203"/>
      <c r="M203"/>
      <c r="N203"/>
      <c r="O203"/>
    </row>
    <row r="204" spans="6:15">
      <c r="F204"/>
      <c r="G204"/>
      <c r="H204"/>
      <c r="I204"/>
      <c r="J204"/>
      <c r="K204"/>
      <c r="L204"/>
      <c r="M204"/>
      <c r="N204"/>
      <c r="O204"/>
    </row>
    <row r="205" spans="6:15">
      <c r="F205"/>
      <c r="G205"/>
      <c r="H205"/>
      <c r="I205"/>
      <c r="J205"/>
      <c r="K205"/>
      <c r="L205"/>
      <c r="M205"/>
      <c r="N205"/>
      <c r="O205"/>
    </row>
    <row r="206" spans="6:15">
      <c r="F206"/>
      <c r="G206"/>
      <c r="H206"/>
      <c r="I206"/>
      <c r="J206"/>
      <c r="K206"/>
      <c r="L206"/>
      <c r="M206"/>
      <c r="N206"/>
      <c r="O206"/>
    </row>
    <row r="207" spans="6:15">
      <c r="F207"/>
      <c r="G207"/>
      <c r="H207"/>
      <c r="I207"/>
      <c r="J207"/>
      <c r="K207"/>
      <c r="L207"/>
      <c r="M207"/>
      <c r="N207"/>
      <c r="O207"/>
    </row>
    <row r="208" spans="6:15">
      <c r="F208"/>
      <c r="G208"/>
      <c r="H208"/>
      <c r="I208"/>
      <c r="J208"/>
      <c r="K208"/>
      <c r="L208"/>
      <c r="M208"/>
      <c r="N208"/>
      <c r="O208"/>
    </row>
    <row r="209" spans="6:15">
      <c r="F209"/>
      <c r="G209"/>
      <c r="H209"/>
      <c r="I209"/>
      <c r="J209"/>
      <c r="K209"/>
      <c r="L209"/>
      <c r="M209"/>
      <c r="N209"/>
      <c r="O209"/>
    </row>
    <row r="210" spans="6:15">
      <c r="F210"/>
      <c r="G210"/>
      <c r="H210"/>
      <c r="I210"/>
      <c r="J210"/>
      <c r="K210"/>
      <c r="L210"/>
      <c r="M210"/>
      <c r="N210"/>
      <c r="O210"/>
    </row>
    <row r="211" spans="6:15">
      <c r="F211"/>
      <c r="G211"/>
      <c r="H211"/>
      <c r="I211"/>
      <c r="J211"/>
      <c r="K211"/>
      <c r="L211"/>
      <c r="M211"/>
      <c r="N211"/>
      <c r="O211"/>
    </row>
    <row r="212" spans="6:15">
      <c r="F212"/>
      <c r="G212"/>
      <c r="H212"/>
      <c r="I212"/>
      <c r="J212"/>
      <c r="K212"/>
      <c r="L212"/>
      <c r="M212"/>
      <c r="N212"/>
      <c r="O212"/>
    </row>
    <row r="213" spans="6:15">
      <c r="F213"/>
      <c r="G213"/>
      <c r="H213"/>
      <c r="I213"/>
      <c r="J213"/>
      <c r="K213"/>
      <c r="L213"/>
      <c r="M213"/>
      <c r="N213"/>
      <c r="O213"/>
    </row>
    <row r="214" spans="6:15">
      <c r="F214"/>
      <c r="G214"/>
      <c r="H214"/>
      <c r="I214"/>
      <c r="J214"/>
      <c r="K214"/>
      <c r="L214"/>
      <c r="M214"/>
      <c r="N214"/>
      <c r="O214"/>
    </row>
    <row r="215" spans="6:15">
      <c r="F215"/>
      <c r="G215"/>
      <c r="H215"/>
      <c r="I215"/>
      <c r="J215"/>
      <c r="K215"/>
      <c r="L215"/>
      <c r="M215"/>
      <c r="N215"/>
      <c r="O215"/>
    </row>
    <row r="216" spans="6:15">
      <c r="F216"/>
      <c r="G216"/>
      <c r="H216"/>
      <c r="I216"/>
      <c r="J216"/>
      <c r="K216"/>
      <c r="L216"/>
      <c r="M216"/>
      <c r="N216"/>
      <c r="O216"/>
    </row>
    <row r="217" spans="6:15">
      <c r="F217"/>
      <c r="G217"/>
      <c r="H217"/>
      <c r="I217"/>
      <c r="J217"/>
      <c r="K217"/>
      <c r="L217"/>
      <c r="M217"/>
      <c r="N217"/>
      <c r="O217"/>
    </row>
    <row r="218" spans="6:15">
      <c r="F218"/>
      <c r="G218"/>
      <c r="H218"/>
      <c r="I218"/>
      <c r="J218"/>
      <c r="K218"/>
      <c r="L218"/>
      <c r="M218"/>
      <c r="N218"/>
      <c r="O218"/>
    </row>
    <row r="219" spans="6:15">
      <c r="F219"/>
      <c r="G219"/>
      <c r="H219"/>
      <c r="I219"/>
      <c r="J219"/>
      <c r="K219"/>
      <c r="L219"/>
      <c r="M219"/>
      <c r="N219"/>
      <c r="O219"/>
    </row>
    <row r="220" spans="6:15">
      <c r="F220"/>
      <c r="G220"/>
      <c r="H220"/>
      <c r="I220"/>
      <c r="J220"/>
      <c r="K220"/>
      <c r="L220"/>
      <c r="M220"/>
      <c r="N220"/>
      <c r="O220"/>
    </row>
    <row r="221" spans="6:15">
      <c r="F221"/>
      <c r="G221"/>
      <c r="H221"/>
      <c r="I221"/>
      <c r="J221"/>
      <c r="K221"/>
      <c r="L221"/>
      <c r="M221"/>
      <c r="N221"/>
      <c r="O221"/>
    </row>
    <row r="222" spans="6:15">
      <c r="F222"/>
      <c r="G222"/>
      <c r="H222"/>
      <c r="I222"/>
      <c r="J222"/>
      <c r="K222"/>
      <c r="L222"/>
      <c r="M222"/>
      <c r="N222"/>
      <c r="O222"/>
    </row>
    <row r="223" spans="6:15">
      <c r="F223"/>
      <c r="G223"/>
      <c r="H223"/>
      <c r="I223"/>
      <c r="J223"/>
      <c r="K223"/>
      <c r="L223"/>
      <c r="M223"/>
      <c r="N223"/>
      <c r="O223"/>
    </row>
    <row r="224" spans="6:15">
      <c r="F224"/>
      <c r="G224"/>
      <c r="H224"/>
      <c r="I224"/>
      <c r="J224"/>
      <c r="K224"/>
      <c r="L224"/>
      <c r="M224"/>
      <c r="N224"/>
      <c r="O224"/>
    </row>
    <row r="225" spans="6:15">
      <c r="F225"/>
      <c r="G225"/>
      <c r="H225"/>
      <c r="I225"/>
      <c r="J225"/>
      <c r="K225"/>
      <c r="L225"/>
      <c r="M225"/>
      <c r="N225"/>
      <c r="O225"/>
    </row>
    <row r="226" spans="6:15">
      <c r="F226"/>
      <c r="G226"/>
      <c r="H226"/>
      <c r="I226"/>
      <c r="J226"/>
      <c r="K226"/>
      <c r="L226"/>
      <c r="M226"/>
      <c r="N226"/>
      <c r="O226"/>
    </row>
    <row r="227" spans="6:15">
      <c r="F227"/>
      <c r="G227"/>
      <c r="H227"/>
      <c r="I227"/>
      <c r="J227"/>
      <c r="K227"/>
      <c r="L227"/>
      <c r="M227"/>
      <c r="N227"/>
      <c r="O227"/>
    </row>
    <row r="228" spans="6:15">
      <c r="F228"/>
      <c r="G228"/>
      <c r="H228"/>
      <c r="I228"/>
      <c r="J228"/>
      <c r="K228"/>
      <c r="L228"/>
      <c r="M228"/>
      <c r="N228"/>
      <c r="O228"/>
    </row>
    <row r="229" spans="6:15">
      <c r="F229"/>
      <c r="G229"/>
      <c r="H229"/>
      <c r="I229"/>
      <c r="J229"/>
      <c r="K229"/>
      <c r="L229"/>
      <c r="M229"/>
      <c r="N229"/>
      <c r="O229"/>
    </row>
    <row r="230" spans="6:15">
      <c r="F230"/>
      <c r="G230"/>
      <c r="H230"/>
      <c r="I230"/>
      <c r="J230"/>
      <c r="K230"/>
      <c r="L230"/>
      <c r="M230"/>
      <c r="N230"/>
      <c r="O230"/>
    </row>
    <row r="231" spans="6:15">
      <c r="F231"/>
      <c r="G231"/>
      <c r="H231"/>
      <c r="I231"/>
      <c r="J231"/>
      <c r="K231"/>
      <c r="L231"/>
      <c r="M231"/>
      <c r="N231"/>
      <c r="O231"/>
    </row>
    <row r="232" spans="6:15">
      <c r="F232"/>
      <c r="G232"/>
      <c r="H232"/>
      <c r="I232"/>
      <c r="J232"/>
      <c r="K232"/>
      <c r="L232"/>
      <c r="M232"/>
      <c r="N232"/>
      <c r="O232"/>
    </row>
    <row r="233" spans="6:15">
      <c r="F233"/>
      <c r="G233"/>
      <c r="H233"/>
      <c r="I233"/>
      <c r="J233"/>
      <c r="K233"/>
      <c r="L233"/>
      <c r="M233"/>
      <c r="N233"/>
      <c r="O233"/>
    </row>
    <row r="234" spans="6:15">
      <c r="F234"/>
      <c r="G234"/>
      <c r="H234"/>
      <c r="I234"/>
      <c r="J234"/>
      <c r="K234"/>
      <c r="L234"/>
      <c r="M234"/>
      <c r="N234"/>
      <c r="O234"/>
    </row>
    <row r="235" spans="6:15">
      <c r="F235"/>
      <c r="G235"/>
      <c r="H235"/>
      <c r="I235"/>
      <c r="J235"/>
      <c r="K235"/>
      <c r="L235"/>
      <c r="M235"/>
      <c r="N235"/>
      <c r="O235"/>
    </row>
    <row r="236" spans="6:15">
      <c r="F236"/>
      <c r="G236"/>
      <c r="H236"/>
      <c r="I236"/>
      <c r="J236"/>
      <c r="K236"/>
      <c r="L236"/>
      <c r="M236"/>
      <c r="N236"/>
      <c r="O236"/>
    </row>
    <row r="237" spans="6:15">
      <c r="F237"/>
      <c r="G237"/>
      <c r="H237"/>
      <c r="I237"/>
      <c r="J237"/>
      <c r="K237"/>
      <c r="L237"/>
      <c r="M237"/>
      <c r="N237"/>
      <c r="O237"/>
    </row>
    <row r="238" spans="6:15">
      <c r="F238"/>
      <c r="G238"/>
      <c r="H238"/>
      <c r="I238"/>
      <c r="J238"/>
      <c r="K238"/>
      <c r="L238"/>
      <c r="M238"/>
      <c r="N238"/>
      <c r="O238"/>
    </row>
    <row r="239" spans="6:15">
      <c r="F239"/>
      <c r="G239"/>
      <c r="H239"/>
      <c r="I239"/>
      <c r="J239"/>
      <c r="K239"/>
      <c r="L239"/>
      <c r="M239"/>
      <c r="N239"/>
      <c r="O239"/>
    </row>
    <row r="240" spans="6:15">
      <c r="F240"/>
      <c r="G240"/>
      <c r="H240"/>
      <c r="I240"/>
      <c r="J240"/>
      <c r="K240"/>
      <c r="L240"/>
      <c r="M240"/>
      <c r="N240"/>
      <c r="O240"/>
    </row>
    <row r="241" spans="6:15">
      <c r="F241"/>
      <c r="G241"/>
      <c r="H241"/>
      <c r="I241"/>
      <c r="J241"/>
      <c r="K241"/>
      <c r="L241"/>
      <c r="M241"/>
      <c r="N241"/>
      <c r="O241"/>
    </row>
    <row r="242" spans="6:15">
      <c r="F242"/>
      <c r="G242"/>
      <c r="H242"/>
      <c r="I242"/>
      <c r="J242"/>
      <c r="K242"/>
      <c r="L242"/>
      <c r="M242"/>
      <c r="N242"/>
      <c r="O242"/>
    </row>
    <row r="243" spans="6:15">
      <c r="F243"/>
      <c r="G243"/>
      <c r="H243"/>
      <c r="I243"/>
      <c r="J243"/>
      <c r="K243"/>
      <c r="L243"/>
      <c r="M243"/>
      <c r="N243"/>
      <c r="O243"/>
    </row>
    <row r="244" spans="6:15">
      <c r="F244"/>
      <c r="G244"/>
      <c r="H244"/>
      <c r="I244"/>
      <c r="J244"/>
      <c r="K244"/>
      <c r="L244"/>
      <c r="M244"/>
      <c r="N244"/>
      <c r="O244"/>
    </row>
    <row r="245" spans="6:15">
      <c r="F245"/>
      <c r="G245"/>
      <c r="H245"/>
      <c r="I245"/>
      <c r="J245"/>
      <c r="K245"/>
      <c r="L245"/>
      <c r="M245"/>
      <c r="N245"/>
      <c r="O245"/>
    </row>
    <row r="246" spans="6:15">
      <c r="F246"/>
      <c r="G246"/>
      <c r="H246"/>
      <c r="I246"/>
      <c r="J246"/>
      <c r="K246"/>
      <c r="L246"/>
      <c r="M246"/>
      <c r="N246"/>
      <c r="O246"/>
    </row>
    <row r="247" spans="6:15">
      <c r="F247"/>
      <c r="G247"/>
      <c r="H247"/>
      <c r="I247"/>
      <c r="J247"/>
      <c r="K247"/>
      <c r="L247"/>
      <c r="M247"/>
      <c r="N247"/>
      <c r="O247"/>
    </row>
    <row r="248" spans="6:15">
      <c r="F248"/>
      <c r="G248"/>
      <c r="H248"/>
      <c r="I248"/>
      <c r="J248"/>
      <c r="K248"/>
      <c r="L248"/>
      <c r="M248"/>
      <c r="N248"/>
      <c r="O248"/>
    </row>
    <row r="249" spans="6:15">
      <c r="F249"/>
      <c r="G249"/>
      <c r="H249"/>
      <c r="I249"/>
      <c r="J249"/>
      <c r="K249"/>
      <c r="L249"/>
      <c r="M249"/>
      <c r="N249"/>
      <c r="O249"/>
    </row>
    <row r="250" spans="6:15">
      <c r="F250"/>
      <c r="G250"/>
      <c r="H250"/>
      <c r="I250"/>
      <c r="J250"/>
      <c r="K250"/>
      <c r="L250"/>
      <c r="M250"/>
      <c r="N250"/>
      <c r="O250"/>
    </row>
    <row r="251" spans="6:15">
      <c r="F251"/>
      <c r="G251"/>
      <c r="H251"/>
      <c r="I251"/>
      <c r="J251"/>
      <c r="K251"/>
      <c r="L251"/>
      <c r="M251"/>
      <c r="N251"/>
      <c r="O251"/>
    </row>
    <row r="252" spans="6:15">
      <c r="F252"/>
      <c r="G252"/>
      <c r="H252"/>
      <c r="I252"/>
      <c r="J252"/>
      <c r="K252"/>
      <c r="L252"/>
      <c r="M252"/>
      <c r="N252"/>
      <c r="O252"/>
    </row>
    <row r="253" spans="6:15">
      <c r="F253"/>
      <c r="G253"/>
      <c r="H253"/>
      <c r="I253"/>
      <c r="J253"/>
      <c r="K253"/>
      <c r="L253"/>
      <c r="M253"/>
      <c r="N253"/>
      <c r="O253"/>
    </row>
    <row r="254" spans="6:15">
      <c r="F254"/>
      <c r="G254"/>
      <c r="H254"/>
      <c r="I254"/>
      <c r="J254"/>
      <c r="K254"/>
      <c r="L254"/>
      <c r="M254"/>
      <c r="N254"/>
      <c r="O254"/>
    </row>
    <row r="255" spans="6:15">
      <c r="F255"/>
      <c r="G255"/>
      <c r="H255"/>
      <c r="I255"/>
      <c r="J255"/>
      <c r="K255"/>
      <c r="L255"/>
      <c r="M255"/>
      <c r="N255"/>
      <c r="O255"/>
    </row>
    <row r="256" spans="6:15">
      <c r="F256"/>
      <c r="G256"/>
      <c r="H256"/>
      <c r="I256"/>
      <c r="J256"/>
      <c r="K256"/>
      <c r="L256"/>
      <c r="M256"/>
      <c r="N256"/>
      <c r="O256"/>
    </row>
    <row r="257" spans="6:15">
      <c r="F257"/>
      <c r="G257"/>
      <c r="H257"/>
      <c r="I257"/>
      <c r="J257"/>
      <c r="K257"/>
      <c r="L257"/>
      <c r="M257"/>
      <c r="N257"/>
      <c r="O257"/>
    </row>
    <row r="258" spans="6:15">
      <c r="F258"/>
      <c r="G258"/>
      <c r="H258"/>
      <c r="I258"/>
      <c r="J258"/>
      <c r="K258"/>
      <c r="L258"/>
      <c r="M258"/>
      <c r="N258"/>
      <c r="O258"/>
    </row>
    <row r="259" spans="6:15">
      <c r="F259"/>
      <c r="G259"/>
      <c r="H259"/>
      <c r="I259"/>
      <c r="J259"/>
      <c r="K259"/>
      <c r="L259"/>
      <c r="M259"/>
      <c r="N259"/>
      <c r="O259"/>
    </row>
    <row r="260" spans="6:15">
      <c r="F260"/>
      <c r="G260"/>
      <c r="H260"/>
      <c r="I260"/>
      <c r="J260"/>
      <c r="K260"/>
      <c r="L260"/>
      <c r="M260"/>
      <c r="N260"/>
      <c r="O260"/>
    </row>
    <row r="261" spans="6:15">
      <c r="F261"/>
      <c r="G261"/>
      <c r="H261"/>
      <c r="I261"/>
      <c r="J261"/>
      <c r="K261"/>
      <c r="L261"/>
      <c r="M261"/>
      <c r="N261"/>
      <c r="O261"/>
    </row>
    <row r="262" spans="6:15">
      <c r="F262"/>
      <c r="G262"/>
      <c r="H262"/>
      <c r="I262"/>
      <c r="J262"/>
      <c r="K262"/>
      <c r="L262"/>
      <c r="M262"/>
      <c r="N262"/>
      <c r="O262"/>
    </row>
    <row r="263" spans="6:15">
      <c r="F263"/>
      <c r="G263"/>
      <c r="H263"/>
      <c r="I263"/>
      <c r="J263"/>
      <c r="K263"/>
      <c r="L263"/>
      <c r="M263"/>
      <c r="N263"/>
      <c r="O263"/>
    </row>
    <row r="264" spans="6:15">
      <c r="F264"/>
      <c r="G264"/>
      <c r="H264"/>
      <c r="I264"/>
      <c r="J264"/>
      <c r="K264"/>
      <c r="L264"/>
      <c r="M264"/>
      <c r="N264"/>
      <c r="O264"/>
    </row>
    <row r="265" spans="6:15">
      <c r="F265"/>
      <c r="G265"/>
      <c r="H265"/>
      <c r="I265"/>
      <c r="J265"/>
      <c r="K265"/>
      <c r="L265"/>
      <c r="M265"/>
      <c r="N265"/>
      <c r="O265"/>
    </row>
    <row r="266" spans="6:15">
      <c r="F266"/>
      <c r="G266"/>
      <c r="H266"/>
      <c r="I266"/>
      <c r="J266"/>
      <c r="K266"/>
      <c r="L266"/>
      <c r="M266"/>
      <c r="N266"/>
      <c r="O266"/>
    </row>
    <row r="267" spans="6:15">
      <c r="F267"/>
      <c r="G267"/>
      <c r="H267"/>
      <c r="I267"/>
      <c r="J267"/>
      <c r="K267"/>
      <c r="L267"/>
      <c r="M267"/>
      <c r="N267"/>
      <c r="O267"/>
    </row>
    <row r="268" spans="6:15">
      <c r="F268"/>
      <c r="G268"/>
      <c r="H268"/>
      <c r="I268"/>
      <c r="J268"/>
      <c r="K268"/>
      <c r="L268"/>
      <c r="M268"/>
      <c r="N268"/>
      <c r="O268"/>
    </row>
    <row r="269" spans="6:15">
      <c r="F269"/>
      <c r="G269"/>
      <c r="H269"/>
      <c r="I269"/>
      <c r="J269"/>
      <c r="K269"/>
      <c r="L269"/>
      <c r="M269"/>
      <c r="N269"/>
      <c r="O269"/>
    </row>
    <row r="270" spans="6:15">
      <c r="F270"/>
      <c r="G270"/>
      <c r="H270"/>
      <c r="I270"/>
      <c r="J270"/>
      <c r="K270"/>
      <c r="L270"/>
      <c r="M270"/>
      <c r="N270"/>
      <c r="O270"/>
    </row>
    <row r="271" spans="6:15">
      <c r="F271"/>
      <c r="G271"/>
      <c r="H271"/>
      <c r="I271"/>
      <c r="J271"/>
      <c r="K271"/>
      <c r="L271"/>
      <c r="M271"/>
      <c r="N271"/>
      <c r="O271"/>
    </row>
    <row r="272" spans="6:15">
      <c r="F272"/>
      <c r="G272"/>
      <c r="H272"/>
      <c r="I272"/>
      <c r="J272"/>
      <c r="K272"/>
      <c r="L272"/>
      <c r="M272"/>
      <c r="N272"/>
      <c r="O272"/>
    </row>
    <row r="273" spans="6:15">
      <c r="F273"/>
      <c r="G273"/>
      <c r="H273"/>
      <c r="I273"/>
      <c r="J273"/>
      <c r="K273"/>
      <c r="L273"/>
      <c r="M273"/>
      <c r="N273"/>
      <c r="O273"/>
    </row>
    <row r="274" spans="6:15">
      <c r="F274"/>
      <c r="G274"/>
      <c r="H274"/>
      <c r="I274"/>
      <c r="J274"/>
      <c r="K274"/>
      <c r="L274"/>
      <c r="M274"/>
      <c r="N274"/>
      <c r="O274"/>
    </row>
    <row r="275" spans="6:15">
      <c r="F275"/>
      <c r="G275"/>
      <c r="H275"/>
      <c r="I275"/>
      <c r="J275"/>
      <c r="K275"/>
      <c r="L275"/>
      <c r="M275"/>
      <c r="N275"/>
      <c r="O275"/>
    </row>
    <row r="276" spans="6:15">
      <c r="F276"/>
      <c r="G276"/>
      <c r="H276"/>
      <c r="I276"/>
      <c r="J276"/>
      <c r="K276"/>
      <c r="L276"/>
      <c r="M276"/>
      <c r="N276"/>
      <c r="O276"/>
    </row>
    <row r="277" spans="6:15">
      <c r="F277"/>
      <c r="G277"/>
      <c r="H277"/>
      <c r="I277"/>
      <c r="J277"/>
      <c r="K277"/>
      <c r="L277"/>
      <c r="M277"/>
      <c r="N277"/>
      <c r="O277"/>
    </row>
    <row r="278" spans="6:15">
      <c r="F278"/>
      <c r="G278"/>
      <c r="H278"/>
      <c r="I278"/>
      <c r="J278"/>
      <c r="K278"/>
      <c r="L278"/>
      <c r="M278"/>
      <c r="N278"/>
      <c r="O278"/>
    </row>
    <row r="279" spans="6:15">
      <c r="F279"/>
      <c r="G279"/>
      <c r="H279"/>
      <c r="I279"/>
      <c r="J279"/>
      <c r="K279"/>
      <c r="L279"/>
      <c r="M279"/>
      <c r="N279"/>
      <c r="O279"/>
    </row>
    <row r="280" spans="6:15">
      <c r="F280"/>
      <c r="G280"/>
      <c r="H280"/>
      <c r="I280"/>
      <c r="J280"/>
      <c r="K280"/>
      <c r="L280"/>
      <c r="M280"/>
      <c r="N280"/>
      <c r="O280"/>
    </row>
    <row r="281" spans="6:15">
      <c r="F281"/>
      <c r="G281"/>
      <c r="H281"/>
      <c r="I281"/>
      <c r="J281"/>
      <c r="K281"/>
      <c r="L281"/>
      <c r="M281"/>
      <c r="N281"/>
      <c r="O281"/>
    </row>
    <row r="282" spans="6:15">
      <c r="F282"/>
      <c r="G282"/>
      <c r="H282"/>
      <c r="I282"/>
      <c r="J282"/>
      <c r="K282"/>
      <c r="L282"/>
      <c r="M282"/>
      <c r="N282"/>
      <c r="O282"/>
    </row>
    <row r="283" spans="6:15">
      <c r="F283"/>
      <c r="G283"/>
      <c r="H283"/>
      <c r="I283"/>
      <c r="J283"/>
      <c r="K283"/>
      <c r="L283"/>
      <c r="M283"/>
      <c r="N283"/>
      <c r="O283"/>
    </row>
    <row r="284" spans="6:15">
      <c r="F284"/>
      <c r="G284"/>
      <c r="H284"/>
      <c r="I284"/>
      <c r="J284"/>
      <c r="K284"/>
      <c r="L284"/>
      <c r="M284"/>
      <c r="N284"/>
      <c r="O284"/>
    </row>
    <row r="285" spans="6:15">
      <c r="F285"/>
      <c r="G285"/>
      <c r="H285"/>
      <c r="I285"/>
      <c r="J285"/>
      <c r="K285"/>
      <c r="L285"/>
      <c r="M285"/>
      <c r="N285"/>
      <c r="O285"/>
    </row>
    <row r="286" spans="6:15">
      <c r="F286"/>
      <c r="G286"/>
      <c r="H286"/>
      <c r="I286"/>
      <c r="J286"/>
      <c r="K286"/>
      <c r="L286"/>
      <c r="M286"/>
      <c r="N286"/>
      <c r="O286"/>
    </row>
    <row r="287" spans="6:15">
      <c r="F287"/>
      <c r="G287"/>
      <c r="H287"/>
      <c r="I287"/>
      <c r="J287"/>
      <c r="K287"/>
      <c r="L287"/>
      <c r="M287"/>
      <c r="N287"/>
      <c r="O287"/>
    </row>
    <row r="288" spans="6:15">
      <c r="F288"/>
      <c r="G288"/>
      <c r="H288"/>
      <c r="I288"/>
      <c r="J288"/>
      <c r="K288"/>
      <c r="L288"/>
      <c r="M288"/>
      <c r="N288"/>
      <c r="O288"/>
    </row>
    <row r="289" spans="6:15">
      <c r="F289"/>
      <c r="G289"/>
      <c r="H289"/>
      <c r="I289"/>
      <c r="J289"/>
      <c r="K289"/>
      <c r="L289"/>
      <c r="M289"/>
      <c r="N289"/>
      <c r="O289"/>
    </row>
    <row r="290" spans="6:15">
      <c r="F290"/>
      <c r="G290"/>
      <c r="H290"/>
      <c r="I290"/>
      <c r="J290"/>
      <c r="K290"/>
      <c r="L290"/>
      <c r="M290"/>
      <c r="N290"/>
      <c r="O290"/>
    </row>
    <row r="291" spans="6:15">
      <c r="F291"/>
      <c r="G291"/>
      <c r="H291"/>
      <c r="I291"/>
      <c r="J291"/>
      <c r="K291"/>
      <c r="L291"/>
      <c r="M291"/>
      <c r="N291"/>
      <c r="O291"/>
    </row>
    <row r="292" spans="6:15">
      <c r="F292"/>
      <c r="G292"/>
      <c r="H292"/>
      <c r="I292"/>
      <c r="J292"/>
      <c r="K292"/>
      <c r="L292"/>
      <c r="M292"/>
      <c r="N292"/>
      <c r="O292"/>
    </row>
    <row r="293" spans="6:15">
      <c r="F293"/>
      <c r="G293"/>
      <c r="H293"/>
      <c r="I293"/>
      <c r="J293"/>
      <c r="K293"/>
      <c r="L293"/>
      <c r="M293"/>
      <c r="N293"/>
      <c r="O293"/>
    </row>
    <row r="294" spans="6:15">
      <c r="F294"/>
      <c r="G294"/>
      <c r="H294"/>
      <c r="I294"/>
      <c r="J294"/>
      <c r="K294"/>
      <c r="L294"/>
      <c r="M294"/>
      <c r="N294"/>
      <c r="O294"/>
    </row>
    <row r="295" spans="6:15">
      <c r="F295"/>
      <c r="G295"/>
      <c r="H295"/>
      <c r="I295"/>
      <c r="J295"/>
      <c r="K295"/>
      <c r="L295"/>
      <c r="M295"/>
      <c r="N295"/>
      <c r="O295"/>
    </row>
    <row r="296" spans="6:15">
      <c r="F296"/>
      <c r="G296"/>
      <c r="H296"/>
      <c r="I296"/>
      <c r="J296"/>
      <c r="K296"/>
      <c r="L296"/>
      <c r="M296"/>
      <c r="N296"/>
      <c r="O296"/>
    </row>
    <row r="297" spans="6:15">
      <c r="F297"/>
      <c r="G297"/>
      <c r="H297"/>
      <c r="I297"/>
      <c r="J297"/>
      <c r="K297"/>
      <c r="L297"/>
      <c r="M297"/>
      <c r="N297"/>
      <c r="O297"/>
    </row>
    <row r="298" spans="6:15">
      <c r="F298"/>
      <c r="G298"/>
      <c r="H298"/>
      <c r="I298"/>
      <c r="J298"/>
      <c r="K298"/>
      <c r="L298"/>
      <c r="M298"/>
      <c r="N298"/>
      <c r="O298"/>
    </row>
    <row r="299" spans="6:15">
      <c r="F299"/>
      <c r="G299"/>
      <c r="H299"/>
      <c r="I299"/>
      <c r="J299"/>
      <c r="K299"/>
      <c r="L299"/>
      <c r="M299"/>
      <c r="N299"/>
      <c r="O299"/>
    </row>
    <row r="300" spans="6:15">
      <c r="F300"/>
      <c r="G300"/>
      <c r="H300"/>
      <c r="I300"/>
      <c r="J300"/>
      <c r="K300"/>
      <c r="L300"/>
      <c r="M300"/>
      <c r="N300"/>
      <c r="O300"/>
    </row>
    <row r="301" spans="6:15">
      <c r="F301"/>
      <c r="G301"/>
      <c r="H301"/>
      <c r="I301"/>
      <c r="J301"/>
      <c r="K301"/>
      <c r="L301"/>
      <c r="M301"/>
      <c r="N301"/>
      <c r="O301"/>
    </row>
    <row r="302" spans="6:15">
      <c r="F302"/>
      <c r="G302"/>
      <c r="H302"/>
      <c r="I302"/>
      <c r="J302"/>
      <c r="K302"/>
      <c r="L302"/>
      <c r="M302"/>
      <c r="N302"/>
      <c r="O302"/>
    </row>
    <row r="303" spans="6:15">
      <c r="F303"/>
      <c r="G303"/>
      <c r="H303"/>
      <c r="I303"/>
      <c r="J303"/>
      <c r="K303"/>
      <c r="L303"/>
      <c r="M303"/>
      <c r="N303"/>
      <c r="O303"/>
    </row>
    <row r="304" spans="6:15">
      <c r="F304"/>
      <c r="G304"/>
      <c r="H304"/>
      <c r="I304"/>
      <c r="J304"/>
      <c r="K304"/>
      <c r="L304"/>
      <c r="M304"/>
      <c r="N304"/>
      <c r="O304"/>
    </row>
    <row r="305" spans="6:15">
      <c r="F305"/>
      <c r="G305"/>
      <c r="H305"/>
      <c r="I305"/>
      <c r="J305"/>
      <c r="K305"/>
      <c r="L305"/>
      <c r="M305"/>
      <c r="N305"/>
      <c r="O305"/>
    </row>
    <row r="306" spans="6:15">
      <c r="F306"/>
      <c r="G306"/>
      <c r="H306"/>
      <c r="I306"/>
      <c r="J306"/>
      <c r="K306"/>
      <c r="L306"/>
      <c r="M306"/>
      <c r="N306"/>
      <c r="O306"/>
    </row>
    <row r="307" spans="6:15">
      <c r="F307"/>
      <c r="G307"/>
      <c r="H307"/>
      <c r="I307"/>
      <c r="J307"/>
      <c r="K307"/>
      <c r="L307"/>
      <c r="M307"/>
      <c r="N307"/>
      <c r="O307"/>
    </row>
    <row r="308" spans="6:15">
      <c r="F308"/>
      <c r="G308"/>
      <c r="H308"/>
      <c r="I308"/>
      <c r="J308"/>
      <c r="K308"/>
      <c r="L308"/>
      <c r="M308"/>
      <c r="N308"/>
      <c r="O308"/>
    </row>
    <row r="309" spans="6:15">
      <c r="F309"/>
      <c r="G309"/>
      <c r="H309"/>
      <c r="I309"/>
      <c r="J309"/>
      <c r="K309"/>
      <c r="L309"/>
      <c r="M309"/>
      <c r="N309"/>
      <c r="O309"/>
    </row>
    <row r="310" spans="6:15">
      <c r="F310"/>
      <c r="G310"/>
      <c r="H310"/>
      <c r="I310"/>
      <c r="J310"/>
      <c r="K310"/>
      <c r="L310"/>
      <c r="M310"/>
      <c r="N310"/>
      <c r="O310"/>
    </row>
    <row r="311" spans="6:15">
      <c r="F311"/>
      <c r="G311"/>
      <c r="H311"/>
      <c r="I311"/>
      <c r="J311"/>
      <c r="K311"/>
      <c r="L311"/>
      <c r="M311"/>
      <c r="N311"/>
      <c r="O311"/>
    </row>
    <row r="312" spans="6:15">
      <c r="F312"/>
      <c r="G312"/>
      <c r="H312"/>
      <c r="I312"/>
      <c r="J312"/>
      <c r="K312"/>
      <c r="L312"/>
      <c r="M312"/>
      <c r="N312"/>
      <c r="O312"/>
    </row>
    <row r="313" spans="6:15">
      <c r="F313"/>
      <c r="G313"/>
      <c r="H313"/>
      <c r="I313"/>
      <c r="J313"/>
      <c r="K313"/>
      <c r="L313"/>
      <c r="M313"/>
      <c r="N313"/>
      <c r="O313"/>
    </row>
    <row r="314" spans="6:15">
      <c r="F314"/>
      <c r="G314"/>
      <c r="H314"/>
      <c r="I314"/>
      <c r="J314"/>
      <c r="K314"/>
      <c r="L314"/>
      <c r="M314"/>
      <c r="N314"/>
      <c r="O314"/>
    </row>
    <row r="315" spans="6:15">
      <c r="F315"/>
      <c r="G315"/>
      <c r="H315"/>
      <c r="I315"/>
      <c r="J315"/>
      <c r="K315"/>
      <c r="L315"/>
      <c r="M315"/>
      <c r="N315"/>
      <c r="O315"/>
    </row>
    <row r="316" spans="6:15">
      <c r="F316"/>
      <c r="G316"/>
      <c r="H316"/>
      <c r="I316"/>
      <c r="J316"/>
      <c r="K316"/>
      <c r="L316"/>
      <c r="M316"/>
      <c r="N316"/>
      <c r="O316"/>
    </row>
    <row r="317" spans="6:15">
      <c r="F317"/>
      <c r="G317"/>
      <c r="H317"/>
      <c r="I317"/>
      <c r="J317"/>
      <c r="K317"/>
      <c r="L317"/>
      <c r="M317"/>
      <c r="N317"/>
      <c r="O317"/>
    </row>
    <row r="318" spans="6:15">
      <c r="F318"/>
      <c r="G318"/>
      <c r="H318"/>
      <c r="I318"/>
      <c r="J318"/>
      <c r="K318"/>
      <c r="L318"/>
      <c r="M318"/>
      <c r="N318"/>
      <c r="O318"/>
    </row>
    <row r="319" spans="6:15">
      <c r="F319"/>
      <c r="G319"/>
      <c r="H319"/>
      <c r="I319"/>
      <c r="J319"/>
      <c r="K319"/>
      <c r="L319"/>
      <c r="M319"/>
      <c r="N319"/>
      <c r="O319"/>
    </row>
    <row r="320" spans="6:15">
      <c r="F320"/>
      <c r="G320"/>
      <c r="H320"/>
      <c r="I320"/>
      <c r="J320"/>
      <c r="K320"/>
      <c r="L320"/>
      <c r="M320"/>
      <c r="N320"/>
      <c r="O320"/>
    </row>
    <row r="321" spans="6:15">
      <c r="F321"/>
      <c r="G321"/>
      <c r="H321"/>
      <c r="I321"/>
      <c r="J321"/>
      <c r="K321"/>
      <c r="L321"/>
      <c r="M321"/>
      <c r="N321"/>
      <c r="O321"/>
    </row>
    <row r="322" spans="6:15">
      <c r="F322"/>
      <c r="G322"/>
      <c r="H322"/>
      <c r="I322"/>
      <c r="J322"/>
      <c r="K322"/>
      <c r="L322"/>
      <c r="M322"/>
      <c r="N322"/>
      <c r="O322"/>
    </row>
    <row r="323" spans="6:15">
      <c r="F323"/>
      <c r="G323"/>
      <c r="H323"/>
      <c r="I323"/>
      <c r="J323"/>
      <c r="K323"/>
      <c r="L323"/>
      <c r="M323"/>
      <c r="N323"/>
      <c r="O323"/>
    </row>
    <row r="324" spans="6:15">
      <c r="F324"/>
      <c r="G324"/>
      <c r="H324"/>
      <c r="I324"/>
      <c r="J324"/>
      <c r="K324"/>
      <c r="L324"/>
      <c r="M324"/>
      <c r="N324"/>
      <c r="O324"/>
    </row>
    <row r="325" spans="6:15">
      <c r="F325"/>
      <c r="G325"/>
      <c r="H325"/>
      <c r="I325"/>
      <c r="J325"/>
      <c r="K325"/>
      <c r="L325"/>
      <c r="M325"/>
      <c r="N325"/>
      <c r="O325"/>
    </row>
    <row r="326" spans="6:15">
      <c r="F326"/>
      <c r="G326"/>
      <c r="H326"/>
      <c r="I326"/>
      <c r="J326"/>
      <c r="K326"/>
      <c r="L326"/>
      <c r="M326"/>
      <c r="N326"/>
      <c r="O326"/>
    </row>
    <row r="327" spans="6:15">
      <c r="F327"/>
      <c r="G327"/>
      <c r="H327"/>
      <c r="I327"/>
      <c r="J327"/>
      <c r="K327"/>
      <c r="L327"/>
      <c r="M327"/>
      <c r="N327"/>
      <c r="O327"/>
    </row>
    <row r="328" spans="6:15">
      <c r="F328"/>
      <c r="G328"/>
      <c r="H328"/>
      <c r="I328"/>
      <c r="J328"/>
      <c r="K328"/>
      <c r="L328"/>
      <c r="M328"/>
      <c r="N328"/>
      <c r="O328"/>
    </row>
    <row r="329" spans="6:15">
      <c r="F329"/>
      <c r="G329"/>
      <c r="H329"/>
      <c r="I329"/>
      <c r="J329"/>
      <c r="K329"/>
      <c r="L329"/>
      <c r="M329"/>
      <c r="N329"/>
      <c r="O329"/>
    </row>
    <row r="330" spans="6:15">
      <c r="F330"/>
      <c r="G330"/>
      <c r="H330"/>
      <c r="I330"/>
      <c r="J330"/>
      <c r="K330"/>
      <c r="L330"/>
      <c r="M330"/>
      <c r="N330"/>
      <c r="O330"/>
    </row>
    <row r="331" spans="6:15">
      <c r="F331"/>
      <c r="G331"/>
      <c r="H331"/>
      <c r="I331"/>
      <c r="J331"/>
      <c r="K331"/>
      <c r="L331"/>
      <c r="M331"/>
      <c r="N331"/>
      <c r="O331"/>
    </row>
    <row r="332" spans="6:15">
      <c r="F332"/>
      <c r="G332"/>
      <c r="H332"/>
      <c r="I332"/>
      <c r="J332"/>
      <c r="K332"/>
      <c r="L332"/>
      <c r="M332"/>
      <c r="N332"/>
      <c r="O332"/>
    </row>
    <row r="333" spans="6:15">
      <c r="F333"/>
      <c r="G333"/>
      <c r="H333"/>
      <c r="I333"/>
      <c r="J333"/>
      <c r="K333"/>
      <c r="L333"/>
      <c r="M333"/>
      <c r="N333"/>
      <c r="O333"/>
    </row>
    <row r="334" spans="6:15">
      <c r="F334"/>
      <c r="G334"/>
      <c r="H334"/>
      <c r="I334"/>
      <c r="J334"/>
      <c r="K334"/>
      <c r="L334"/>
      <c r="M334"/>
      <c r="N334"/>
      <c r="O334"/>
    </row>
    <row r="335" spans="6:15">
      <c r="F335"/>
      <c r="G335"/>
      <c r="H335"/>
      <c r="I335"/>
      <c r="J335"/>
      <c r="K335"/>
      <c r="L335"/>
      <c r="M335"/>
      <c r="N335"/>
      <c r="O335"/>
    </row>
    <row r="336" spans="6:15">
      <c r="F336"/>
      <c r="G336"/>
      <c r="H336"/>
      <c r="I336"/>
      <c r="J336"/>
      <c r="K336"/>
      <c r="L336"/>
      <c r="M336"/>
      <c r="N336"/>
      <c r="O336"/>
    </row>
    <row r="337" spans="6:15">
      <c r="F337"/>
      <c r="G337"/>
      <c r="H337"/>
      <c r="I337"/>
      <c r="J337"/>
      <c r="K337"/>
      <c r="L337"/>
      <c r="M337"/>
      <c r="N337"/>
      <c r="O337"/>
    </row>
    <row r="338" spans="6:15">
      <c r="F338"/>
      <c r="G338"/>
      <c r="H338"/>
      <c r="I338"/>
      <c r="J338"/>
      <c r="K338"/>
      <c r="L338"/>
      <c r="M338"/>
      <c r="N338"/>
      <c r="O338"/>
    </row>
    <row r="339" spans="6:15">
      <c r="F339"/>
      <c r="G339"/>
      <c r="H339"/>
      <c r="I339"/>
      <c r="J339"/>
      <c r="K339"/>
      <c r="L339"/>
      <c r="M339"/>
      <c r="N339"/>
      <c r="O339"/>
    </row>
    <row r="340" spans="6:15">
      <c r="F340"/>
      <c r="G340"/>
      <c r="H340"/>
      <c r="I340"/>
      <c r="J340"/>
      <c r="K340"/>
      <c r="L340"/>
      <c r="M340"/>
      <c r="N340"/>
      <c r="O340"/>
    </row>
    <row r="341" spans="6:15">
      <c r="F341"/>
      <c r="G341"/>
      <c r="H341"/>
      <c r="I341"/>
      <c r="J341"/>
      <c r="K341"/>
      <c r="L341"/>
      <c r="M341"/>
      <c r="N341"/>
      <c r="O341"/>
    </row>
    <row r="342" spans="6:15">
      <c r="F342"/>
      <c r="G342"/>
      <c r="H342"/>
      <c r="I342"/>
      <c r="J342"/>
      <c r="K342"/>
      <c r="L342"/>
      <c r="M342"/>
      <c r="N342"/>
      <c r="O342"/>
    </row>
    <row r="343" spans="6:15">
      <c r="F343"/>
      <c r="G343"/>
      <c r="H343"/>
      <c r="I343"/>
      <c r="J343"/>
      <c r="K343"/>
      <c r="L343"/>
      <c r="M343"/>
      <c r="N343"/>
      <c r="O343"/>
    </row>
    <row r="344" spans="6:15">
      <c r="F344"/>
      <c r="G344"/>
      <c r="H344"/>
      <c r="I344"/>
      <c r="J344"/>
      <c r="K344"/>
      <c r="L344"/>
      <c r="M344"/>
      <c r="N344"/>
      <c r="O344"/>
    </row>
    <row r="345" spans="6:15">
      <c r="F345"/>
      <c r="G345"/>
      <c r="H345"/>
      <c r="I345"/>
      <c r="J345"/>
      <c r="K345"/>
      <c r="L345"/>
      <c r="M345"/>
      <c r="N345"/>
      <c r="O345"/>
    </row>
    <row r="346" spans="6:15">
      <c r="F346"/>
      <c r="G346"/>
      <c r="H346"/>
      <c r="I346"/>
      <c r="J346"/>
      <c r="K346"/>
      <c r="L346"/>
      <c r="M346"/>
      <c r="N346"/>
      <c r="O346"/>
    </row>
    <row r="347" spans="6:15">
      <c r="F347"/>
      <c r="G347"/>
      <c r="H347"/>
      <c r="I347"/>
      <c r="J347"/>
      <c r="K347"/>
      <c r="L347"/>
      <c r="M347"/>
      <c r="N347"/>
      <c r="O347"/>
    </row>
    <row r="348" spans="6:15">
      <c r="F348"/>
      <c r="G348"/>
      <c r="H348"/>
      <c r="I348"/>
      <c r="J348"/>
      <c r="K348"/>
      <c r="L348"/>
      <c r="M348"/>
      <c r="N348"/>
      <c r="O348"/>
    </row>
    <row r="349" spans="6:15">
      <c r="F349"/>
      <c r="G349"/>
      <c r="H349"/>
      <c r="I349"/>
      <c r="J349"/>
      <c r="K349"/>
      <c r="L349"/>
      <c r="M349"/>
      <c r="N349"/>
      <c r="O349"/>
    </row>
    <row r="350" spans="6:15">
      <c r="F350"/>
      <c r="G350"/>
      <c r="H350"/>
      <c r="I350"/>
      <c r="J350"/>
      <c r="K350"/>
      <c r="L350"/>
      <c r="M350"/>
      <c r="N350"/>
      <c r="O350"/>
    </row>
    <row r="351" spans="6:15">
      <c r="F351"/>
      <c r="G351"/>
      <c r="H351"/>
      <c r="I351"/>
      <c r="J351"/>
      <c r="K351"/>
      <c r="L351"/>
      <c r="M351"/>
      <c r="N351"/>
      <c r="O351"/>
    </row>
    <row r="352" spans="6:15">
      <c r="F352"/>
      <c r="G352"/>
      <c r="H352"/>
      <c r="I352"/>
      <c r="J352"/>
      <c r="K352"/>
      <c r="L352"/>
      <c r="M352"/>
      <c r="N352"/>
      <c r="O352"/>
    </row>
    <row r="353" spans="6:15">
      <c r="F353"/>
      <c r="G353"/>
      <c r="H353"/>
      <c r="I353"/>
      <c r="J353"/>
      <c r="K353"/>
      <c r="L353"/>
      <c r="M353"/>
      <c r="N353"/>
      <c r="O353"/>
    </row>
    <row r="354" spans="6:15">
      <c r="F354"/>
      <c r="G354"/>
      <c r="H354"/>
      <c r="I354"/>
      <c r="J354"/>
      <c r="K354"/>
      <c r="L354"/>
      <c r="M354"/>
      <c r="N354"/>
      <c r="O354"/>
    </row>
    <row r="355" spans="6:15">
      <c r="F355"/>
      <c r="G355"/>
      <c r="H355"/>
      <c r="I355"/>
      <c r="J355"/>
      <c r="K355"/>
      <c r="L355"/>
      <c r="M355"/>
      <c r="N355"/>
      <c r="O355"/>
    </row>
    <row r="356" spans="6:15">
      <c r="F356"/>
      <c r="G356"/>
      <c r="H356"/>
      <c r="I356"/>
      <c r="J356"/>
      <c r="K356"/>
      <c r="L356"/>
      <c r="M356"/>
      <c r="N356"/>
      <c r="O356"/>
    </row>
    <row r="357" spans="6:15">
      <c r="F357"/>
      <c r="G357"/>
      <c r="H357"/>
      <c r="I357"/>
      <c r="J357"/>
      <c r="K357"/>
      <c r="L357"/>
      <c r="M357"/>
      <c r="N357"/>
      <c r="O357"/>
    </row>
    <row r="358" spans="6:15">
      <c r="F358"/>
      <c r="G358"/>
      <c r="H358"/>
      <c r="I358"/>
      <c r="J358"/>
      <c r="K358"/>
      <c r="L358"/>
      <c r="M358"/>
      <c r="N358"/>
      <c r="O358"/>
    </row>
    <row r="359" spans="6:15">
      <c r="F359"/>
      <c r="G359"/>
      <c r="H359"/>
      <c r="I359"/>
      <c r="J359"/>
      <c r="K359"/>
      <c r="L359"/>
      <c r="M359"/>
      <c r="N359"/>
      <c r="O359"/>
    </row>
    <row r="360" spans="6:15">
      <c r="F360"/>
      <c r="G360"/>
      <c r="H360"/>
      <c r="I360"/>
      <c r="J360"/>
      <c r="K360"/>
      <c r="L360"/>
      <c r="M360"/>
      <c r="N360"/>
      <c r="O360"/>
    </row>
    <row r="361" spans="6:15">
      <c r="F361"/>
      <c r="G361"/>
      <c r="H361"/>
      <c r="I361"/>
      <c r="J361"/>
      <c r="K361"/>
      <c r="L361"/>
      <c r="M361"/>
      <c r="N361"/>
      <c r="O361"/>
    </row>
    <row r="362" spans="6:15">
      <c r="F362"/>
      <c r="G362"/>
      <c r="H362"/>
      <c r="I362"/>
      <c r="J362"/>
      <c r="K362"/>
      <c r="L362"/>
      <c r="M362"/>
      <c r="N362"/>
      <c r="O362"/>
    </row>
    <row r="363" spans="6:15">
      <c r="F363"/>
      <c r="G363"/>
      <c r="H363"/>
      <c r="I363"/>
      <c r="J363"/>
      <c r="K363"/>
      <c r="L363"/>
      <c r="M363"/>
      <c r="N363"/>
      <c r="O363"/>
    </row>
    <row r="364" spans="6:15">
      <c r="F364"/>
      <c r="G364"/>
      <c r="H364"/>
      <c r="I364"/>
      <c r="J364"/>
      <c r="K364"/>
      <c r="L364"/>
      <c r="M364"/>
      <c r="N364"/>
      <c r="O364"/>
    </row>
    <row r="365" spans="6:15">
      <c r="F365"/>
      <c r="G365"/>
      <c r="H365"/>
      <c r="I365"/>
      <c r="J365"/>
      <c r="K365"/>
      <c r="L365"/>
      <c r="M365"/>
      <c r="N365"/>
      <c r="O365"/>
    </row>
    <row r="366" spans="6:15">
      <c r="F366"/>
      <c r="G366"/>
      <c r="H366"/>
      <c r="I366"/>
      <c r="J366"/>
      <c r="K366"/>
      <c r="L366"/>
      <c r="M366"/>
      <c r="N366"/>
      <c r="O366"/>
    </row>
    <row r="367" spans="6:15">
      <c r="F367"/>
      <c r="G367"/>
      <c r="H367"/>
      <c r="I367"/>
      <c r="J367"/>
      <c r="K367"/>
      <c r="L367"/>
      <c r="M367"/>
      <c r="N367"/>
      <c r="O367"/>
    </row>
    <row r="368" spans="6:15">
      <c r="F368"/>
      <c r="G368"/>
      <c r="H368"/>
      <c r="I368"/>
      <c r="J368"/>
      <c r="K368"/>
      <c r="L368"/>
      <c r="M368"/>
      <c r="N368"/>
      <c r="O368"/>
    </row>
    <row r="369" spans="6:15">
      <c r="F369"/>
      <c r="G369"/>
      <c r="H369"/>
      <c r="I369"/>
      <c r="J369"/>
      <c r="K369"/>
      <c r="L369"/>
      <c r="M369"/>
      <c r="N369"/>
      <c r="O369"/>
    </row>
    <row r="370" spans="6:15">
      <c r="F370"/>
      <c r="G370"/>
      <c r="H370"/>
      <c r="I370"/>
      <c r="J370"/>
      <c r="K370"/>
      <c r="L370"/>
      <c r="M370"/>
      <c r="N370"/>
      <c r="O370"/>
    </row>
    <row r="371" spans="6:15">
      <c r="F371"/>
      <c r="G371"/>
      <c r="H371"/>
      <c r="I371"/>
      <c r="J371"/>
      <c r="K371"/>
      <c r="L371"/>
      <c r="M371"/>
      <c r="N371"/>
      <c r="O371"/>
    </row>
    <row r="372" spans="6:15">
      <c r="F372"/>
      <c r="G372"/>
      <c r="H372"/>
      <c r="I372"/>
      <c r="J372"/>
      <c r="K372"/>
      <c r="L372"/>
      <c r="M372"/>
      <c r="N372"/>
      <c r="O372"/>
    </row>
    <row r="373" spans="6:15">
      <c r="F373"/>
      <c r="G373"/>
      <c r="H373"/>
      <c r="I373"/>
      <c r="J373"/>
      <c r="K373"/>
      <c r="L373"/>
      <c r="M373"/>
      <c r="N373"/>
      <c r="O373"/>
    </row>
    <row r="374" spans="6:15">
      <c r="F374"/>
      <c r="G374"/>
      <c r="H374"/>
      <c r="I374"/>
      <c r="J374"/>
      <c r="K374"/>
      <c r="L374"/>
      <c r="M374"/>
      <c r="N374"/>
      <c r="O374"/>
    </row>
    <row r="375" spans="6:15">
      <c r="F375"/>
      <c r="G375"/>
      <c r="H375"/>
      <c r="I375"/>
      <c r="J375"/>
      <c r="K375"/>
      <c r="L375"/>
      <c r="M375"/>
      <c r="N375"/>
      <c r="O375"/>
    </row>
    <row r="376" spans="6:15">
      <c r="F376"/>
      <c r="G376"/>
      <c r="H376"/>
      <c r="I376"/>
      <c r="J376"/>
      <c r="K376"/>
      <c r="L376"/>
      <c r="M376"/>
      <c r="N376"/>
      <c r="O376"/>
    </row>
    <row r="377" spans="6:15">
      <c r="F377"/>
      <c r="G377"/>
      <c r="H377"/>
      <c r="I377"/>
      <c r="J377"/>
      <c r="K377"/>
      <c r="L377"/>
      <c r="M377"/>
      <c r="N377"/>
      <c r="O377"/>
    </row>
    <row r="378" spans="6:15">
      <c r="F378"/>
      <c r="G378"/>
      <c r="H378"/>
      <c r="I378"/>
      <c r="J378"/>
      <c r="K378"/>
      <c r="L378"/>
      <c r="M378"/>
      <c r="N378"/>
      <c r="O378"/>
    </row>
    <row r="379" spans="6:15">
      <c r="F379"/>
      <c r="G379"/>
      <c r="H379"/>
      <c r="I379"/>
      <c r="J379"/>
      <c r="K379"/>
      <c r="L379"/>
      <c r="M379"/>
      <c r="N379"/>
      <c r="O379"/>
    </row>
    <row r="380" spans="6:15">
      <c r="F380"/>
      <c r="G380"/>
      <c r="H380"/>
      <c r="I380"/>
      <c r="J380"/>
      <c r="K380"/>
      <c r="L380"/>
      <c r="M380"/>
      <c r="N380"/>
      <c r="O380"/>
    </row>
    <row r="381" spans="6:15">
      <c r="F381"/>
      <c r="G381"/>
      <c r="H381"/>
      <c r="I381"/>
      <c r="J381"/>
      <c r="K381"/>
      <c r="L381"/>
      <c r="M381"/>
      <c r="N381"/>
      <c r="O381"/>
    </row>
    <row r="382" spans="6:15">
      <c r="F382"/>
      <c r="G382"/>
      <c r="H382"/>
      <c r="I382"/>
      <c r="J382"/>
      <c r="K382"/>
      <c r="L382"/>
      <c r="M382"/>
      <c r="N382"/>
      <c r="O382"/>
    </row>
    <row r="383" spans="6:15">
      <c r="F383"/>
      <c r="G383"/>
      <c r="H383"/>
      <c r="I383"/>
      <c r="J383"/>
      <c r="K383"/>
      <c r="L383"/>
      <c r="M383"/>
      <c r="N383"/>
      <c r="O383"/>
    </row>
    <row r="384" spans="6:15">
      <c r="F384"/>
      <c r="G384"/>
      <c r="H384"/>
      <c r="I384"/>
      <c r="J384"/>
      <c r="K384"/>
      <c r="L384"/>
      <c r="M384"/>
      <c r="N384"/>
      <c r="O384"/>
    </row>
    <row r="385" spans="6:15">
      <c r="F385"/>
      <c r="G385"/>
      <c r="H385"/>
      <c r="I385"/>
      <c r="J385"/>
      <c r="K385"/>
      <c r="L385"/>
      <c r="M385"/>
      <c r="N385"/>
      <c r="O385"/>
    </row>
    <row r="386" spans="6:15">
      <c r="F386"/>
      <c r="G386"/>
      <c r="H386"/>
      <c r="I386"/>
      <c r="J386"/>
      <c r="K386"/>
      <c r="L386"/>
      <c r="M386"/>
      <c r="N386"/>
      <c r="O386"/>
    </row>
    <row r="387" spans="6:15">
      <c r="F387"/>
      <c r="G387"/>
      <c r="H387"/>
      <c r="I387"/>
      <c r="J387"/>
      <c r="K387"/>
      <c r="L387"/>
      <c r="M387"/>
      <c r="N387"/>
      <c r="O387"/>
    </row>
    <row r="388" spans="6:15">
      <c r="F388"/>
      <c r="G388"/>
      <c r="H388"/>
      <c r="I388"/>
      <c r="J388"/>
      <c r="K388"/>
      <c r="L388"/>
      <c r="M388"/>
      <c r="N388"/>
      <c r="O388"/>
    </row>
    <row r="389" spans="6:15">
      <c r="F389"/>
      <c r="G389"/>
      <c r="H389"/>
      <c r="I389"/>
      <c r="J389"/>
      <c r="K389"/>
      <c r="L389"/>
      <c r="M389"/>
      <c r="N389"/>
      <c r="O389"/>
    </row>
    <row r="390" spans="6:15">
      <c r="F390"/>
      <c r="G390"/>
      <c r="H390"/>
      <c r="I390"/>
      <c r="J390"/>
      <c r="K390"/>
      <c r="L390"/>
      <c r="M390"/>
      <c r="N390"/>
      <c r="O390"/>
    </row>
    <row r="391" spans="6:15">
      <c r="F391"/>
      <c r="G391"/>
      <c r="H391"/>
      <c r="I391"/>
      <c r="J391"/>
      <c r="K391"/>
      <c r="L391"/>
      <c r="M391"/>
      <c r="N391"/>
      <c r="O391"/>
    </row>
    <row r="392" spans="6:15">
      <c r="F392"/>
      <c r="G392"/>
      <c r="H392"/>
      <c r="I392"/>
      <c r="J392"/>
      <c r="K392"/>
      <c r="L392"/>
      <c r="M392"/>
      <c r="N392"/>
      <c r="O392"/>
    </row>
    <row r="393" spans="6:15">
      <c r="F393"/>
      <c r="G393"/>
      <c r="H393"/>
      <c r="I393"/>
      <c r="J393"/>
      <c r="K393"/>
      <c r="L393"/>
      <c r="M393"/>
      <c r="N393"/>
      <c r="O393"/>
    </row>
    <row r="394" spans="6:15">
      <c r="F394"/>
      <c r="G394"/>
      <c r="H394"/>
      <c r="I394"/>
      <c r="J394"/>
      <c r="K394"/>
      <c r="L394"/>
      <c r="M394"/>
      <c r="N394"/>
      <c r="O394"/>
    </row>
    <row r="395" spans="6:15">
      <c r="F395"/>
      <c r="G395"/>
      <c r="H395"/>
      <c r="I395"/>
      <c r="J395"/>
      <c r="K395"/>
      <c r="L395"/>
      <c r="M395"/>
      <c r="N395"/>
      <c r="O395"/>
    </row>
    <row r="396" spans="6:15">
      <c r="F396"/>
      <c r="G396"/>
      <c r="H396"/>
      <c r="I396"/>
      <c r="J396"/>
      <c r="K396"/>
      <c r="L396"/>
      <c r="M396"/>
      <c r="N396"/>
      <c r="O396"/>
    </row>
    <row r="397" spans="6:15">
      <c r="F397"/>
      <c r="G397"/>
      <c r="H397"/>
      <c r="I397"/>
      <c r="J397"/>
      <c r="K397"/>
      <c r="L397"/>
      <c r="M397"/>
      <c r="N397"/>
      <c r="O397"/>
    </row>
    <row r="398" spans="6:15">
      <c r="F398"/>
      <c r="G398"/>
      <c r="H398"/>
      <c r="I398"/>
      <c r="J398"/>
      <c r="K398"/>
      <c r="L398"/>
      <c r="M398"/>
      <c r="N398"/>
      <c r="O398"/>
    </row>
    <row r="399" spans="6:15">
      <c r="F399"/>
      <c r="G399"/>
      <c r="H399"/>
      <c r="I399"/>
      <c r="J399"/>
      <c r="K399"/>
      <c r="L399"/>
      <c r="M399"/>
      <c r="N399"/>
      <c r="O399"/>
    </row>
    <row r="400" spans="6:15">
      <c r="F400"/>
      <c r="G400"/>
      <c r="H400"/>
      <c r="I400"/>
      <c r="J400"/>
      <c r="K400"/>
      <c r="L400"/>
      <c r="M400"/>
      <c r="N400"/>
      <c r="O400"/>
    </row>
    <row r="401" spans="6:15">
      <c r="F401"/>
      <c r="G401"/>
      <c r="H401"/>
      <c r="I401"/>
      <c r="J401"/>
      <c r="K401"/>
      <c r="L401"/>
      <c r="M401"/>
      <c r="N401"/>
      <c r="O401"/>
    </row>
    <row r="402" spans="6:15">
      <c r="F402"/>
      <c r="G402"/>
      <c r="H402"/>
      <c r="I402"/>
      <c r="J402"/>
      <c r="K402"/>
      <c r="L402"/>
      <c r="M402"/>
      <c r="N402"/>
      <c r="O402"/>
    </row>
    <row r="403" spans="6:15">
      <c r="F403"/>
      <c r="G403"/>
      <c r="H403"/>
      <c r="I403"/>
      <c r="J403"/>
      <c r="K403"/>
      <c r="L403"/>
      <c r="M403"/>
      <c r="N403"/>
      <c r="O403"/>
    </row>
    <row r="404" spans="6:15">
      <c r="F404"/>
      <c r="G404"/>
      <c r="H404"/>
      <c r="I404"/>
      <c r="J404"/>
      <c r="K404"/>
      <c r="L404"/>
      <c r="M404"/>
      <c r="N404"/>
      <c r="O404"/>
    </row>
    <row r="405" spans="6:15">
      <c r="F405"/>
      <c r="G405"/>
      <c r="H405"/>
      <c r="I405"/>
      <c r="J405"/>
      <c r="K405"/>
      <c r="L405"/>
      <c r="M405"/>
      <c r="N405"/>
      <c r="O405"/>
    </row>
    <row r="406" spans="6:15">
      <c r="F406"/>
      <c r="G406"/>
      <c r="H406"/>
      <c r="I406"/>
      <c r="J406"/>
      <c r="K406"/>
      <c r="L406"/>
      <c r="M406"/>
      <c r="N406"/>
      <c r="O406"/>
    </row>
    <row r="407" spans="6:15">
      <c r="F407"/>
      <c r="G407"/>
      <c r="H407"/>
      <c r="I407"/>
      <c r="J407"/>
      <c r="K407"/>
      <c r="L407"/>
      <c r="M407"/>
      <c r="N407"/>
      <c r="O407"/>
    </row>
    <row r="408" spans="6:15">
      <c r="F408"/>
      <c r="G408"/>
      <c r="H408"/>
      <c r="I408"/>
      <c r="J408"/>
      <c r="K408"/>
      <c r="L408"/>
      <c r="M408"/>
      <c r="N408"/>
      <c r="O408"/>
    </row>
    <row r="409" spans="6:15">
      <c r="F409"/>
      <c r="G409"/>
      <c r="H409"/>
      <c r="I409"/>
      <c r="J409"/>
      <c r="K409"/>
      <c r="L409"/>
      <c r="M409"/>
      <c r="N409"/>
      <c r="O409"/>
    </row>
    <row r="410" spans="6:15">
      <c r="F410"/>
      <c r="G410"/>
      <c r="H410"/>
      <c r="I410"/>
      <c r="J410"/>
      <c r="K410"/>
      <c r="L410"/>
      <c r="M410"/>
      <c r="N410"/>
      <c r="O410"/>
    </row>
    <row r="411" spans="6:15">
      <c r="F411"/>
      <c r="G411"/>
      <c r="H411"/>
      <c r="I411"/>
      <c r="J411"/>
      <c r="K411"/>
      <c r="L411"/>
      <c r="M411"/>
      <c r="N411"/>
      <c r="O411"/>
    </row>
    <row r="412" spans="6:15">
      <c r="F412"/>
      <c r="G412"/>
      <c r="H412"/>
      <c r="I412"/>
      <c r="J412"/>
      <c r="K412"/>
      <c r="L412"/>
      <c r="M412"/>
      <c r="N412"/>
      <c r="O412"/>
    </row>
    <row r="413" spans="6:15">
      <c r="F413"/>
      <c r="G413"/>
      <c r="H413"/>
      <c r="I413"/>
      <c r="J413"/>
      <c r="K413"/>
      <c r="L413"/>
      <c r="M413"/>
      <c r="N413"/>
      <c r="O413"/>
    </row>
    <row r="414" spans="6:15">
      <c r="F414"/>
      <c r="G414"/>
      <c r="H414"/>
      <c r="I414"/>
      <c r="J414"/>
      <c r="K414"/>
      <c r="L414"/>
      <c r="M414"/>
      <c r="N414"/>
      <c r="O414"/>
    </row>
    <row r="415" spans="6:15">
      <c r="F415"/>
      <c r="G415"/>
      <c r="H415"/>
      <c r="I415"/>
      <c r="J415"/>
      <c r="K415"/>
      <c r="L415"/>
      <c r="M415"/>
      <c r="N415"/>
      <c r="O415"/>
    </row>
    <row r="416" spans="6:15">
      <c r="F416"/>
      <c r="G416"/>
      <c r="H416"/>
      <c r="I416"/>
      <c r="J416"/>
      <c r="K416"/>
      <c r="L416"/>
      <c r="M416"/>
      <c r="N416"/>
      <c r="O416"/>
    </row>
    <row r="417" spans="6:15">
      <c r="F417"/>
      <c r="G417"/>
      <c r="H417"/>
      <c r="I417"/>
      <c r="J417"/>
      <c r="K417"/>
      <c r="L417"/>
      <c r="M417"/>
      <c r="N417"/>
      <c r="O417"/>
    </row>
    <row r="418" spans="6:15">
      <c r="F418"/>
      <c r="G418"/>
      <c r="H418"/>
      <c r="I418"/>
      <c r="J418"/>
      <c r="K418"/>
      <c r="L418"/>
      <c r="M418"/>
      <c r="N418"/>
      <c r="O418"/>
    </row>
    <row r="419" spans="6:15">
      <c r="F419"/>
      <c r="G419"/>
      <c r="H419"/>
      <c r="I419"/>
      <c r="J419"/>
      <c r="K419"/>
      <c r="L419"/>
      <c r="M419"/>
      <c r="N419"/>
      <c r="O419"/>
    </row>
    <row r="420" spans="6:15">
      <c r="F420"/>
      <c r="G420"/>
      <c r="H420"/>
      <c r="I420"/>
      <c r="J420"/>
      <c r="K420"/>
      <c r="L420"/>
      <c r="M420"/>
      <c r="N420"/>
      <c r="O420"/>
    </row>
    <row r="421" spans="6:15">
      <c r="F421"/>
      <c r="G421"/>
      <c r="H421"/>
      <c r="I421"/>
      <c r="J421"/>
      <c r="K421"/>
      <c r="L421"/>
      <c r="M421"/>
      <c r="N421"/>
      <c r="O421"/>
    </row>
    <row r="422" spans="6:15">
      <c r="F422"/>
      <c r="G422"/>
      <c r="H422"/>
      <c r="I422"/>
      <c r="J422"/>
      <c r="K422"/>
      <c r="L422"/>
      <c r="M422"/>
      <c r="N422"/>
      <c r="O422"/>
    </row>
    <row r="423" spans="6:15">
      <c r="F423"/>
      <c r="G423"/>
      <c r="H423"/>
      <c r="I423"/>
      <c r="J423"/>
      <c r="K423"/>
      <c r="L423"/>
      <c r="M423"/>
      <c r="N423"/>
      <c r="O423"/>
    </row>
    <row r="424" spans="6:15">
      <c r="F424"/>
      <c r="G424"/>
      <c r="H424"/>
      <c r="I424"/>
      <c r="J424"/>
      <c r="K424"/>
      <c r="L424"/>
      <c r="M424"/>
      <c r="N424"/>
      <c r="O424"/>
    </row>
    <row r="425" spans="6:15">
      <c r="F425"/>
      <c r="G425"/>
      <c r="H425"/>
      <c r="I425"/>
      <c r="J425"/>
      <c r="K425"/>
      <c r="L425"/>
      <c r="M425"/>
      <c r="N425"/>
      <c r="O425"/>
    </row>
    <row r="426" spans="6:15">
      <c r="F426"/>
      <c r="G426"/>
      <c r="H426"/>
      <c r="I426"/>
      <c r="J426"/>
      <c r="K426"/>
      <c r="L426"/>
      <c r="M426"/>
      <c r="N426"/>
      <c r="O426"/>
    </row>
    <row r="427" spans="6:15">
      <c r="F427"/>
      <c r="G427"/>
      <c r="H427"/>
      <c r="I427"/>
      <c r="J427"/>
      <c r="K427"/>
      <c r="L427"/>
      <c r="M427"/>
      <c r="N427"/>
      <c r="O427"/>
    </row>
    <row r="428" spans="6:15">
      <c r="F428"/>
      <c r="G428"/>
      <c r="H428"/>
      <c r="I428"/>
      <c r="J428"/>
      <c r="K428"/>
      <c r="L428"/>
      <c r="M428"/>
      <c r="N428"/>
      <c r="O428"/>
    </row>
    <row r="429" spans="6:15">
      <c r="F429"/>
      <c r="G429"/>
      <c r="H429"/>
      <c r="I429"/>
      <c r="J429"/>
      <c r="K429"/>
      <c r="L429"/>
      <c r="M429"/>
      <c r="N429"/>
      <c r="O429"/>
    </row>
    <row r="430" spans="6:15">
      <c r="F430"/>
      <c r="G430"/>
      <c r="H430"/>
      <c r="I430"/>
      <c r="J430"/>
      <c r="K430"/>
      <c r="L430"/>
      <c r="M430"/>
      <c r="N430"/>
      <c r="O430"/>
    </row>
    <row r="431" spans="6:15">
      <c r="F431"/>
      <c r="G431"/>
      <c r="H431"/>
      <c r="I431"/>
      <c r="J431"/>
      <c r="K431"/>
      <c r="L431"/>
      <c r="M431"/>
      <c r="N431"/>
      <c r="O431"/>
    </row>
    <row r="432" spans="6:15">
      <c r="F432"/>
      <c r="G432"/>
      <c r="H432"/>
      <c r="I432"/>
      <c r="J432"/>
      <c r="K432"/>
      <c r="L432"/>
      <c r="M432"/>
      <c r="N432"/>
      <c r="O432"/>
    </row>
    <row r="433" spans="6:15">
      <c r="F433"/>
      <c r="G433"/>
      <c r="H433"/>
      <c r="I433"/>
      <c r="J433"/>
      <c r="K433"/>
      <c r="L433"/>
      <c r="M433"/>
      <c r="N433"/>
      <c r="O433"/>
    </row>
    <row r="434" spans="6:15">
      <c r="F434"/>
      <c r="G434"/>
      <c r="H434"/>
      <c r="I434"/>
      <c r="J434"/>
      <c r="K434"/>
      <c r="L434"/>
      <c r="M434"/>
      <c r="N434"/>
      <c r="O434"/>
    </row>
    <row r="435" spans="6:15">
      <c r="F435"/>
      <c r="G435"/>
      <c r="H435"/>
      <c r="I435"/>
      <c r="J435"/>
      <c r="K435"/>
      <c r="L435"/>
      <c r="M435"/>
      <c r="N435"/>
      <c r="O435"/>
    </row>
    <row r="436" spans="6:15">
      <c r="F436"/>
      <c r="G436"/>
      <c r="H436"/>
      <c r="I436"/>
      <c r="J436"/>
      <c r="K436"/>
      <c r="L436"/>
      <c r="M436"/>
      <c r="N436"/>
      <c r="O436"/>
    </row>
    <row r="437" spans="6:15">
      <c r="F437"/>
      <c r="G437"/>
      <c r="H437"/>
      <c r="I437"/>
      <c r="J437"/>
      <c r="K437"/>
      <c r="L437"/>
      <c r="M437"/>
      <c r="N437"/>
      <c r="O437"/>
    </row>
    <row r="438" spans="6:15">
      <c r="F438"/>
      <c r="G438"/>
      <c r="H438"/>
      <c r="I438"/>
      <c r="J438"/>
      <c r="K438"/>
      <c r="L438"/>
      <c r="M438"/>
      <c r="N438"/>
      <c r="O438"/>
    </row>
    <row r="439" spans="6:15">
      <c r="F439"/>
      <c r="G439"/>
      <c r="H439"/>
      <c r="I439"/>
      <c r="J439"/>
      <c r="K439"/>
      <c r="L439"/>
      <c r="M439"/>
      <c r="N439"/>
      <c r="O439"/>
    </row>
    <row r="440" spans="6:15">
      <c r="F440"/>
      <c r="G440"/>
      <c r="H440"/>
      <c r="I440"/>
      <c r="J440"/>
      <c r="K440"/>
      <c r="L440"/>
      <c r="M440"/>
      <c r="N440"/>
      <c r="O440"/>
    </row>
    <row r="441" spans="6:15">
      <c r="F441"/>
      <c r="G441"/>
      <c r="H441"/>
      <c r="I441"/>
      <c r="J441"/>
      <c r="K441"/>
      <c r="L441"/>
      <c r="M441"/>
      <c r="N441"/>
      <c r="O441"/>
    </row>
    <row r="442" spans="6:15">
      <c r="F442"/>
      <c r="G442"/>
      <c r="H442"/>
      <c r="I442"/>
      <c r="J442"/>
      <c r="K442"/>
      <c r="L442"/>
      <c r="M442"/>
      <c r="N442"/>
      <c r="O442"/>
    </row>
    <row r="443" spans="6:15">
      <c r="F443"/>
      <c r="G443"/>
      <c r="H443"/>
      <c r="I443"/>
      <c r="J443"/>
      <c r="K443"/>
      <c r="L443"/>
      <c r="M443"/>
      <c r="N443"/>
      <c r="O443"/>
    </row>
    <row r="444" spans="6:15">
      <c r="F444"/>
      <c r="G444"/>
      <c r="H444"/>
      <c r="I444"/>
      <c r="J444"/>
      <c r="K444"/>
      <c r="L444"/>
      <c r="M444"/>
      <c r="N444"/>
      <c r="O444"/>
    </row>
    <row r="445" spans="6:15">
      <c r="F445"/>
      <c r="G445"/>
      <c r="H445"/>
      <c r="I445"/>
      <c r="J445"/>
      <c r="K445"/>
      <c r="L445"/>
      <c r="M445"/>
      <c r="N445"/>
      <c r="O445"/>
    </row>
    <row r="446" spans="6:15">
      <c r="F446"/>
      <c r="G446"/>
      <c r="H446"/>
      <c r="I446"/>
      <c r="J446"/>
      <c r="K446"/>
      <c r="L446"/>
      <c r="M446"/>
      <c r="N446"/>
      <c r="O446"/>
    </row>
    <row r="447" spans="6:15">
      <c r="F447"/>
      <c r="G447"/>
      <c r="H447"/>
      <c r="I447"/>
      <c r="J447"/>
      <c r="K447"/>
      <c r="L447"/>
      <c r="M447"/>
      <c r="N447"/>
      <c r="O447"/>
    </row>
    <row r="448" spans="6:15">
      <c r="F448"/>
      <c r="G448"/>
      <c r="H448"/>
      <c r="I448"/>
      <c r="J448"/>
      <c r="K448"/>
      <c r="L448"/>
      <c r="M448"/>
      <c r="N448"/>
      <c r="O448"/>
    </row>
    <row r="449" spans="6:15">
      <c r="F449"/>
      <c r="G449"/>
      <c r="H449"/>
      <c r="I449"/>
      <c r="J449"/>
      <c r="K449"/>
      <c r="L449"/>
      <c r="M449"/>
      <c r="N449"/>
      <c r="O449"/>
    </row>
    <row r="450" spans="6:15">
      <c r="F450"/>
      <c r="G450"/>
      <c r="H450"/>
      <c r="I450"/>
      <c r="J450"/>
      <c r="K450"/>
      <c r="L450"/>
      <c r="M450"/>
      <c r="N450"/>
      <c r="O450"/>
    </row>
    <row r="451" spans="6:15">
      <c r="F451"/>
      <c r="G451"/>
      <c r="H451"/>
      <c r="I451"/>
      <c r="J451"/>
      <c r="K451"/>
      <c r="L451"/>
      <c r="M451"/>
      <c r="N451"/>
      <c r="O451"/>
    </row>
    <row r="452" spans="6:15">
      <c r="F452"/>
      <c r="G452"/>
      <c r="H452"/>
      <c r="I452"/>
      <c r="J452"/>
      <c r="K452"/>
      <c r="L452"/>
      <c r="M452"/>
      <c r="N452"/>
      <c r="O452"/>
    </row>
    <row r="453" spans="6:15">
      <c r="F453"/>
      <c r="G453"/>
      <c r="H453"/>
      <c r="I453"/>
      <c r="J453"/>
      <c r="K453"/>
      <c r="L453"/>
      <c r="M453"/>
      <c r="N453"/>
      <c r="O453"/>
    </row>
    <row r="454" spans="6:15">
      <c r="F454"/>
      <c r="G454"/>
      <c r="H454"/>
      <c r="I454"/>
      <c r="J454"/>
      <c r="K454"/>
      <c r="L454"/>
      <c r="M454"/>
      <c r="N454"/>
      <c r="O454"/>
    </row>
    <row r="455" spans="6:15">
      <c r="F455"/>
      <c r="G455"/>
      <c r="H455"/>
      <c r="I455"/>
      <c r="J455"/>
      <c r="K455"/>
      <c r="L455"/>
      <c r="M455"/>
      <c r="N455"/>
      <c r="O455"/>
    </row>
    <row r="456" spans="6:15">
      <c r="F456"/>
      <c r="G456"/>
      <c r="H456"/>
      <c r="I456"/>
      <c r="J456"/>
      <c r="K456"/>
      <c r="L456"/>
      <c r="M456"/>
      <c r="N456"/>
      <c r="O456"/>
    </row>
    <row r="457" spans="6:15">
      <c r="F457"/>
      <c r="G457"/>
      <c r="H457"/>
      <c r="I457"/>
      <c r="J457"/>
      <c r="K457"/>
      <c r="L457"/>
      <c r="M457"/>
      <c r="N457"/>
      <c r="O457"/>
    </row>
    <row r="458" spans="6:15">
      <c r="F458"/>
      <c r="G458"/>
      <c r="H458"/>
      <c r="I458"/>
      <c r="J458"/>
      <c r="K458"/>
      <c r="L458"/>
      <c r="M458"/>
      <c r="N458"/>
      <c r="O458"/>
    </row>
    <row r="459" spans="6:15">
      <c r="F459"/>
      <c r="G459"/>
      <c r="H459"/>
      <c r="I459"/>
      <c r="J459"/>
      <c r="K459"/>
      <c r="L459"/>
      <c r="M459"/>
      <c r="N459"/>
      <c r="O459"/>
    </row>
    <row r="460" spans="6:15">
      <c r="F460"/>
      <c r="G460"/>
      <c r="H460"/>
      <c r="I460"/>
      <c r="J460"/>
      <c r="K460"/>
      <c r="L460"/>
      <c r="M460"/>
      <c r="N460"/>
      <c r="O460"/>
    </row>
    <row r="461" spans="6:15">
      <c r="F461"/>
      <c r="G461"/>
      <c r="H461"/>
      <c r="I461"/>
      <c r="J461"/>
      <c r="K461"/>
      <c r="L461"/>
      <c r="M461"/>
      <c r="N461"/>
      <c r="O461"/>
    </row>
    <row r="462" spans="6:15">
      <c r="F462"/>
      <c r="G462"/>
      <c r="H462"/>
      <c r="I462"/>
      <c r="J462"/>
      <c r="K462"/>
      <c r="L462"/>
      <c r="M462"/>
      <c r="N462"/>
      <c r="O462"/>
    </row>
    <row r="463" spans="6:15">
      <c r="F463"/>
      <c r="G463"/>
      <c r="H463"/>
      <c r="I463"/>
      <c r="J463"/>
      <c r="K463"/>
      <c r="L463"/>
      <c r="M463"/>
      <c r="N463"/>
      <c r="O463"/>
    </row>
    <row r="464" spans="6:15">
      <c r="F464"/>
      <c r="G464"/>
      <c r="H464"/>
      <c r="I464"/>
      <c r="J464"/>
      <c r="K464"/>
      <c r="L464"/>
      <c r="M464"/>
      <c r="N464"/>
      <c r="O464"/>
    </row>
    <row r="465" spans="6:15">
      <c r="F465"/>
      <c r="G465"/>
      <c r="H465"/>
      <c r="I465"/>
      <c r="J465"/>
      <c r="K465"/>
      <c r="L465"/>
      <c r="M465"/>
      <c r="N465"/>
      <c r="O465"/>
    </row>
    <row r="466" spans="6:15">
      <c r="F466"/>
      <c r="G466"/>
      <c r="H466"/>
      <c r="I466"/>
      <c r="J466"/>
      <c r="K466"/>
      <c r="L466"/>
      <c r="M466"/>
      <c r="N466"/>
      <c r="O466"/>
    </row>
    <row r="467" spans="6:15">
      <c r="F467"/>
      <c r="G467"/>
      <c r="H467"/>
      <c r="I467"/>
      <c r="J467"/>
      <c r="K467"/>
      <c r="L467"/>
      <c r="M467"/>
      <c r="N467"/>
      <c r="O467"/>
    </row>
    <row r="468" spans="6:15">
      <c r="F468"/>
      <c r="G468"/>
      <c r="H468"/>
      <c r="I468"/>
      <c r="J468"/>
      <c r="K468"/>
      <c r="L468"/>
      <c r="M468"/>
      <c r="N468"/>
      <c r="O468"/>
    </row>
    <row r="469" spans="6:15">
      <c r="F469"/>
      <c r="G469"/>
      <c r="H469"/>
      <c r="I469"/>
      <c r="J469"/>
      <c r="K469"/>
      <c r="L469"/>
      <c r="M469"/>
      <c r="N469"/>
      <c r="O469"/>
    </row>
    <row r="470" spans="6:15">
      <c r="F470"/>
      <c r="G470"/>
      <c r="H470"/>
      <c r="I470"/>
      <c r="J470"/>
      <c r="K470"/>
      <c r="L470"/>
      <c r="M470"/>
      <c r="N470"/>
      <c r="O470"/>
    </row>
    <row r="471" spans="6:15">
      <c r="F471"/>
      <c r="G471"/>
      <c r="H471"/>
      <c r="I471"/>
      <c r="J471"/>
      <c r="K471"/>
      <c r="L471"/>
      <c r="M471"/>
      <c r="N471"/>
      <c r="O471"/>
    </row>
    <row r="472" spans="6:15">
      <c r="F472"/>
      <c r="G472"/>
      <c r="H472"/>
      <c r="I472"/>
      <c r="J472"/>
      <c r="K472"/>
      <c r="L472"/>
      <c r="M472"/>
      <c r="N472"/>
      <c r="O472"/>
    </row>
    <row r="473" spans="6:15">
      <c r="F473"/>
      <c r="G473"/>
      <c r="H473"/>
      <c r="I473"/>
      <c r="J473"/>
      <c r="K473"/>
      <c r="L473"/>
      <c r="M473"/>
      <c r="N473"/>
      <c r="O473"/>
    </row>
    <row r="474" spans="6:15">
      <c r="F474"/>
      <c r="G474"/>
      <c r="H474"/>
      <c r="I474"/>
      <c r="J474"/>
      <c r="K474"/>
      <c r="L474"/>
      <c r="M474"/>
      <c r="N474"/>
      <c r="O474"/>
    </row>
    <row r="475" spans="6:15">
      <c r="F475"/>
      <c r="G475"/>
      <c r="H475"/>
      <c r="I475"/>
      <c r="J475"/>
      <c r="K475"/>
      <c r="L475"/>
      <c r="M475"/>
      <c r="N475"/>
      <c r="O475"/>
    </row>
    <row r="476" spans="6:15">
      <c r="F476"/>
      <c r="G476"/>
      <c r="H476"/>
      <c r="I476"/>
      <c r="J476"/>
      <c r="K476"/>
      <c r="L476"/>
      <c r="M476"/>
      <c r="N476"/>
      <c r="O476"/>
    </row>
    <row r="477" spans="6:15">
      <c r="F477"/>
      <c r="G477"/>
      <c r="H477"/>
      <c r="I477"/>
      <c r="J477"/>
      <c r="K477"/>
      <c r="L477"/>
      <c r="M477"/>
      <c r="N477"/>
      <c r="O477"/>
    </row>
    <row r="478" spans="6:15">
      <c r="F478"/>
      <c r="G478"/>
      <c r="H478"/>
      <c r="I478"/>
      <c r="J478"/>
      <c r="K478"/>
      <c r="L478"/>
      <c r="M478"/>
      <c r="N478"/>
      <c r="O478"/>
    </row>
    <row r="479" spans="6:15">
      <c r="F479"/>
      <c r="G479"/>
      <c r="H479"/>
      <c r="I479"/>
      <c r="J479"/>
      <c r="K479"/>
      <c r="L479"/>
      <c r="M479"/>
      <c r="N479"/>
      <c r="O479"/>
    </row>
    <row r="480" spans="6:15">
      <c r="F480"/>
      <c r="G480"/>
      <c r="H480"/>
      <c r="I480"/>
      <c r="J480"/>
      <c r="K480"/>
      <c r="L480"/>
      <c r="M480"/>
      <c r="N480"/>
      <c r="O480"/>
    </row>
    <row r="481" spans="6:15">
      <c r="F481"/>
      <c r="G481"/>
      <c r="H481"/>
      <c r="I481"/>
      <c r="J481"/>
      <c r="K481"/>
      <c r="L481"/>
      <c r="M481"/>
      <c r="N481"/>
      <c r="O481"/>
    </row>
    <row r="482" spans="6:15">
      <c r="F482"/>
      <c r="G482"/>
      <c r="H482"/>
      <c r="I482"/>
      <c r="J482"/>
      <c r="K482"/>
      <c r="L482"/>
      <c r="M482"/>
      <c r="N482"/>
      <c r="O482"/>
    </row>
    <row r="483" spans="6:15">
      <c r="F483"/>
      <c r="G483"/>
      <c r="H483"/>
      <c r="I483"/>
      <c r="J483"/>
      <c r="K483"/>
      <c r="L483"/>
      <c r="M483"/>
      <c r="N483"/>
      <c r="O483"/>
    </row>
    <row r="484" spans="6:15">
      <c r="F484"/>
      <c r="G484"/>
      <c r="H484"/>
      <c r="I484"/>
      <c r="J484"/>
      <c r="K484"/>
      <c r="L484"/>
      <c r="M484"/>
      <c r="N484"/>
      <c r="O484"/>
    </row>
    <row r="485" spans="6:15">
      <c r="F485"/>
      <c r="G485"/>
      <c r="H485"/>
      <c r="I485"/>
      <c r="J485"/>
      <c r="K485"/>
      <c r="L485"/>
      <c r="M485"/>
      <c r="N485"/>
      <c r="O485"/>
    </row>
    <row r="486" spans="6:15">
      <c r="F486"/>
      <c r="G486"/>
      <c r="H486"/>
      <c r="I486"/>
      <c r="J486"/>
      <c r="K486"/>
      <c r="L486"/>
      <c r="M486"/>
      <c r="N486"/>
      <c r="O486"/>
    </row>
    <row r="487" spans="6:15">
      <c r="F487"/>
      <c r="G487"/>
      <c r="H487"/>
      <c r="I487"/>
      <c r="J487"/>
      <c r="K487"/>
      <c r="L487"/>
      <c r="M487"/>
      <c r="N487"/>
      <c r="O487"/>
    </row>
    <row r="488" spans="6:15">
      <c r="F488"/>
      <c r="G488"/>
      <c r="H488"/>
      <c r="I488"/>
      <c r="J488"/>
      <c r="K488"/>
      <c r="L488"/>
      <c r="M488"/>
      <c r="N488"/>
      <c r="O488"/>
    </row>
    <row r="489" spans="6:15">
      <c r="F489"/>
      <c r="G489"/>
      <c r="H489"/>
      <c r="I489"/>
      <c r="J489"/>
      <c r="K489"/>
      <c r="L489"/>
      <c r="M489"/>
      <c r="N489"/>
      <c r="O489"/>
    </row>
    <row r="490" spans="6:15">
      <c r="F490"/>
      <c r="G490"/>
      <c r="H490"/>
      <c r="I490"/>
      <c r="J490"/>
      <c r="K490"/>
      <c r="L490"/>
      <c r="M490"/>
      <c r="N490"/>
      <c r="O490"/>
    </row>
    <row r="491" spans="6:15">
      <c r="F491"/>
      <c r="G491"/>
      <c r="H491"/>
      <c r="I491"/>
      <c r="J491"/>
      <c r="K491"/>
      <c r="L491"/>
      <c r="M491"/>
      <c r="N491"/>
      <c r="O491"/>
    </row>
    <row r="492" spans="6:15">
      <c r="F492"/>
      <c r="G492"/>
      <c r="H492"/>
      <c r="I492"/>
      <c r="J492"/>
      <c r="K492"/>
      <c r="L492"/>
      <c r="M492"/>
      <c r="N492"/>
      <c r="O492"/>
    </row>
    <row r="493" spans="6:15">
      <c r="F493"/>
      <c r="G493"/>
      <c r="H493"/>
      <c r="I493"/>
      <c r="J493"/>
      <c r="K493"/>
      <c r="L493"/>
      <c r="M493"/>
      <c r="N493"/>
      <c r="O493"/>
    </row>
    <row r="494" spans="6:15">
      <c r="F494"/>
      <c r="G494"/>
      <c r="H494"/>
      <c r="I494"/>
      <c r="J494"/>
      <c r="K494"/>
      <c r="L494"/>
      <c r="M494"/>
      <c r="N494"/>
      <c r="O494"/>
    </row>
    <row r="495" spans="6:15">
      <c r="F495"/>
      <c r="G495"/>
      <c r="H495"/>
      <c r="I495"/>
      <c r="J495"/>
      <c r="K495"/>
      <c r="L495"/>
      <c r="M495"/>
      <c r="N495"/>
      <c r="O495"/>
    </row>
    <row r="496" spans="6:15">
      <c r="F496"/>
      <c r="G496"/>
      <c r="H496"/>
      <c r="I496"/>
      <c r="J496"/>
      <c r="K496"/>
      <c r="L496"/>
      <c r="M496"/>
      <c r="N496"/>
      <c r="O496"/>
    </row>
    <row r="497" spans="6:15">
      <c r="F497"/>
      <c r="G497"/>
      <c r="H497"/>
      <c r="I497"/>
      <c r="J497"/>
      <c r="K497"/>
      <c r="L497"/>
      <c r="M497"/>
      <c r="N497"/>
      <c r="O497"/>
    </row>
    <row r="498" spans="6:15">
      <c r="F498"/>
      <c r="G498"/>
      <c r="H498"/>
      <c r="I498"/>
      <c r="J498"/>
      <c r="K498"/>
      <c r="L498"/>
      <c r="M498"/>
      <c r="N498"/>
      <c r="O498"/>
    </row>
    <row r="499" spans="6:15">
      <c r="F499"/>
      <c r="G499"/>
      <c r="H499"/>
      <c r="I499"/>
      <c r="J499"/>
      <c r="K499"/>
      <c r="L499"/>
      <c r="M499"/>
      <c r="N499"/>
      <c r="O499"/>
    </row>
    <row r="500" spans="6:15">
      <c r="F500"/>
      <c r="G500"/>
      <c r="H500"/>
      <c r="I500"/>
      <c r="J500"/>
      <c r="K500"/>
      <c r="L500"/>
      <c r="M500"/>
      <c r="N500"/>
      <c r="O500"/>
    </row>
    <row r="501" spans="6:15">
      <c r="F501"/>
      <c r="G501"/>
      <c r="H501"/>
      <c r="I501"/>
      <c r="J501"/>
      <c r="K501"/>
      <c r="L501"/>
      <c r="M501"/>
      <c r="N501"/>
      <c r="O501"/>
    </row>
    <row r="502" spans="6:15">
      <c r="F502"/>
      <c r="G502"/>
      <c r="H502"/>
      <c r="I502"/>
      <c r="J502"/>
      <c r="K502"/>
      <c r="L502"/>
      <c r="M502"/>
      <c r="N502"/>
      <c r="O502"/>
    </row>
    <row r="503" spans="6:15">
      <c r="F503"/>
      <c r="G503"/>
      <c r="H503"/>
      <c r="I503"/>
      <c r="J503"/>
      <c r="K503"/>
      <c r="L503"/>
      <c r="M503"/>
      <c r="N503"/>
      <c r="O503"/>
    </row>
    <row r="504" spans="6:15">
      <c r="F504"/>
      <c r="G504"/>
      <c r="H504"/>
      <c r="I504"/>
      <c r="J504"/>
      <c r="K504"/>
      <c r="L504"/>
      <c r="M504"/>
      <c r="N504"/>
      <c r="O504"/>
    </row>
    <row r="505" spans="6:15">
      <c r="F505"/>
      <c r="G505"/>
      <c r="H505"/>
      <c r="I505"/>
      <c r="J505"/>
      <c r="K505"/>
      <c r="L505"/>
      <c r="M505"/>
      <c r="N505"/>
      <c r="O505"/>
    </row>
    <row r="506" spans="6:15">
      <c r="F506"/>
      <c r="G506"/>
      <c r="H506"/>
      <c r="I506"/>
      <c r="J506"/>
      <c r="K506"/>
      <c r="L506"/>
      <c r="M506"/>
      <c r="N506"/>
      <c r="O506"/>
    </row>
    <row r="507" spans="6:15">
      <c r="F507"/>
      <c r="G507"/>
      <c r="H507"/>
      <c r="I507"/>
      <c r="J507"/>
      <c r="K507"/>
      <c r="L507"/>
      <c r="M507"/>
      <c r="N507"/>
      <c r="O507"/>
    </row>
    <row r="508" spans="6:15">
      <c r="F508"/>
      <c r="G508"/>
      <c r="H508"/>
      <c r="I508"/>
      <c r="J508"/>
      <c r="K508"/>
      <c r="L508"/>
      <c r="M508"/>
      <c r="N508"/>
      <c r="O508"/>
    </row>
    <row r="509" spans="6:15">
      <c r="F509"/>
      <c r="G509"/>
      <c r="H509"/>
      <c r="I509"/>
      <c r="J509"/>
      <c r="K509"/>
      <c r="L509"/>
      <c r="M509"/>
      <c r="N509"/>
      <c r="O509"/>
    </row>
    <row r="510" spans="6:15">
      <c r="F510"/>
      <c r="G510"/>
      <c r="H510"/>
      <c r="I510"/>
      <c r="J510"/>
      <c r="K510"/>
      <c r="L510"/>
      <c r="M510"/>
      <c r="N510"/>
      <c r="O510"/>
    </row>
    <row r="511" spans="6:15">
      <c r="F511"/>
      <c r="G511"/>
      <c r="H511"/>
      <c r="I511"/>
      <c r="J511"/>
      <c r="K511"/>
      <c r="L511"/>
      <c r="M511"/>
      <c r="N511"/>
      <c r="O511"/>
    </row>
    <row r="512" spans="6:15">
      <c r="F512"/>
      <c r="G512"/>
      <c r="H512"/>
      <c r="I512"/>
      <c r="J512"/>
      <c r="K512"/>
      <c r="L512"/>
      <c r="M512"/>
      <c r="N512"/>
      <c r="O512"/>
    </row>
    <row r="513" spans="6:15">
      <c r="F513"/>
      <c r="G513"/>
      <c r="H513"/>
      <c r="I513"/>
      <c r="J513"/>
      <c r="K513"/>
      <c r="L513"/>
      <c r="M513"/>
      <c r="N513"/>
      <c r="O513"/>
    </row>
    <row r="514" spans="6:15">
      <c r="F514"/>
      <c r="G514"/>
      <c r="H514"/>
      <c r="I514"/>
      <c r="J514"/>
      <c r="K514"/>
      <c r="L514"/>
      <c r="M514"/>
      <c r="N514"/>
      <c r="O514"/>
    </row>
    <row r="515" spans="6:15">
      <c r="F515"/>
      <c r="G515"/>
      <c r="H515"/>
      <c r="I515"/>
      <c r="J515"/>
      <c r="K515"/>
      <c r="L515"/>
      <c r="M515"/>
      <c r="N515"/>
      <c r="O515"/>
    </row>
    <row r="516" spans="6:15">
      <c r="F516"/>
      <c r="G516"/>
      <c r="H516"/>
      <c r="I516"/>
      <c r="J516"/>
      <c r="K516"/>
      <c r="L516"/>
      <c r="M516"/>
      <c r="N516"/>
      <c r="O516"/>
    </row>
    <row r="517" spans="6:15">
      <c r="F517"/>
      <c r="G517"/>
      <c r="H517"/>
      <c r="I517"/>
      <c r="J517"/>
      <c r="K517"/>
      <c r="L517"/>
      <c r="M517"/>
      <c r="N517"/>
      <c r="O517"/>
    </row>
    <row r="518" spans="6:15">
      <c r="F518"/>
      <c r="G518"/>
      <c r="H518"/>
      <c r="I518"/>
      <c r="J518"/>
      <c r="K518"/>
      <c r="L518"/>
      <c r="M518"/>
      <c r="N518"/>
      <c r="O518"/>
    </row>
    <row r="519" spans="6:15">
      <c r="F519"/>
      <c r="G519"/>
      <c r="H519"/>
      <c r="I519"/>
      <c r="J519"/>
      <c r="K519"/>
      <c r="L519"/>
      <c r="M519"/>
      <c r="N519"/>
      <c r="O519"/>
    </row>
    <row r="520" spans="6:15">
      <c r="F520"/>
      <c r="G520"/>
      <c r="H520"/>
      <c r="I520"/>
      <c r="J520"/>
      <c r="K520"/>
      <c r="L520"/>
      <c r="M520"/>
      <c r="N520"/>
      <c r="O520"/>
    </row>
    <row r="521" spans="6:15">
      <c r="F521"/>
      <c r="G521"/>
      <c r="H521"/>
      <c r="I521"/>
      <c r="J521"/>
      <c r="K521"/>
      <c r="L521"/>
      <c r="M521"/>
      <c r="N521"/>
      <c r="O521"/>
    </row>
    <row r="522" spans="6:15">
      <c r="F522"/>
      <c r="G522"/>
      <c r="H522"/>
      <c r="I522"/>
      <c r="J522"/>
      <c r="K522"/>
      <c r="L522"/>
      <c r="M522"/>
      <c r="N522"/>
      <c r="O522"/>
    </row>
    <row r="523" spans="6:15">
      <c r="F523"/>
      <c r="G523"/>
      <c r="H523"/>
      <c r="I523"/>
      <c r="J523"/>
      <c r="K523"/>
      <c r="L523"/>
      <c r="M523"/>
      <c r="N523"/>
      <c r="O523"/>
    </row>
    <row r="524" spans="6:15">
      <c r="F524"/>
      <c r="G524"/>
      <c r="H524"/>
      <c r="I524"/>
      <c r="J524"/>
      <c r="K524"/>
      <c r="L524"/>
      <c r="M524"/>
      <c r="N524"/>
      <c r="O524"/>
    </row>
    <row r="525" spans="6:15">
      <c r="F525"/>
      <c r="G525"/>
      <c r="H525"/>
      <c r="I525"/>
      <c r="J525"/>
      <c r="K525"/>
      <c r="L525"/>
      <c r="M525"/>
      <c r="N525"/>
      <c r="O525"/>
    </row>
    <row r="526" spans="6:15">
      <c r="F526"/>
      <c r="G526"/>
      <c r="H526"/>
      <c r="I526"/>
      <c r="J526"/>
      <c r="K526"/>
      <c r="L526"/>
      <c r="M526"/>
      <c r="N526"/>
      <c r="O526"/>
    </row>
    <row r="527" spans="6:15">
      <c r="F527"/>
      <c r="G527"/>
      <c r="H527"/>
      <c r="I527"/>
      <c r="J527"/>
      <c r="K527"/>
      <c r="L527"/>
      <c r="M527"/>
      <c r="N527"/>
      <c r="O527"/>
    </row>
    <row r="528" spans="6:15">
      <c r="F528"/>
      <c r="G528"/>
      <c r="H528"/>
      <c r="I528"/>
      <c r="J528"/>
      <c r="K528"/>
      <c r="L528"/>
      <c r="M528"/>
      <c r="N528"/>
      <c r="O528"/>
    </row>
    <row r="529" spans="6:15">
      <c r="F529"/>
      <c r="G529"/>
      <c r="H529"/>
      <c r="I529"/>
      <c r="J529"/>
      <c r="K529"/>
      <c r="L529"/>
      <c r="M529"/>
      <c r="N529"/>
      <c r="O529"/>
    </row>
    <row r="530" spans="6:15">
      <c r="F530"/>
      <c r="G530"/>
      <c r="H530"/>
      <c r="I530"/>
      <c r="J530"/>
      <c r="K530"/>
      <c r="L530"/>
      <c r="M530"/>
      <c r="N530"/>
      <c r="O530"/>
    </row>
    <row r="531" spans="6:15">
      <c r="F531"/>
      <c r="G531"/>
      <c r="H531"/>
      <c r="I531"/>
      <c r="J531"/>
      <c r="K531"/>
      <c r="L531"/>
      <c r="M531"/>
      <c r="N531"/>
      <c r="O531"/>
    </row>
    <row r="532" spans="6:15">
      <c r="F532"/>
      <c r="G532"/>
      <c r="H532"/>
      <c r="I532"/>
      <c r="J532"/>
      <c r="K532"/>
      <c r="L532"/>
      <c r="M532"/>
      <c r="N532"/>
      <c r="O532"/>
    </row>
    <row r="533" spans="6:15">
      <c r="F533"/>
      <c r="G533"/>
      <c r="H533"/>
      <c r="I533"/>
      <c r="J533"/>
      <c r="K533"/>
      <c r="L533"/>
      <c r="M533"/>
      <c r="N533"/>
      <c r="O533"/>
    </row>
    <row r="534" spans="6:15">
      <c r="F534"/>
      <c r="G534"/>
      <c r="H534"/>
      <c r="I534"/>
      <c r="J534"/>
      <c r="K534"/>
      <c r="L534"/>
      <c r="M534"/>
      <c r="N534"/>
      <c r="O534"/>
    </row>
    <row r="535" spans="6:15">
      <c r="F535"/>
      <c r="G535"/>
      <c r="H535"/>
      <c r="I535"/>
      <c r="J535"/>
      <c r="K535"/>
      <c r="L535"/>
      <c r="M535"/>
      <c r="N535"/>
      <c r="O535"/>
    </row>
    <row r="536" spans="6:15">
      <c r="F536"/>
      <c r="G536"/>
      <c r="H536"/>
      <c r="I536"/>
      <c r="J536"/>
      <c r="K536"/>
      <c r="L536"/>
      <c r="M536"/>
      <c r="N536"/>
      <c r="O536"/>
    </row>
    <row r="537" spans="6:15">
      <c r="F537"/>
      <c r="G537"/>
      <c r="H537"/>
      <c r="I537"/>
      <c r="J537"/>
      <c r="K537"/>
      <c r="L537"/>
      <c r="M537"/>
      <c r="N537"/>
      <c r="O537"/>
    </row>
    <row r="538" spans="6:15">
      <c r="F538"/>
      <c r="G538"/>
      <c r="H538"/>
      <c r="I538"/>
      <c r="J538"/>
      <c r="K538"/>
      <c r="L538"/>
      <c r="M538"/>
      <c r="N538"/>
      <c r="O538"/>
    </row>
    <row r="539" spans="6:15">
      <c r="F539"/>
      <c r="G539"/>
      <c r="H539"/>
      <c r="I539"/>
      <c r="J539"/>
      <c r="K539"/>
      <c r="L539"/>
      <c r="M539"/>
      <c r="N539"/>
      <c r="O539"/>
    </row>
    <row r="540" spans="6:15">
      <c r="F540"/>
      <c r="G540"/>
      <c r="H540"/>
      <c r="I540"/>
      <c r="J540"/>
      <c r="K540"/>
      <c r="L540"/>
      <c r="M540"/>
      <c r="N540"/>
      <c r="O540"/>
    </row>
    <row r="541" spans="6:15">
      <c r="F541"/>
      <c r="G541"/>
      <c r="H541"/>
      <c r="I541"/>
      <c r="J541"/>
      <c r="K541"/>
      <c r="L541"/>
      <c r="M541"/>
      <c r="N541"/>
      <c r="O541"/>
    </row>
    <row r="542" spans="6:15">
      <c r="F542"/>
      <c r="G542"/>
      <c r="H542"/>
      <c r="I542"/>
      <c r="J542"/>
      <c r="K542"/>
      <c r="L542"/>
      <c r="M542"/>
      <c r="N542"/>
      <c r="O542"/>
    </row>
    <row r="543" spans="6:15">
      <c r="F543"/>
      <c r="G543"/>
      <c r="H543"/>
      <c r="I543"/>
      <c r="J543"/>
      <c r="K543"/>
      <c r="L543"/>
      <c r="M543"/>
      <c r="N543"/>
      <c r="O543"/>
    </row>
    <row r="544" spans="6:15">
      <c r="F544"/>
      <c r="G544"/>
      <c r="H544"/>
      <c r="I544"/>
      <c r="J544"/>
      <c r="K544"/>
      <c r="L544"/>
      <c r="M544"/>
      <c r="N544"/>
      <c r="O544"/>
    </row>
    <row r="545" spans="6:15">
      <c r="F545"/>
      <c r="G545"/>
      <c r="H545"/>
      <c r="I545"/>
      <c r="J545"/>
      <c r="K545"/>
      <c r="L545"/>
      <c r="M545"/>
      <c r="N545"/>
      <c r="O545"/>
    </row>
    <row r="546" spans="6:15">
      <c r="F546"/>
      <c r="G546"/>
      <c r="H546"/>
      <c r="I546"/>
      <c r="J546"/>
      <c r="K546"/>
      <c r="L546"/>
      <c r="M546"/>
      <c r="N546"/>
      <c r="O546"/>
    </row>
    <row r="547" spans="6:15">
      <c r="F547"/>
      <c r="G547"/>
      <c r="H547"/>
      <c r="I547"/>
      <c r="J547"/>
      <c r="K547"/>
      <c r="L547"/>
      <c r="M547"/>
      <c r="N547"/>
      <c r="O547"/>
    </row>
    <row r="548" spans="6:15">
      <c r="F548"/>
      <c r="G548"/>
      <c r="H548"/>
      <c r="I548"/>
      <c r="J548"/>
      <c r="K548"/>
      <c r="L548"/>
      <c r="M548"/>
      <c r="N548"/>
      <c r="O548"/>
    </row>
    <row r="549" spans="6:15">
      <c r="F549"/>
      <c r="G549"/>
      <c r="H549"/>
      <c r="I549"/>
      <c r="J549"/>
      <c r="K549"/>
      <c r="L549"/>
      <c r="M549"/>
      <c r="N549"/>
      <c r="O549"/>
    </row>
    <row r="550" spans="6:15">
      <c r="F550"/>
      <c r="G550"/>
      <c r="H550"/>
      <c r="I550"/>
      <c r="J550"/>
      <c r="K550"/>
      <c r="L550"/>
      <c r="M550"/>
      <c r="N550"/>
      <c r="O550"/>
    </row>
    <row r="551" spans="6:15">
      <c r="F551"/>
      <c r="G551"/>
      <c r="H551"/>
      <c r="I551"/>
      <c r="J551"/>
      <c r="K551"/>
      <c r="L551"/>
      <c r="M551"/>
      <c r="N551"/>
      <c r="O551"/>
    </row>
    <row r="552" spans="6:15">
      <c r="F552"/>
      <c r="G552"/>
      <c r="H552"/>
      <c r="I552"/>
      <c r="J552"/>
      <c r="K552"/>
      <c r="L552"/>
      <c r="M552"/>
      <c r="N552"/>
      <c r="O552"/>
    </row>
    <row r="553" spans="6:15">
      <c r="F553"/>
      <c r="G553"/>
      <c r="H553"/>
      <c r="I553"/>
      <c r="J553"/>
      <c r="K553"/>
      <c r="L553"/>
      <c r="M553"/>
      <c r="N553"/>
      <c r="O553"/>
    </row>
    <row r="554" spans="6:15">
      <c r="F554"/>
      <c r="G554"/>
      <c r="H554"/>
      <c r="I554"/>
      <c r="J554"/>
      <c r="K554"/>
      <c r="L554"/>
      <c r="M554"/>
      <c r="N554"/>
      <c r="O554"/>
    </row>
    <row r="555" spans="6:15">
      <c r="F555"/>
      <c r="G555"/>
      <c r="H555"/>
      <c r="I555"/>
      <c r="J555"/>
      <c r="K555"/>
      <c r="L555"/>
      <c r="M555"/>
      <c r="N555"/>
      <c r="O555"/>
    </row>
    <row r="556" spans="6:15">
      <c r="F556"/>
      <c r="G556"/>
      <c r="H556"/>
      <c r="I556"/>
      <c r="J556"/>
      <c r="K556"/>
      <c r="L556"/>
      <c r="M556"/>
      <c r="N556"/>
      <c r="O556"/>
    </row>
    <row r="557" spans="6:15">
      <c r="F557"/>
      <c r="G557"/>
      <c r="H557"/>
      <c r="I557"/>
      <c r="J557"/>
      <c r="K557"/>
      <c r="L557"/>
      <c r="M557"/>
      <c r="N557"/>
      <c r="O557"/>
    </row>
    <row r="558" spans="6:15">
      <c r="F558"/>
      <c r="G558"/>
      <c r="H558"/>
      <c r="I558"/>
      <c r="J558"/>
      <c r="K558"/>
      <c r="L558"/>
      <c r="M558"/>
      <c r="N558"/>
      <c r="O558"/>
    </row>
    <row r="559" spans="6:15">
      <c r="F559"/>
      <c r="G559"/>
      <c r="H559"/>
      <c r="I559"/>
      <c r="J559"/>
      <c r="K559"/>
      <c r="L559"/>
      <c r="M559"/>
      <c r="N559"/>
      <c r="O559"/>
    </row>
    <row r="560" spans="6:15">
      <c r="F560"/>
      <c r="G560"/>
      <c r="H560"/>
      <c r="I560"/>
      <c r="J560"/>
      <c r="K560"/>
      <c r="L560"/>
      <c r="M560"/>
      <c r="N560"/>
      <c r="O560"/>
    </row>
    <row r="561" spans="6:15">
      <c r="F561"/>
      <c r="G561"/>
      <c r="H561"/>
      <c r="I561"/>
      <c r="J561"/>
      <c r="K561"/>
      <c r="L561"/>
      <c r="M561"/>
      <c r="N561"/>
      <c r="O561"/>
    </row>
    <row r="562" spans="6:15">
      <c r="F562"/>
      <c r="G562"/>
      <c r="H562"/>
      <c r="I562"/>
      <c r="J562"/>
      <c r="K562"/>
      <c r="L562"/>
      <c r="M562"/>
      <c r="N562"/>
      <c r="O562"/>
    </row>
    <row r="563" spans="6:15">
      <c r="F563"/>
      <c r="G563"/>
      <c r="H563"/>
      <c r="I563"/>
      <c r="J563"/>
      <c r="K563"/>
      <c r="L563"/>
      <c r="M563"/>
      <c r="N563"/>
      <c r="O563"/>
    </row>
    <row r="564" spans="6:15">
      <c r="F564"/>
      <c r="G564"/>
      <c r="H564"/>
      <c r="I564"/>
      <c r="J564"/>
      <c r="K564"/>
      <c r="L564"/>
      <c r="M564"/>
      <c r="N564"/>
      <c r="O564"/>
    </row>
    <row r="565" spans="6:15">
      <c r="F565"/>
      <c r="G565"/>
      <c r="H565"/>
      <c r="I565"/>
      <c r="J565"/>
      <c r="K565"/>
      <c r="L565"/>
      <c r="M565"/>
      <c r="N565"/>
      <c r="O565"/>
    </row>
    <row r="566" spans="6:15">
      <c r="F566"/>
      <c r="G566"/>
      <c r="H566"/>
      <c r="I566"/>
      <c r="J566"/>
      <c r="K566"/>
      <c r="L566"/>
      <c r="M566"/>
      <c r="N566"/>
      <c r="O566"/>
    </row>
    <row r="567" spans="6:15">
      <c r="F567"/>
      <c r="G567"/>
      <c r="H567"/>
      <c r="I567"/>
      <c r="J567"/>
      <c r="K567"/>
      <c r="L567"/>
      <c r="M567"/>
      <c r="N567"/>
      <c r="O567"/>
    </row>
    <row r="568" spans="6:15">
      <c r="F568"/>
      <c r="G568"/>
      <c r="H568"/>
      <c r="I568"/>
      <c r="J568"/>
      <c r="K568"/>
      <c r="L568"/>
      <c r="M568"/>
      <c r="N568"/>
      <c r="O568"/>
    </row>
    <row r="569" spans="6:15">
      <c r="F569"/>
      <c r="G569"/>
      <c r="H569"/>
      <c r="I569"/>
      <c r="J569"/>
      <c r="K569"/>
      <c r="L569"/>
      <c r="M569"/>
      <c r="N569"/>
      <c r="O569"/>
    </row>
    <row r="570" spans="6:15">
      <c r="F570"/>
      <c r="G570"/>
      <c r="H570"/>
      <c r="I570"/>
      <c r="J570"/>
      <c r="K570"/>
      <c r="L570"/>
      <c r="M570"/>
      <c r="N570"/>
      <c r="O570"/>
    </row>
    <row r="571" spans="6:15">
      <c r="F571"/>
      <c r="G571"/>
      <c r="H571"/>
      <c r="I571"/>
      <c r="J571"/>
      <c r="K571"/>
      <c r="L571"/>
      <c r="M571"/>
      <c r="N571"/>
      <c r="O571"/>
    </row>
    <row r="572" spans="6:15">
      <c r="F572"/>
      <c r="G572"/>
      <c r="H572"/>
      <c r="I572"/>
      <c r="J572"/>
      <c r="K572"/>
      <c r="L572"/>
      <c r="M572"/>
      <c r="N572"/>
      <c r="O572"/>
    </row>
    <row r="573" spans="6:15">
      <c r="F573"/>
      <c r="G573"/>
      <c r="H573"/>
      <c r="I573"/>
      <c r="J573"/>
      <c r="K573"/>
      <c r="L573"/>
      <c r="M573"/>
      <c r="N573"/>
      <c r="O573"/>
    </row>
    <row r="574" spans="6:15">
      <c r="F574"/>
      <c r="G574"/>
      <c r="H574"/>
      <c r="I574"/>
      <c r="J574"/>
      <c r="K574"/>
      <c r="L574"/>
      <c r="M574"/>
      <c r="N574"/>
      <c r="O574"/>
    </row>
    <row r="575" spans="6:15">
      <c r="F575"/>
      <c r="G575"/>
      <c r="H575"/>
      <c r="I575"/>
      <c r="J575"/>
      <c r="K575"/>
      <c r="L575"/>
      <c r="M575"/>
      <c r="N575"/>
      <c r="O575"/>
    </row>
    <row r="576" spans="6:15">
      <c r="F576"/>
      <c r="G576"/>
      <c r="H576"/>
      <c r="I576"/>
      <c r="J576"/>
      <c r="K576"/>
      <c r="L576"/>
      <c r="M576"/>
      <c r="N576"/>
      <c r="O576"/>
    </row>
    <row r="577" spans="6:15">
      <c r="F577"/>
      <c r="G577"/>
      <c r="H577"/>
      <c r="I577"/>
      <c r="J577"/>
      <c r="K577"/>
      <c r="L577"/>
      <c r="M577"/>
      <c r="N577"/>
      <c r="O577"/>
    </row>
    <row r="578" spans="6:15">
      <c r="F578"/>
      <c r="G578"/>
      <c r="H578"/>
      <c r="I578"/>
      <c r="J578"/>
      <c r="K578"/>
      <c r="L578"/>
      <c r="M578"/>
      <c r="N578"/>
      <c r="O578"/>
    </row>
    <row r="579" spans="6:15">
      <c r="F579"/>
      <c r="G579"/>
      <c r="H579"/>
      <c r="I579"/>
      <c r="J579"/>
      <c r="K579"/>
      <c r="L579"/>
      <c r="M579"/>
      <c r="N579"/>
      <c r="O579"/>
    </row>
    <row r="580" spans="6:15">
      <c r="F580"/>
      <c r="G580"/>
      <c r="H580"/>
      <c r="I580"/>
      <c r="J580"/>
      <c r="K580"/>
      <c r="L580"/>
      <c r="M580"/>
      <c r="N580"/>
      <c r="O580"/>
    </row>
    <row r="581" spans="6:15">
      <c r="F581"/>
      <c r="G581"/>
      <c r="H581"/>
      <c r="I581"/>
      <c r="J581"/>
      <c r="K581"/>
      <c r="L581"/>
      <c r="M581"/>
      <c r="N581"/>
      <c r="O581"/>
    </row>
    <row r="582" spans="6:15">
      <c r="F582"/>
      <c r="G582"/>
      <c r="H582"/>
      <c r="I582"/>
      <c r="J582"/>
      <c r="K582"/>
      <c r="L582"/>
      <c r="M582"/>
      <c r="N582"/>
      <c r="O582"/>
    </row>
    <row r="583" spans="6:15">
      <c r="F583"/>
      <c r="G583"/>
      <c r="H583"/>
      <c r="I583"/>
      <c r="J583"/>
      <c r="K583"/>
      <c r="L583"/>
      <c r="M583"/>
      <c r="N583"/>
      <c r="O583"/>
    </row>
    <row r="584" spans="6:15">
      <c r="F584"/>
      <c r="G584"/>
      <c r="H584"/>
      <c r="I584"/>
      <c r="J584"/>
      <c r="K584"/>
      <c r="L584"/>
      <c r="M584"/>
      <c r="N584"/>
      <c r="O584"/>
    </row>
    <row r="585" spans="6:15">
      <c r="F585"/>
      <c r="G585"/>
      <c r="H585"/>
      <c r="I585"/>
      <c r="J585"/>
      <c r="K585"/>
      <c r="L585"/>
      <c r="M585"/>
      <c r="N585"/>
      <c r="O585"/>
    </row>
    <row r="586" spans="6:15">
      <c r="F586"/>
      <c r="G586"/>
      <c r="H586"/>
      <c r="I586"/>
      <c r="J586"/>
      <c r="K586"/>
      <c r="L586"/>
      <c r="M586"/>
      <c r="N586"/>
      <c r="O586"/>
    </row>
    <row r="587" spans="6:15">
      <c r="F587"/>
      <c r="G587"/>
      <c r="H587"/>
      <c r="I587"/>
      <c r="J587"/>
      <c r="K587"/>
      <c r="L587"/>
      <c r="M587"/>
      <c r="N587"/>
      <c r="O587"/>
    </row>
    <row r="588" spans="6:15">
      <c r="F588"/>
      <c r="G588"/>
      <c r="H588"/>
      <c r="I588"/>
      <c r="J588"/>
      <c r="K588"/>
      <c r="L588"/>
      <c r="M588"/>
      <c r="N588"/>
      <c r="O588"/>
    </row>
    <row r="589" spans="6:15">
      <c r="F589"/>
      <c r="G589"/>
      <c r="H589"/>
      <c r="I589"/>
      <c r="J589"/>
      <c r="K589"/>
      <c r="L589"/>
      <c r="M589"/>
      <c r="N589"/>
      <c r="O589"/>
    </row>
    <row r="590" spans="6:15">
      <c r="F590"/>
      <c r="G590"/>
      <c r="H590"/>
      <c r="I590"/>
      <c r="J590"/>
      <c r="K590"/>
      <c r="L590"/>
      <c r="M590"/>
      <c r="N590"/>
      <c r="O590"/>
    </row>
    <row r="591" spans="6:15">
      <c r="F591"/>
      <c r="G591"/>
      <c r="H591"/>
      <c r="I591"/>
      <c r="J591"/>
      <c r="K591"/>
      <c r="L591"/>
      <c r="M591"/>
      <c r="N591"/>
      <c r="O591"/>
    </row>
    <row r="592" spans="6:15">
      <c r="F592"/>
      <c r="G592"/>
      <c r="H592"/>
      <c r="I592"/>
      <c r="J592"/>
      <c r="K592"/>
      <c r="L592"/>
      <c r="M592"/>
      <c r="N592"/>
      <c r="O592"/>
    </row>
    <row r="593" spans="6:15">
      <c r="F593"/>
      <c r="G593"/>
      <c r="H593"/>
      <c r="I593"/>
      <c r="J593"/>
      <c r="K593"/>
      <c r="L593"/>
      <c r="M593"/>
      <c r="N593"/>
      <c r="O593"/>
    </row>
    <row r="594" spans="6:15">
      <c r="F594"/>
      <c r="G594"/>
      <c r="H594"/>
      <c r="I594"/>
      <c r="J594"/>
      <c r="K594"/>
      <c r="L594"/>
      <c r="M594"/>
      <c r="N594"/>
      <c r="O594"/>
    </row>
    <row r="595" spans="6:15">
      <c r="F595"/>
      <c r="G595"/>
      <c r="H595"/>
      <c r="I595"/>
      <c r="J595"/>
      <c r="K595"/>
      <c r="L595"/>
      <c r="M595"/>
      <c r="N595"/>
      <c r="O595"/>
    </row>
    <row r="596" spans="6:15">
      <c r="F596"/>
      <c r="G596"/>
      <c r="H596"/>
      <c r="I596"/>
      <c r="J596"/>
      <c r="K596"/>
      <c r="L596"/>
      <c r="M596"/>
      <c r="N596"/>
      <c r="O596"/>
    </row>
    <row r="597" spans="6:15">
      <c r="F597"/>
      <c r="G597"/>
      <c r="H597"/>
      <c r="I597"/>
      <c r="J597"/>
      <c r="K597"/>
      <c r="L597"/>
      <c r="M597"/>
      <c r="N597"/>
      <c r="O597"/>
    </row>
    <row r="598" spans="6:15">
      <c r="F598"/>
      <c r="G598"/>
      <c r="H598"/>
      <c r="I598"/>
      <c r="J598"/>
      <c r="K598"/>
      <c r="L598"/>
      <c r="M598"/>
      <c r="N598"/>
      <c r="O598"/>
    </row>
    <row r="599" spans="6:15">
      <c r="F599"/>
      <c r="G599"/>
      <c r="H599"/>
      <c r="I599"/>
      <c r="J599"/>
      <c r="K599"/>
      <c r="L599"/>
      <c r="M599"/>
      <c r="N599"/>
      <c r="O599"/>
    </row>
    <row r="600" spans="6:15">
      <c r="F600"/>
      <c r="G600"/>
      <c r="H600"/>
      <c r="I600"/>
      <c r="J600"/>
      <c r="K600"/>
      <c r="L600"/>
      <c r="M600"/>
      <c r="N600"/>
      <c r="O600"/>
    </row>
    <row r="601" spans="6:15">
      <c r="F601"/>
      <c r="G601"/>
      <c r="H601"/>
      <c r="I601"/>
      <c r="J601"/>
      <c r="K601"/>
      <c r="L601"/>
      <c r="M601"/>
      <c r="N601"/>
      <c r="O601"/>
    </row>
    <row r="602" spans="6:15">
      <c r="F602"/>
      <c r="G602"/>
      <c r="H602"/>
      <c r="I602"/>
      <c r="J602"/>
      <c r="K602"/>
      <c r="L602"/>
      <c r="M602"/>
      <c r="N602"/>
      <c r="O602"/>
    </row>
    <row r="603" spans="6:15">
      <c r="F603"/>
      <c r="G603"/>
      <c r="H603"/>
      <c r="I603"/>
      <c r="J603"/>
      <c r="K603"/>
      <c r="L603"/>
      <c r="M603"/>
      <c r="N603"/>
      <c r="O603"/>
    </row>
    <row r="604" spans="6:15">
      <c r="F604"/>
      <c r="G604"/>
      <c r="H604"/>
      <c r="I604"/>
      <c r="J604"/>
      <c r="K604"/>
      <c r="L604"/>
      <c r="M604"/>
      <c r="N604"/>
      <c r="O604"/>
    </row>
    <row r="605" spans="6:15">
      <c r="F605"/>
      <c r="G605"/>
      <c r="H605"/>
      <c r="I605"/>
      <c r="J605"/>
      <c r="K605"/>
      <c r="L605"/>
      <c r="M605"/>
      <c r="N605"/>
      <c r="O605"/>
    </row>
    <row r="606" spans="6:15">
      <c r="F606"/>
      <c r="G606"/>
      <c r="H606"/>
      <c r="I606"/>
      <c r="J606"/>
      <c r="K606"/>
      <c r="L606"/>
      <c r="M606"/>
      <c r="N606"/>
      <c r="O606"/>
    </row>
    <row r="607" spans="6:15">
      <c r="F607"/>
      <c r="G607"/>
      <c r="H607"/>
      <c r="I607"/>
      <c r="J607"/>
      <c r="K607"/>
      <c r="L607"/>
      <c r="M607"/>
      <c r="N607"/>
      <c r="O607"/>
    </row>
    <row r="608" spans="6:15">
      <c r="F608"/>
      <c r="G608"/>
      <c r="H608"/>
      <c r="I608"/>
      <c r="J608"/>
      <c r="K608"/>
      <c r="L608"/>
      <c r="M608"/>
      <c r="N608"/>
      <c r="O608"/>
    </row>
    <row r="609" spans="6:15">
      <c r="F609"/>
      <c r="G609"/>
      <c r="H609"/>
      <c r="I609"/>
      <c r="J609"/>
      <c r="K609"/>
      <c r="L609"/>
      <c r="M609"/>
      <c r="N609"/>
      <c r="O609"/>
    </row>
    <row r="610" spans="6:15">
      <c r="F610"/>
      <c r="G610"/>
      <c r="H610"/>
      <c r="I610"/>
      <c r="J610"/>
      <c r="K610"/>
      <c r="L610"/>
      <c r="M610"/>
      <c r="N610"/>
      <c r="O610"/>
    </row>
    <row r="611" spans="6:15">
      <c r="F611"/>
      <c r="G611"/>
      <c r="H611"/>
      <c r="I611"/>
      <c r="J611"/>
      <c r="K611"/>
      <c r="L611"/>
      <c r="M611"/>
      <c r="N611"/>
      <c r="O611"/>
    </row>
    <row r="612" spans="6:15">
      <c r="F612"/>
      <c r="G612"/>
      <c r="H612"/>
      <c r="I612"/>
      <c r="J612"/>
      <c r="K612"/>
      <c r="L612"/>
      <c r="M612"/>
      <c r="N612"/>
      <c r="O612"/>
    </row>
    <row r="613" spans="6:15">
      <c r="F613"/>
      <c r="G613"/>
      <c r="H613"/>
      <c r="I613"/>
      <c r="J613"/>
      <c r="K613"/>
      <c r="L613"/>
      <c r="M613"/>
      <c r="N613"/>
      <c r="O613"/>
    </row>
    <row r="614" spans="6:15">
      <c r="F614"/>
      <c r="G614"/>
      <c r="H614"/>
      <c r="I614"/>
      <c r="J614"/>
      <c r="K614"/>
      <c r="L614"/>
      <c r="M614"/>
      <c r="N614"/>
      <c r="O614"/>
    </row>
    <row r="615" spans="6:15">
      <c r="F615"/>
      <c r="G615"/>
      <c r="H615"/>
      <c r="I615"/>
      <c r="J615"/>
      <c r="K615"/>
      <c r="L615"/>
      <c r="M615"/>
      <c r="N615"/>
      <c r="O615"/>
    </row>
    <row r="616" spans="6:15">
      <c r="F616"/>
      <c r="G616"/>
      <c r="H616"/>
      <c r="I616"/>
      <c r="J616"/>
      <c r="K616"/>
      <c r="L616"/>
      <c r="M616"/>
      <c r="N616"/>
      <c r="O616"/>
    </row>
    <row r="617" spans="6:15">
      <c r="F617"/>
      <c r="G617"/>
      <c r="H617"/>
      <c r="I617"/>
      <c r="J617"/>
      <c r="K617"/>
      <c r="L617"/>
      <c r="M617"/>
      <c r="N617"/>
      <c r="O617"/>
    </row>
    <row r="618" spans="6:15">
      <c r="F618"/>
      <c r="G618"/>
      <c r="H618"/>
      <c r="I618"/>
      <c r="J618"/>
      <c r="K618"/>
      <c r="L618"/>
      <c r="M618"/>
      <c r="N618"/>
      <c r="O618"/>
    </row>
    <row r="619" spans="6:15">
      <c r="F619"/>
      <c r="G619"/>
      <c r="H619"/>
      <c r="I619"/>
      <c r="J619"/>
      <c r="K619"/>
      <c r="L619"/>
      <c r="M619"/>
      <c r="N619"/>
      <c r="O619"/>
    </row>
    <row r="620" spans="6:15">
      <c r="F620"/>
      <c r="G620"/>
      <c r="H620"/>
      <c r="I620"/>
      <c r="J620"/>
      <c r="K620"/>
      <c r="L620"/>
      <c r="M620"/>
      <c r="N620"/>
      <c r="O620"/>
    </row>
    <row r="621" spans="6:15">
      <c r="F621"/>
      <c r="G621"/>
      <c r="H621"/>
      <c r="I621"/>
      <c r="J621"/>
      <c r="K621"/>
      <c r="L621"/>
      <c r="M621"/>
      <c r="N621"/>
      <c r="O621"/>
    </row>
    <row r="622" spans="6:15">
      <c r="F622"/>
      <c r="G622"/>
      <c r="H622"/>
      <c r="I622"/>
      <c r="J622"/>
      <c r="K622"/>
      <c r="L622"/>
      <c r="M622"/>
      <c r="N622"/>
      <c r="O622"/>
    </row>
    <row r="623" spans="6:15">
      <c r="F623"/>
      <c r="G623"/>
      <c r="H623"/>
      <c r="I623"/>
      <c r="J623"/>
      <c r="K623"/>
      <c r="L623"/>
      <c r="M623"/>
      <c r="N623"/>
      <c r="O623"/>
    </row>
    <row r="624" spans="6:15">
      <c r="F624"/>
      <c r="G624"/>
      <c r="H624"/>
      <c r="I624"/>
      <c r="J624"/>
      <c r="K624"/>
      <c r="L624"/>
      <c r="M624"/>
      <c r="N624"/>
      <c r="O624"/>
    </row>
    <row r="625" spans="6:15">
      <c r="F625"/>
      <c r="G625"/>
      <c r="H625"/>
      <c r="I625"/>
      <c r="J625"/>
      <c r="K625"/>
      <c r="L625"/>
      <c r="M625"/>
      <c r="N625"/>
      <c r="O625"/>
    </row>
    <row r="626" spans="6:15">
      <c r="F626"/>
      <c r="G626"/>
      <c r="H626"/>
      <c r="I626"/>
      <c r="J626"/>
      <c r="K626"/>
      <c r="L626"/>
      <c r="M626"/>
      <c r="N626"/>
      <c r="O626"/>
    </row>
    <row r="627" spans="6:15">
      <c r="F627"/>
      <c r="G627"/>
      <c r="H627"/>
      <c r="I627"/>
      <c r="J627"/>
      <c r="K627"/>
      <c r="L627"/>
      <c r="M627"/>
      <c r="N627"/>
      <c r="O627"/>
    </row>
    <row r="628" spans="6:15">
      <c r="F628"/>
      <c r="G628"/>
      <c r="H628"/>
      <c r="I628"/>
      <c r="J628"/>
      <c r="K628"/>
      <c r="L628"/>
      <c r="M628"/>
      <c r="N628"/>
      <c r="O628"/>
    </row>
    <row r="629" spans="6:15">
      <c r="F629"/>
      <c r="G629"/>
      <c r="H629"/>
      <c r="I629"/>
      <c r="J629"/>
      <c r="K629"/>
      <c r="L629"/>
      <c r="M629"/>
      <c r="N629"/>
      <c r="O629"/>
    </row>
    <row r="630" spans="6:15">
      <c r="F630"/>
      <c r="G630"/>
      <c r="H630"/>
      <c r="I630"/>
      <c r="J630"/>
      <c r="K630"/>
      <c r="L630"/>
      <c r="M630"/>
      <c r="N630"/>
      <c r="O630"/>
    </row>
    <row r="631" spans="6:15">
      <c r="F631"/>
      <c r="G631"/>
      <c r="H631"/>
      <c r="I631"/>
      <c r="J631"/>
      <c r="K631"/>
      <c r="L631"/>
      <c r="M631"/>
      <c r="N631"/>
      <c r="O631"/>
    </row>
    <row r="632" spans="6:15">
      <c r="F632"/>
      <c r="G632"/>
      <c r="H632"/>
      <c r="I632"/>
      <c r="J632"/>
      <c r="K632"/>
      <c r="L632"/>
      <c r="M632"/>
      <c r="N632"/>
      <c r="O632"/>
    </row>
    <row r="633" spans="6:15">
      <c r="F633"/>
      <c r="G633"/>
      <c r="H633"/>
      <c r="I633"/>
      <c r="J633"/>
      <c r="K633"/>
      <c r="L633"/>
      <c r="M633"/>
      <c r="N633"/>
      <c r="O633"/>
    </row>
    <row r="634" spans="6:15">
      <c r="F634"/>
      <c r="G634"/>
      <c r="H634"/>
      <c r="I634"/>
      <c r="J634"/>
      <c r="K634"/>
      <c r="L634"/>
      <c r="M634"/>
      <c r="N634"/>
      <c r="O634"/>
    </row>
    <row r="635" spans="6:15">
      <c r="F635"/>
      <c r="G635"/>
      <c r="H635"/>
      <c r="I635"/>
      <c r="J635"/>
      <c r="K635"/>
      <c r="L635"/>
      <c r="M635"/>
      <c r="N635"/>
      <c r="O635"/>
    </row>
    <row r="636" spans="6:15">
      <c r="F636"/>
      <c r="G636"/>
      <c r="H636"/>
      <c r="I636"/>
      <c r="J636"/>
      <c r="K636"/>
      <c r="L636"/>
      <c r="M636"/>
      <c r="N636"/>
      <c r="O636"/>
    </row>
    <row r="637" spans="6:15">
      <c r="F637"/>
      <c r="G637"/>
      <c r="H637"/>
      <c r="I637"/>
      <c r="J637"/>
      <c r="K637"/>
      <c r="L637"/>
      <c r="M637"/>
      <c r="N637"/>
      <c r="O637"/>
    </row>
    <row r="638" spans="6:15">
      <c r="F638"/>
      <c r="G638"/>
      <c r="H638"/>
      <c r="I638"/>
      <c r="J638"/>
      <c r="K638"/>
      <c r="L638"/>
      <c r="M638"/>
      <c r="N638"/>
      <c r="O638"/>
    </row>
    <row r="639" spans="6:15">
      <c r="F639"/>
      <c r="G639"/>
      <c r="H639"/>
      <c r="I639"/>
      <c r="J639"/>
      <c r="K639"/>
      <c r="L639"/>
      <c r="M639"/>
      <c r="N639"/>
      <c r="O639"/>
    </row>
    <row r="640" spans="6:15">
      <c r="F640"/>
      <c r="G640"/>
      <c r="H640"/>
      <c r="I640"/>
      <c r="J640"/>
      <c r="K640"/>
      <c r="L640"/>
      <c r="M640"/>
      <c r="N640"/>
      <c r="O640"/>
    </row>
    <row r="641" spans="6:15">
      <c r="F641"/>
      <c r="G641"/>
      <c r="H641"/>
      <c r="I641"/>
      <c r="J641"/>
      <c r="K641"/>
      <c r="L641"/>
      <c r="M641"/>
      <c r="N641"/>
      <c r="O641"/>
    </row>
    <row r="642" spans="6:15">
      <c r="F642"/>
      <c r="G642"/>
      <c r="H642"/>
      <c r="I642"/>
      <c r="J642"/>
      <c r="K642"/>
      <c r="L642"/>
      <c r="M642"/>
      <c r="N642"/>
      <c r="O642"/>
    </row>
    <row r="643" spans="6:15">
      <c r="F643"/>
      <c r="G643"/>
      <c r="H643"/>
      <c r="I643"/>
      <c r="J643"/>
      <c r="K643"/>
      <c r="L643"/>
      <c r="M643"/>
      <c r="N643"/>
      <c r="O643"/>
    </row>
    <row r="644" spans="6:15">
      <c r="F644"/>
      <c r="G644"/>
      <c r="H644"/>
      <c r="I644"/>
      <c r="J644"/>
      <c r="K644"/>
      <c r="L644"/>
      <c r="M644"/>
      <c r="N644"/>
      <c r="O644"/>
    </row>
    <row r="645" spans="6:15">
      <c r="F645"/>
      <c r="G645"/>
      <c r="H645"/>
      <c r="I645"/>
      <c r="J645"/>
      <c r="K645"/>
      <c r="L645"/>
      <c r="M645"/>
      <c r="N645"/>
      <c r="O645"/>
    </row>
    <row r="646" spans="6:15">
      <c r="F646"/>
      <c r="G646"/>
      <c r="H646"/>
      <c r="I646"/>
      <c r="J646"/>
      <c r="K646"/>
      <c r="L646"/>
      <c r="M646"/>
      <c r="N646"/>
      <c r="O646"/>
    </row>
    <row r="647" spans="6:15">
      <c r="F647"/>
      <c r="G647"/>
      <c r="H647"/>
      <c r="I647"/>
      <c r="J647"/>
      <c r="K647"/>
      <c r="L647"/>
      <c r="M647"/>
      <c r="N647"/>
      <c r="O647"/>
    </row>
    <row r="648" spans="6:15">
      <c r="F648"/>
      <c r="G648"/>
      <c r="H648"/>
      <c r="I648"/>
      <c r="J648"/>
      <c r="K648"/>
      <c r="L648"/>
      <c r="M648"/>
      <c r="N648"/>
      <c r="O648"/>
    </row>
    <row r="649" spans="6:15">
      <c r="F649"/>
      <c r="G649"/>
      <c r="H649"/>
      <c r="I649"/>
      <c r="J649"/>
      <c r="K649"/>
      <c r="L649"/>
      <c r="M649"/>
      <c r="N649"/>
      <c r="O649"/>
    </row>
    <row r="650" spans="6:15">
      <c r="F650"/>
      <c r="G650"/>
      <c r="H650"/>
      <c r="I650"/>
      <c r="J650"/>
      <c r="K650"/>
      <c r="L650"/>
      <c r="M650"/>
      <c r="N650"/>
      <c r="O650"/>
    </row>
    <row r="651" spans="6:15">
      <c r="F651"/>
      <c r="G651"/>
      <c r="H651"/>
      <c r="I651"/>
      <c r="J651"/>
      <c r="K651"/>
      <c r="L651"/>
      <c r="M651"/>
      <c r="N651"/>
      <c r="O651"/>
    </row>
    <row r="652" spans="6:15">
      <c r="F652"/>
      <c r="G652"/>
      <c r="H652"/>
      <c r="I652"/>
      <c r="J652"/>
      <c r="K652"/>
      <c r="L652"/>
      <c r="M652"/>
      <c r="N652"/>
      <c r="O652"/>
    </row>
    <row r="653" spans="6:15">
      <c r="F653"/>
      <c r="G653"/>
      <c r="H653"/>
      <c r="I653"/>
      <c r="J653"/>
      <c r="K653"/>
      <c r="L653"/>
      <c r="M653"/>
      <c r="N653"/>
      <c r="O653"/>
    </row>
    <row r="654" spans="6:15">
      <c r="F654"/>
      <c r="G654"/>
      <c r="H654"/>
      <c r="I654"/>
      <c r="J654"/>
      <c r="K654"/>
      <c r="L654"/>
      <c r="M654"/>
      <c r="N654"/>
      <c r="O654"/>
    </row>
    <row r="655" spans="6:15">
      <c r="F655"/>
      <c r="G655"/>
      <c r="H655"/>
      <c r="I655"/>
      <c r="J655"/>
      <c r="K655"/>
      <c r="L655"/>
      <c r="M655"/>
      <c r="N655"/>
      <c r="O655"/>
    </row>
    <row r="656" spans="6:15">
      <c r="F656"/>
      <c r="G656"/>
      <c r="H656"/>
      <c r="I656"/>
      <c r="J656"/>
      <c r="K656"/>
      <c r="L656"/>
      <c r="M656"/>
      <c r="N656"/>
      <c r="O656"/>
    </row>
    <row r="657" spans="6:15">
      <c r="F657"/>
      <c r="G657"/>
      <c r="H657"/>
      <c r="I657"/>
      <c r="J657"/>
      <c r="K657"/>
      <c r="L657"/>
      <c r="M657"/>
      <c r="N657"/>
      <c r="O657"/>
    </row>
    <row r="658" spans="6:15">
      <c r="F658"/>
      <c r="G658"/>
      <c r="H658"/>
      <c r="I658"/>
      <c r="J658"/>
      <c r="K658"/>
      <c r="L658"/>
      <c r="M658"/>
      <c r="N658"/>
      <c r="O658"/>
    </row>
    <row r="659" spans="6:15">
      <c r="F659"/>
      <c r="G659"/>
      <c r="H659"/>
      <c r="I659"/>
      <c r="J659"/>
      <c r="K659"/>
      <c r="L659"/>
      <c r="M659"/>
      <c r="N659"/>
      <c r="O659"/>
    </row>
    <row r="660" spans="6:15">
      <c r="F660"/>
      <c r="G660"/>
      <c r="H660"/>
      <c r="I660"/>
      <c r="J660"/>
      <c r="K660"/>
      <c r="L660"/>
      <c r="M660"/>
      <c r="N660"/>
      <c r="O660"/>
    </row>
    <row r="661" spans="6:15">
      <c r="F661"/>
      <c r="G661"/>
      <c r="H661"/>
      <c r="I661"/>
      <c r="J661"/>
      <c r="K661"/>
      <c r="L661"/>
      <c r="M661"/>
      <c r="N661"/>
      <c r="O661"/>
    </row>
    <row r="662" spans="6:15">
      <c r="F662"/>
      <c r="G662"/>
      <c r="H662"/>
      <c r="I662"/>
      <c r="J662"/>
      <c r="K662"/>
      <c r="L662"/>
      <c r="M662"/>
      <c r="N662"/>
      <c r="O662"/>
    </row>
    <row r="663" spans="6:15">
      <c r="F663"/>
      <c r="G663"/>
      <c r="H663"/>
      <c r="I663"/>
      <c r="J663"/>
      <c r="K663"/>
      <c r="L663"/>
      <c r="M663"/>
      <c r="N663"/>
      <c r="O663"/>
    </row>
    <row r="664" spans="6:15">
      <c r="F664"/>
      <c r="G664"/>
      <c r="H664"/>
      <c r="I664"/>
      <c r="J664"/>
      <c r="K664"/>
      <c r="L664"/>
      <c r="M664"/>
      <c r="N664"/>
      <c r="O664"/>
    </row>
    <row r="665" spans="6:15">
      <c r="F665"/>
      <c r="G665"/>
      <c r="H665"/>
      <c r="I665"/>
      <c r="J665"/>
      <c r="K665"/>
      <c r="L665"/>
      <c r="M665"/>
      <c r="N665"/>
      <c r="O665"/>
    </row>
    <row r="666" spans="6:15">
      <c r="F666"/>
      <c r="G666"/>
      <c r="H666"/>
      <c r="I666"/>
      <c r="J666"/>
      <c r="K666"/>
      <c r="L666"/>
      <c r="M666"/>
      <c r="N666"/>
      <c r="O666"/>
    </row>
    <row r="667" spans="6:15">
      <c r="F667"/>
      <c r="G667"/>
      <c r="H667"/>
      <c r="I667"/>
      <c r="J667"/>
      <c r="K667"/>
      <c r="L667"/>
      <c r="M667"/>
      <c r="N667"/>
      <c r="O667"/>
    </row>
    <row r="668" spans="6:15">
      <c r="F668"/>
      <c r="G668"/>
      <c r="H668"/>
      <c r="I668"/>
      <c r="J668"/>
      <c r="K668"/>
      <c r="L668"/>
      <c r="M668"/>
      <c r="N668"/>
      <c r="O668"/>
    </row>
    <row r="669" spans="6:15">
      <c r="F669"/>
      <c r="G669"/>
      <c r="H669"/>
      <c r="I669"/>
      <c r="J669"/>
      <c r="K669"/>
      <c r="L669"/>
      <c r="M669"/>
      <c r="N669"/>
      <c r="O669"/>
    </row>
    <row r="670" spans="6:15">
      <c r="F670"/>
      <c r="G670"/>
      <c r="H670"/>
      <c r="I670"/>
      <c r="J670"/>
      <c r="K670"/>
      <c r="L670"/>
      <c r="M670"/>
      <c r="N670"/>
      <c r="O670"/>
    </row>
    <row r="671" spans="6:15">
      <c r="F671"/>
      <c r="G671"/>
      <c r="H671"/>
      <c r="I671"/>
      <c r="J671"/>
      <c r="K671"/>
      <c r="L671"/>
      <c r="M671"/>
      <c r="N671"/>
      <c r="O671"/>
    </row>
    <row r="672" spans="6:15">
      <c r="F672"/>
      <c r="G672"/>
      <c r="H672"/>
      <c r="I672"/>
      <c r="J672"/>
      <c r="K672"/>
      <c r="L672"/>
      <c r="M672"/>
      <c r="N672"/>
      <c r="O672"/>
    </row>
    <row r="673" spans="6:15">
      <c r="F673"/>
      <c r="G673"/>
      <c r="H673"/>
      <c r="I673"/>
      <c r="J673"/>
      <c r="K673"/>
      <c r="L673"/>
      <c r="M673"/>
      <c r="N673"/>
      <c r="O673"/>
    </row>
    <row r="674" spans="6:15">
      <c r="F674"/>
      <c r="G674"/>
      <c r="H674"/>
      <c r="I674"/>
      <c r="J674"/>
      <c r="K674"/>
      <c r="L674"/>
      <c r="M674"/>
      <c r="N674"/>
      <c r="O674"/>
    </row>
    <row r="675" spans="6:15">
      <c r="F675"/>
      <c r="G675"/>
      <c r="H675"/>
      <c r="I675"/>
      <c r="J675"/>
      <c r="K675"/>
      <c r="L675"/>
      <c r="M675"/>
      <c r="N675"/>
      <c r="O675"/>
    </row>
    <row r="676" spans="6:15">
      <c r="F676"/>
      <c r="G676"/>
      <c r="H676"/>
      <c r="I676"/>
      <c r="J676"/>
      <c r="K676"/>
      <c r="L676"/>
      <c r="M676"/>
      <c r="N676"/>
      <c r="O676"/>
    </row>
    <row r="677" spans="6:15">
      <c r="F677"/>
      <c r="G677"/>
      <c r="H677"/>
      <c r="I677"/>
      <c r="J677"/>
      <c r="K677"/>
      <c r="L677"/>
      <c r="M677"/>
      <c r="N677"/>
      <c r="O677"/>
    </row>
    <row r="678" spans="6:15">
      <c r="F678"/>
      <c r="G678"/>
      <c r="H678"/>
      <c r="I678"/>
      <c r="J678"/>
      <c r="K678"/>
      <c r="L678"/>
      <c r="M678"/>
      <c r="N678"/>
      <c r="O678"/>
    </row>
    <row r="679" spans="6:15">
      <c r="F679"/>
      <c r="G679"/>
      <c r="H679"/>
      <c r="I679"/>
      <c r="J679"/>
      <c r="K679"/>
      <c r="L679"/>
      <c r="M679"/>
      <c r="N679"/>
      <c r="O679"/>
    </row>
    <row r="680" spans="6:15">
      <c r="F680"/>
      <c r="G680"/>
      <c r="H680"/>
      <c r="I680"/>
      <c r="J680"/>
      <c r="K680"/>
      <c r="L680"/>
      <c r="M680"/>
      <c r="N680"/>
      <c r="O680"/>
    </row>
    <row r="681" spans="6:15">
      <c r="F681"/>
      <c r="G681"/>
      <c r="H681"/>
      <c r="I681"/>
      <c r="J681"/>
      <c r="K681"/>
      <c r="L681"/>
      <c r="M681"/>
      <c r="N681"/>
      <c r="O681"/>
    </row>
    <row r="682" spans="6:15">
      <c r="F682"/>
      <c r="G682"/>
      <c r="H682"/>
      <c r="I682"/>
      <c r="J682"/>
      <c r="K682"/>
      <c r="L682"/>
      <c r="M682"/>
      <c r="N682"/>
      <c r="O682"/>
    </row>
    <row r="683" spans="6:15">
      <c r="F683"/>
      <c r="G683"/>
      <c r="H683"/>
      <c r="I683"/>
      <c r="J683"/>
      <c r="K683"/>
      <c r="L683"/>
      <c r="M683"/>
      <c r="N683"/>
      <c r="O683"/>
    </row>
    <row r="684" spans="6:15">
      <c r="F684"/>
      <c r="G684"/>
      <c r="H684"/>
      <c r="I684"/>
      <c r="J684"/>
      <c r="K684"/>
      <c r="L684"/>
      <c r="M684"/>
      <c r="N684"/>
      <c r="O684"/>
    </row>
    <row r="685" spans="6:15">
      <c r="F685"/>
      <c r="G685"/>
      <c r="H685"/>
      <c r="I685"/>
      <c r="J685"/>
      <c r="K685"/>
      <c r="L685"/>
      <c r="M685"/>
      <c r="N685"/>
      <c r="O685"/>
    </row>
    <row r="686" spans="6:15">
      <c r="F686"/>
      <c r="G686"/>
      <c r="H686"/>
      <c r="I686"/>
      <c r="J686"/>
      <c r="K686"/>
      <c r="L686"/>
      <c r="M686"/>
      <c r="N686"/>
      <c r="O686"/>
    </row>
    <row r="687" spans="6:15">
      <c r="F687"/>
      <c r="G687"/>
      <c r="H687"/>
      <c r="I687"/>
      <c r="J687"/>
      <c r="K687"/>
      <c r="L687"/>
      <c r="M687"/>
      <c r="N687"/>
      <c r="O687"/>
    </row>
    <row r="688" spans="6:15">
      <c r="F688"/>
      <c r="G688"/>
      <c r="H688"/>
      <c r="I688"/>
      <c r="J688"/>
      <c r="K688"/>
      <c r="L688"/>
      <c r="M688"/>
      <c r="N688"/>
      <c r="O688"/>
    </row>
    <row r="689" spans="6:15">
      <c r="F689"/>
      <c r="G689"/>
      <c r="H689"/>
      <c r="I689"/>
      <c r="J689"/>
      <c r="K689"/>
      <c r="L689"/>
      <c r="M689"/>
      <c r="N689"/>
      <c r="O689"/>
    </row>
    <row r="690" spans="6:15">
      <c r="F690"/>
      <c r="G690"/>
      <c r="H690"/>
      <c r="I690"/>
      <c r="J690"/>
      <c r="K690"/>
      <c r="L690"/>
      <c r="M690"/>
      <c r="N690"/>
      <c r="O690"/>
    </row>
    <row r="691" spans="6:15">
      <c r="F691"/>
      <c r="G691"/>
      <c r="H691"/>
      <c r="I691"/>
      <c r="J691"/>
      <c r="K691"/>
      <c r="L691"/>
      <c r="M691"/>
      <c r="N691"/>
      <c r="O691"/>
    </row>
    <row r="692" spans="6:15">
      <c r="F692"/>
      <c r="G692"/>
      <c r="H692"/>
      <c r="I692"/>
      <c r="J692"/>
      <c r="K692"/>
      <c r="L692"/>
      <c r="M692"/>
      <c r="N692"/>
      <c r="O692"/>
    </row>
    <row r="693" spans="6:15">
      <c r="F693"/>
      <c r="G693"/>
      <c r="H693"/>
      <c r="I693"/>
      <c r="J693"/>
      <c r="K693"/>
      <c r="L693"/>
      <c r="M693"/>
      <c r="N693"/>
      <c r="O693"/>
    </row>
    <row r="694" spans="6:15">
      <c r="F694"/>
      <c r="G694"/>
      <c r="H694"/>
      <c r="I694"/>
      <c r="J694"/>
      <c r="K694"/>
      <c r="L694"/>
      <c r="M694"/>
      <c r="N694"/>
      <c r="O694"/>
    </row>
    <row r="695" spans="6:15">
      <c r="F695"/>
      <c r="G695"/>
      <c r="H695"/>
      <c r="I695"/>
      <c r="J695"/>
      <c r="K695"/>
      <c r="L695"/>
      <c r="M695"/>
      <c r="N695"/>
      <c r="O695"/>
    </row>
    <row r="696" spans="6:15">
      <c r="F696"/>
      <c r="G696"/>
      <c r="H696"/>
      <c r="I696"/>
      <c r="J696"/>
      <c r="K696"/>
      <c r="L696"/>
      <c r="M696"/>
      <c r="N696"/>
      <c r="O696"/>
    </row>
    <row r="697" spans="6:15">
      <c r="F697"/>
      <c r="G697"/>
      <c r="H697"/>
      <c r="I697"/>
      <c r="J697"/>
      <c r="K697"/>
      <c r="L697"/>
      <c r="M697"/>
      <c r="N697"/>
      <c r="O697"/>
    </row>
    <row r="698" spans="6:15">
      <c r="F698"/>
      <c r="G698"/>
      <c r="H698"/>
      <c r="I698"/>
      <c r="J698"/>
      <c r="K698"/>
      <c r="L698"/>
      <c r="M698"/>
      <c r="N698"/>
      <c r="O698"/>
    </row>
    <row r="699" spans="6:15">
      <c r="F699"/>
      <c r="G699"/>
      <c r="H699"/>
      <c r="I699"/>
      <c r="J699"/>
      <c r="K699"/>
      <c r="L699"/>
      <c r="M699"/>
      <c r="N699"/>
      <c r="O699"/>
    </row>
    <row r="700" spans="6:15">
      <c r="F700"/>
      <c r="G700"/>
      <c r="H700"/>
      <c r="I700"/>
      <c r="J700"/>
      <c r="K700"/>
      <c r="L700"/>
      <c r="M700"/>
      <c r="N700"/>
      <c r="O700"/>
    </row>
    <row r="701" spans="6:15">
      <c r="F701"/>
      <c r="G701"/>
      <c r="H701"/>
      <c r="I701"/>
      <c r="J701"/>
      <c r="K701"/>
      <c r="L701"/>
      <c r="M701"/>
      <c r="N701"/>
      <c r="O701"/>
    </row>
    <row r="702" spans="6:15">
      <c r="F702"/>
      <c r="G702"/>
      <c r="H702"/>
      <c r="I702"/>
      <c r="J702"/>
      <c r="K702"/>
      <c r="L702"/>
      <c r="M702"/>
      <c r="N702"/>
      <c r="O702"/>
    </row>
    <row r="703" spans="6:15">
      <c r="F703"/>
      <c r="G703"/>
      <c r="H703"/>
      <c r="I703"/>
      <c r="J703"/>
      <c r="K703"/>
      <c r="L703"/>
      <c r="M703"/>
      <c r="N703"/>
      <c r="O703"/>
    </row>
    <row r="704" spans="6:15">
      <c r="F704"/>
      <c r="G704"/>
      <c r="H704"/>
      <c r="I704"/>
      <c r="J704"/>
      <c r="K704"/>
      <c r="L704"/>
      <c r="M704"/>
      <c r="N704"/>
      <c r="O704"/>
    </row>
    <row r="705" spans="6:15">
      <c r="F705"/>
      <c r="G705"/>
      <c r="H705"/>
      <c r="I705"/>
      <c r="J705"/>
      <c r="K705"/>
      <c r="L705"/>
      <c r="M705"/>
      <c r="N705"/>
      <c r="O705"/>
    </row>
    <row r="706" spans="6:15">
      <c r="F706"/>
      <c r="G706"/>
      <c r="H706"/>
      <c r="I706"/>
      <c r="J706"/>
      <c r="K706"/>
      <c r="L706"/>
      <c r="M706"/>
      <c r="N706"/>
      <c r="O706"/>
    </row>
    <row r="707" spans="6:15">
      <c r="F707"/>
      <c r="G707"/>
      <c r="H707"/>
      <c r="I707"/>
      <c r="J707"/>
      <c r="K707"/>
      <c r="L707"/>
      <c r="M707"/>
      <c r="N707"/>
      <c r="O707"/>
    </row>
    <row r="708" spans="6:15">
      <c r="F708"/>
      <c r="G708"/>
      <c r="H708"/>
      <c r="I708"/>
      <c r="J708"/>
      <c r="K708"/>
      <c r="L708"/>
      <c r="M708"/>
      <c r="N708"/>
      <c r="O708"/>
    </row>
    <row r="709" spans="6:15">
      <c r="F709"/>
      <c r="G709"/>
      <c r="H709"/>
      <c r="I709"/>
      <c r="J709"/>
      <c r="K709"/>
      <c r="L709"/>
      <c r="M709"/>
      <c r="N709"/>
      <c r="O709"/>
    </row>
    <row r="710" spans="6:15">
      <c r="F710"/>
      <c r="G710"/>
      <c r="H710"/>
      <c r="I710"/>
      <c r="J710"/>
      <c r="K710"/>
      <c r="L710"/>
      <c r="M710"/>
      <c r="N710"/>
      <c r="O710"/>
    </row>
    <row r="711" spans="6:15">
      <c r="F711"/>
      <c r="G711"/>
      <c r="H711"/>
      <c r="I711"/>
      <c r="J711"/>
      <c r="K711"/>
      <c r="L711"/>
      <c r="M711"/>
      <c r="N711"/>
      <c r="O711"/>
    </row>
    <row r="712" spans="6:15">
      <c r="F712"/>
      <c r="G712"/>
      <c r="H712"/>
      <c r="I712"/>
      <c r="J712"/>
      <c r="K712"/>
      <c r="L712"/>
      <c r="M712"/>
      <c r="N712"/>
      <c r="O712"/>
    </row>
    <row r="713" spans="6:15">
      <c r="F713"/>
      <c r="G713"/>
      <c r="H713"/>
      <c r="I713"/>
      <c r="J713"/>
      <c r="K713"/>
      <c r="L713"/>
      <c r="M713"/>
      <c r="N713"/>
      <c r="O713"/>
    </row>
    <row r="714" spans="6:15">
      <c r="F714"/>
      <c r="G714"/>
      <c r="H714"/>
      <c r="I714"/>
      <c r="J714"/>
      <c r="K714"/>
      <c r="L714"/>
      <c r="M714"/>
      <c r="N714"/>
      <c r="O714"/>
    </row>
    <row r="715" spans="6:15">
      <c r="F715"/>
      <c r="G715"/>
      <c r="H715"/>
      <c r="I715"/>
      <c r="J715"/>
      <c r="K715"/>
      <c r="L715"/>
      <c r="M715"/>
      <c r="N715"/>
      <c r="O715"/>
    </row>
    <row r="716" spans="6:15">
      <c r="F716"/>
      <c r="G716"/>
      <c r="H716"/>
      <c r="I716"/>
      <c r="J716"/>
      <c r="K716"/>
      <c r="L716"/>
      <c r="M716"/>
      <c r="N716"/>
      <c r="O716"/>
    </row>
    <row r="717" spans="6:15">
      <c r="F717"/>
      <c r="G717"/>
      <c r="H717"/>
      <c r="I717"/>
      <c r="J717"/>
      <c r="K717"/>
      <c r="L717"/>
      <c r="M717"/>
      <c r="N717"/>
      <c r="O717"/>
    </row>
    <row r="718" spans="6:15">
      <c r="F718"/>
      <c r="G718"/>
      <c r="H718"/>
      <c r="I718"/>
      <c r="J718"/>
      <c r="K718"/>
      <c r="L718"/>
      <c r="M718"/>
      <c r="N718"/>
      <c r="O718"/>
    </row>
    <row r="719" spans="6:15">
      <c r="F719"/>
      <c r="G719"/>
      <c r="H719"/>
      <c r="I719"/>
      <c r="J719"/>
      <c r="K719"/>
      <c r="L719"/>
      <c r="M719"/>
      <c r="N719"/>
      <c r="O719"/>
    </row>
    <row r="720" spans="6:15">
      <c r="F720"/>
      <c r="G720"/>
      <c r="H720"/>
      <c r="I720"/>
      <c r="J720"/>
      <c r="K720"/>
      <c r="L720"/>
      <c r="M720"/>
      <c r="N720"/>
      <c r="O720"/>
    </row>
    <row r="721" spans="6:15">
      <c r="F721"/>
      <c r="G721"/>
      <c r="H721"/>
      <c r="I721"/>
      <c r="J721"/>
      <c r="K721"/>
      <c r="L721"/>
      <c r="M721"/>
      <c r="N721"/>
      <c r="O721"/>
    </row>
    <row r="722" spans="6:15">
      <c r="F722"/>
      <c r="G722"/>
      <c r="H722"/>
      <c r="I722"/>
      <c r="J722"/>
      <c r="K722"/>
      <c r="L722"/>
      <c r="M722"/>
      <c r="N722"/>
      <c r="O722"/>
    </row>
    <row r="723" spans="6:15">
      <c r="F723"/>
      <c r="G723"/>
      <c r="H723"/>
      <c r="I723"/>
      <c r="J723"/>
      <c r="K723"/>
      <c r="L723"/>
      <c r="M723"/>
      <c r="N723"/>
      <c r="O723"/>
    </row>
    <row r="724" spans="6:15">
      <c r="F724"/>
      <c r="G724"/>
      <c r="H724"/>
      <c r="I724"/>
      <c r="J724"/>
      <c r="K724"/>
      <c r="L724"/>
      <c r="M724"/>
      <c r="N724"/>
      <c r="O724"/>
    </row>
    <row r="725" spans="6:15">
      <c r="F725"/>
      <c r="G725"/>
      <c r="H725"/>
      <c r="I725"/>
      <c r="J725"/>
      <c r="K725"/>
      <c r="L725"/>
      <c r="M725"/>
      <c r="N725"/>
      <c r="O725"/>
    </row>
    <row r="726" spans="6:15">
      <c r="F726"/>
      <c r="G726"/>
      <c r="H726"/>
      <c r="I726"/>
      <c r="J726"/>
      <c r="K726"/>
      <c r="L726"/>
      <c r="M726"/>
      <c r="N726"/>
      <c r="O726"/>
    </row>
    <row r="727" spans="6:15">
      <c r="F727"/>
      <c r="G727"/>
      <c r="H727"/>
      <c r="I727"/>
      <c r="J727"/>
      <c r="K727"/>
      <c r="L727"/>
      <c r="M727"/>
      <c r="N727"/>
      <c r="O727"/>
    </row>
    <row r="728" spans="6:15">
      <c r="F728"/>
      <c r="G728"/>
      <c r="H728"/>
      <c r="I728"/>
      <c r="J728"/>
      <c r="K728"/>
      <c r="L728"/>
      <c r="M728"/>
      <c r="N728"/>
      <c r="O728"/>
    </row>
    <row r="729" spans="6:15">
      <c r="F729"/>
      <c r="G729"/>
      <c r="H729"/>
      <c r="I729"/>
      <c r="J729"/>
      <c r="K729"/>
      <c r="L729"/>
      <c r="M729"/>
      <c r="N729"/>
      <c r="O729"/>
    </row>
    <row r="730" spans="6:15">
      <c r="F730"/>
      <c r="G730"/>
      <c r="H730"/>
      <c r="I730"/>
      <c r="J730"/>
      <c r="K730"/>
      <c r="L730"/>
      <c r="M730"/>
      <c r="N730"/>
      <c r="O730"/>
    </row>
    <row r="731" spans="6:15">
      <c r="F731"/>
      <c r="G731"/>
      <c r="H731"/>
      <c r="I731"/>
      <c r="J731"/>
      <c r="K731"/>
      <c r="L731"/>
      <c r="M731"/>
      <c r="N731"/>
      <c r="O731"/>
    </row>
    <row r="732" spans="6:15">
      <c r="F732"/>
      <c r="G732"/>
      <c r="H732"/>
      <c r="I732"/>
      <c r="J732"/>
      <c r="K732"/>
      <c r="L732"/>
      <c r="M732"/>
      <c r="N732"/>
      <c r="O732"/>
    </row>
    <row r="733" spans="6:15">
      <c r="F733"/>
      <c r="G733"/>
      <c r="H733"/>
      <c r="I733"/>
      <c r="J733"/>
      <c r="K733"/>
      <c r="L733"/>
      <c r="M733"/>
      <c r="N733"/>
      <c r="O733"/>
    </row>
    <row r="734" spans="6:15">
      <c r="F734"/>
      <c r="G734"/>
      <c r="H734"/>
      <c r="I734"/>
      <c r="J734"/>
      <c r="K734"/>
      <c r="L734"/>
      <c r="M734"/>
      <c r="N734"/>
      <c r="O734"/>
    </row>
    <row r="735" spans="6:15">
      <c r="F735"/>
      <c r="G735"/>
      <c r="H735"/>
      <c r="I735"/>
      <c r="J735"/>
      <c r="K735"/>
      <c r="L735"/>
      <c r="M735"/>
      <c r="N735"/>
      <c r="O735"/>
    </row>
    <row r="736" spans="6:15">
      <c r="F736"/>
      <c r="G736"/>
      <c r="H736"/>
      <c r="I736"/>
      <c r="J736"/>
      <c r="K736"/>
      <c r="L736"/>
      <c r="M736"/>
      <c r="N736"/>
      <c r="O736"/>
    </row>
    <row r="737" spans="6:15">
      <c r="F737"/>
      <c r="G737"/>
      <c r="H737"/>
      <c r="I737"/>
      <c r="J737"/>
      <c r="K737"/>
      <c r="L737"/>
      <c r="M737"/>
      <c r="N737"/>
      <c r="O737"/>
    </row>
    <row r="738" spans="6:15">
      <c r="F738"/>
      <c r="G738"/>
      <c r="H738"/>
      <c r="I738"/>
      <c r="J738"/>
      <c r="K738"/>
      <c r="L738"/>
      <c r="M738"/>
      <c r="N738"/>
      <c r="O738"/>
    </row>
    <row r="739" spans="6:15">
      <c r="F739"/>
      <c r="G739"/>
      <c r="H739"/>
      <c r="I739"/>
      <c r="J739"/>
      <c r="K739"/>
      <c r="L739"/>
      <c r="M739"/>
      <c r="N739"/>
      <c r="O739"/>
    </row>
    <row r="740" spans="6:15">
      <c r="F740"/>
      <c r="G740"/>
      <c r="H740"/>
      <c r="I740"/>
      <c r="J740"/>
      <c r="K740"/>
      <c r="L740"/>
      <c r="M740"/>
      <c r="N740"/>
      <c r="O740"/>
    </row>
    <row r="741" spans="6:15">
      <c r="F741"/>
      <c r="G741"/>
      <c r="H741"/>
      <c r="I741"/>
      <c r="J741"/>
      <c r="K741"/>
      <c r="L741"/>
      <c r="M741"/>
      <c r="N741"/>
      <c r="O741"/>
    </row>
    <row r="742" spans="6:15">
      <c r="F742"/>
      <c r="G742"/>
      <c r="H742"/>
      <c r="I742"/>
      <c r="J742"/>
      <c r="K742"/>
      <c r="L742"/>
      <c r="M742"/>
      <c r="N742"/>
      <c r="O742"/>
    </row>
    <row r="743" spans="6:15">
      <c r="F743"/>
      <c r="G743"/>
      <c r="H743"/>
      <c r="I743"/>
      <c r="J743"/>
      <c r="K743"/>
      <c r="L743"/>
      <c r="M743"/>
      <c r="N743"/>
      <c r="O743"/>
    </row>
    <row r="744" spans="6:15">
      <c r="F744"/>
      <c r="G744"/>
      <c r="H744"/>
      <c r="I744"/>
      <c r="J744"/>
      <c r="K744"/>
      <c r="L744"/>
      <c r="M744"/>
      <c r="N744"/>
      <c r="O744"/>
    </row>
    <row r="745" spans="6:15">
      <c r="F745"/>
      <c r="G745"/>
      <c r="H745"/>
      <c r="I745"/>
      <c r="J745"/>
      <c r="K745"/>
      <c r="L745"/>
      <c r="M745"/>
      <c r="N745"/>
      <c r="O745"/>
    </row>
    <row r="746" spans="6:15">
      <c r="F746"/>
      <c r="G746"/>
      <c r="H746"/>
      <c r="I746"/>
      <c r="J746"/>
      <c r="K746"/>
      <c r="L746"/>
      <c r="M746"/>
      <c r="N746"/>
      <c r="O746"/>
    </row>
    <row r="747" spans="6:15">
      <c r="F747"/>
      <c r="G747"/>
      <c r="H747"/>
      <c r="I747"/>
      <c r="J747"/>
      <c r="K747"/>
      <c r="L747"/>
      <c r="M747"/>
      <c r="N747"/>
      <c r="O747"/>
    </row>
    <row r="748" spans="6:15">
      <c r="F748"/>
      <c r="G748"/>
      <c r="H748"/>
      <c r="I748"/>
      <c r="J748"/>
      <c r="K748"/>
      <c r="L748"/>
      <c r="M748"/>
      <c r="N748"/>
      <c r="O748"/>
    </row>
    <row r="749" spans="6:15">
      <c r="F749"/>
      <c r="G749"/>
      <c r="H749"/>
      <c r="I749"/>
      <c r="J749"/>
      <c r="K749"/>
      <c r="L749"/>
      <c r="M749"/>
      <c r="N749"/>
      <c r="O749"/>
    </row>
    <row r="750" spans="6:15">
      <c r="F750"/>
      <c r="G750"/>
      <c r="H750"/>
      <c r="I750"/>
      <c r="J750"/>
      <c r="K750"/>
      <c r="L750"/>
      <c r="M750"/>
      <c r="N750"/>
      <c r="O750"/>
    </row>
    <row r="751" spans="6:15">
      <c r="F751"/>
      <c r="G751"/>
      <c r="H751"/>
      <c r="I751"/>
      <c r="J751"/>
      <c r="K751"/>
      <c r="L751"/>
      <c r="M751"/>
      <c r="N751"/>
      <c r="O751"/>
    </row>
    <row r="752" spans="6:15">
      <c r="F752"/>
      <c r="G752"/>
      <c r="H752"/>
      <c r="I752"/>
      <c r="J752"/>
      <c r="K752"/>
      <c r="L752"/>
      <c r="M752"/>
      <c r="N752"/>
      <c r="O752"/>
    </row>
    <row r="753" spans="6:15">
      <c r="F753"/>
      <c r="G753"/>
      <c r="H753"/>
      <c r="I753"/>
      <c r="J753"/>
      <c r="K753"/>
      <c r="L753"/>
      <c r="M753"/>
      <c r="N753"/>
      <c r="O753"/>
    </row>
    <row r="754" spans="6:15">
      <c r="F754"/>
      <c r="G754"/>
      <c r="H754"/>
      <c r="I754"/>
      <c r="J754"/>
      <c r="K754"/>
      <c r="L754"/>
      <c r="M754"/>
      <c r="N754"/>
      <c r="O754"/>
    </row>
    <row r="755" spans="6:15">
      <c r="F755"/>
      <c r="G755"/>
      <c r="H755"/>
      <c r="I755"/>
      <c r="J755"/>
      <c r="K755"/>
      <c r="L755"/>
      <c r="M755"/>
      <c r="N755"/>
      <c r="O755"/>
    </row>
    <row r="756" spans="6:15">
      <c r="F756"/>
      <c r="G756"/>
      <c r="H756"/>
      <c r="I756"/>
      <c r="J756"/>
      <c r="K756"/>
      <c r="L756"/>
      <c r="M756"/>
      <c r="N756"/>
      <c r="O756"/>
    </row>
    <row r="757" spans="6:15">
      <c r="F757"/>
      <c r="G757"/>
      <c r="H757"/>
      <c r="I757"/>
      <c r="J757"/>
      <c r="K757"/>
      <c r="L757"/>
      <c r="M757"/>
      <c r="N757"/>
      <c r="O757"/>
    </row>
    <row r="758" spans="6:15">
      <c r="F758"/>
      <c r="G758"/>
      <c r="H758"/>
      <c r="I758"/>
      <c r="J758"/>
      <c r="K758"/>
      <c r="L758"/>
      <c r="M758"/>
      <c r="N758"/>
      <c r="O758"/>
    </row>
    <row r="759" spans="6:15">
      <c r="F759"/>
      <c r="G759"/>
      <c r="H759"/>
      <c r="I759"/>
      <c r="J759"/>
      <c r="K759"/>
      <c r="L759"/>
      <c r="M759"/>
      <c r="N759"/>
      <c r="O759"/>
    </row>
    <row r="760" spans="6:15">
      <c r="F760"/>
      <c r="G760"/>
      <c r="H760"/>
      <c r="I760"/>
      <c r="J760"/>
      <c r="K760"/>
      <c r="L760"/>
      <c r="M760"/>
      <c r="N760"/>
      <c r="O760"/>
    </row>
    <row r="761" spans="6:15">
      <c r="F761"/>
      <c r="G761"/>
      <c r="H761"/>
      <c r="I761"/>
      <c r="J761"/>
      <c r="K761"/>
      <c r="L761"/>
      <c r="M761"/>
      <c r="N761"/>
      <c r="O761"/>
    </row>
    <row r="762" spans="6:15">
      <c r="F762"/>
      <c r="G762"/>
      <c r="H762"/>
      <c r="I762"/>
      <c r="J762"/>
      <c r="K762"/>
      <c r="L762"/>
      <c r="M762"/>
      <c r="N762"/>
      <c r="O762"/>
    </row>
    <row r="763" spans="6:15">
      <c r="F763"/>
      <c r="G763"/>
      <c r="H763"/>
      <c r="I763"/>
      <c r="J763"/>
      <c r="K763"/>
      <c r="L763"/>
      <c r="M763"/>
      <c r="N763"/>
      <c r="O763"/>
    </row>
    <row r="764" spans="6:15">
      <c r="F764"/>
      <c r="G764"/>
      <c r="H764"/>
      <c r="I764"/>
      <c r="J764"/>
      <c r="K764"/>
      <c r="L764"/>
      <c r="M764"/>
      <c r="N764"/>
      <c r="O764"/>
    </row>
    <row r="765" spans="6:15">
      <c r="F765"/>
      <c r="G765"/>
      <c r="H765"/>
      <c r="I765"/>
      <c r="J765"/>
      <c r="K765"/>
      <c r="L765"/>
      <c r="M765"/>
      <c r="N765"/>
      <c r="O765"/>
    </row>
    <row r="766" spans="6:15">
      <c r="F766"/>
      <c r="G766"/>
      <c r="H766"/>
      <c r="I766"/>
      <c r="J766"/>
      <c r="K766"/>
      <c r="L766"/>
      <c r="M766"/>
      <c r="N766"/>
      <c r="O766"/>
    </row>
    <row r="767" spans="6:15">
      <c r="F767"/>
      <c r="G767"/>
      <c r="H767"/>
      <c r="I767"/>
      <c r="J767"/>
      <c r="K767"/>
      <c r="L767"/>
      <c r="M767"/>
      <c r="N767"/>
      <c r="O767"/>
    </row>
    <row r="768" spans="6:15">
      <c r="F768"/>
      <c r="G768"/>
      <c r="H768"/>
      <c r="I768"/>
      <c r="J768"/>
      <c r="K768"/>
      <c r="L768"/>
      <c r="M768"/>
      <c r="N768"/>
      <c r="O768"/>
    </row>
    <row r="769" spans="6:15">
      <c r="F769"/>
      <c r="G769"/>
      <c r="H769"/>
      <c r="I769"/>
      <c r="J769"/>
      <c r="K769"/>
      <c r="L769"/>
      <c r="M769"/>
      <c r="N769"/>
      <c r="O769"/>
    </row>
    <row r="770" spans="6:15">
      <c r="F770"/>
      <c r="G770"/>
      <c r="H770"/>
      <c r="I770"/>
      <c r="J770"/>
      <c r="K770"/>
      <c r="L770"/>
      <c r="M770"/>
      <c r="N770"/>
      <c r="O770"/>
    </row>
    <row r="771" spans="6:15">
      <c r="F771"/>
      <c r="G771"/>
      <c r="H771"/>
      <c r="I771"/>
      <c r="J771"/>
      <c r="K771"/>
      <c r="L771"/>
      <c r="M771"/>
      <c r="N771"/>
      <c r="O771"/>
    </row>
    <row r="772" spans="6:15">
      <c r="F772"/>
      <c r="G772"/>
      <c r="H772"/>
      <c r="I772"/>
      <c r="J772"/>
      <c r="K772"/>
      <c r="L772"/>
      <c r="M772"/>
      <c r="N772"/>
      <c r="O772"/>
    </row>
    <row r="773" spans="6:15">
      <c r="F773"/>
      <c r="G773"/>
      <c r="H773"/>
      <c r="I773"/>
      <c r="J773"/>
      <c r="K773"/>
      <c r="L773"/>
      <c r="M773"/>
      <c r="N773"/>
      <c r="O773"/>
    </row>
    <row r="774" spans="6:15">
      <c r="F774"/>
      <c r="G774"/>
      <c r="H774"/>
      <c r="I774"/>
      <c r="J774"/>
      <c r="K774"/>
      <c r="L774"/>
      <c r="M774"/>
      <c r="N774"/>
      <c r="O774"/>
    </row>
    <row r="775" spans="6:15">
      <c r="F775"/>
      <c r="G775"/>
      <c r="H775"/>
      <c r="I775"/>
      <c r="J775"/>
      <c r="K775"/>
      <c r="L775"/>
      <c r="M775"/>
      <c r="N775"/>
      <c r="O775"/>
    </row>
    <row r="776" spans="6:15">
      <c r="F776"/>
      <c r="G776"/>
      <c r="H776"/>
      <c r="I776"/>
      <c r="J776"/>
      <c r="K776"/>
      <c r="L776"/>
      <c r="M776"/>
      <c r="N776"/>
      <c r="O776"/>
    </row>
    <row r="777" spans="6:15">
      <c r="F777"/>
      <c r="G777"/>
      <c r="H777"/>
      <c r="I777"/>
      <c r="J777"/>
      <c r="K777"/>
      <c r="L777"/>
      <c r="M777"/>
      <c r="N777"/>
      <c r="O777"/>
    </row>
    <row r="778" spans="6:15">
      <c r="F778"/>
      <c r="G778"/>
      <c r="H778"/>
      <c r="I778"/>
      <c r="J778"/>
      <c r="K778"/>
      <c r="L778"/>
      <c r="M778"/>
      <c r="N778"/>
      <c r="O778"/>
    </row>
    <row r="779" spans="6:15">
      <c r="F779"/>
      <c r="G779"/>
      <c r="H779"/>
      <c r="I779"/>
      <c r="J779"/>
      <c r="K779"/>
      <c r="L779"/>
      <c r="M779"/>
      <c r="N779"/>
      <c r="O779"/>
    </row>
    <row r="780" spans="6:15">
      <c r="F780"/>
      <c r="G780"/>
      <c r="H780"/>
      <c r="I780"/>
      <c r="J780"/>
      <c r="K780"/>
      <c r="L780"/>
      <c r="M780"/>
      <c r="N780"/>
      <c r="O780"/>
    </row>
    <row r="781" spans="6:15">
      <c r="F781"/>
      <c r="G781"/>
      <c r="H781"/>
      <c r="I781"/>
      <c r="J781"/>
      <c r="K781"/>
      <c r="L781"/>
      <c r="M781"/>
      <c r="N781"/>
      <c r="O781"/>
    </row>
    <row r="782" spans="6:15">
      <c r="F782"/>
      <c r="G782"/>
      <c r="H782"/>
      <c r="I782"/>
      <c r="J782"/>
      <c r="K782"/>
      <c r="L782"/>
      <c r="M782"/>
      <c r="N782"/>
      <c r="O782"/>
    </row>
    <row r="783" spans="6:15">
      <c r="F783"/>
      <c r="G783"/>
      <c r="H783"/>
      <c r="I783"/>
      <c r="J783"/>
      <c r="K783"/>
      <c r="L783"/>
      <c r="M783"/>
      <c r="N783"/>
      <c r="O783"/>
    </row>
    <row r="784" spans="6:15">
      <c r="F784"/>
      <c r="G784"/>
      <c r="H784"/>
      <c r="I784"/>
      <c r="J784"/>
      <c r="K784"/>
      <c r="L784"/>
      <c r="M784"/>
      <c r="N784"/>
      <c r="O784"/>
    </row>
    <row r="785" spans="6:15">
      <c r="F785"/>
      <c r="G785"/>
      <c r="H785"/>
      <c r="I785"/>
      <c r="J785"/>
      <c r="K785"/>
      <c r="L785"/>
      <c r="M785"/>
      <c r="N785"/>
      <c r="O785"/>
    </row>
    <row r="786" spans="6:15">
      <c r="F786"/>
      <c r="G786"/>
      <c r="H786"/>
      <c r="I786"/>
      <c r="J786"/>
      <c r="K786"/>
      <c r="L786"/>
      <c r="M786"/>
      <c r="N786"/>
      <c r="O786"/>
    </row>
    <row r="787" spans="6:15">
      <c r="F787"/>
      <c r="G787"/>
      <c r="H787"/>
      <c r="I787"/>
      <c r="J787"/>
      <c r="K787"/>
      <c r="L787"/>
      <c r="M787"/>
      <c r="N787"/>
      <c r="O787"/>
    </row>
    <row r="788" spans="6:15">
      <c r="F788"/>
      <c r="G788"/>
      <c r="H788"/>
      <c r="I788"/>
      <c r="J788"/>
      <c r="K788"/>
      <c r="L788"/>
      <c r="M788"/>
      <c r="N788"/>
      <c r="O788"/>
    </row>
    <row r="789" spans="6:15">
      <c r="F789"/>
      <c r="G789"/>
      <c r="H789"/>
      <c r="I789"/>
      <c r="J789"/>
      <c r="K789"/>
      <c r="L789"/>
      <c r="M789"/>
      <c r="N789"/>
      <c r="O789"/>
    </row>
    <row r="790" spans="6:15">
      <c r="F790"/>
      <c r="G790"/>
      <c r="H790"/>
      <c r="I790"/>
      <c r="J790"/>
      <c r="K790"/>
      <c r="L790"/>
      <c r="M790"/>
      <c r="N790"/>
      <c r="O790"/>
    </row>
    <row r="791" spans="6:15">
      <c r="F791"/>
      <c r="G791"/>
      <c r="H791"/>
      <c r="I791"/>
      <c r="J791"/>
      <c r="K791"/>
      <c r="L791"/>
      <c r="M791"/>
      <c r="N791"/>
      <c r="O791"/>
    </row>
    <row r="792" spans="6:15">
      <c r="F792"/>
      <c r="G792"/>
      <c r="H792"/>
      <c r="I792"/>
      <c r="J792"/>
      <c r="K792"/>
      <c r="L792"/>
      <c r="M792"/>
      <c r="N792"/>
      <c r="O792"/>
    </row>
    <row r="793" spans="6:15">
      <c r="F793"/>
      <c r="G793"/>
      <c r="H793"/>
      <c r="I793"/>
      <c r="J793"/>
      <c r="K793"/>
      <c r="L793"/>
      <c r="M793"/>
      <c r="N793"/>
      <c r="O793"/>
    </row>
    <row r="794" spans="6:15">
      <c r="F794"/>
      <c r="G794"/>
      <c r="H794"/>
      <c r="I794"/>
      <c r="J794"/>
      <c r="K794"/>
      <c r="L794"/>
      <c r="M794"/>
      <c r="N794"/>
      <c r="O794"/>
    </row>
    <row r="795" spans="6:15">
      <c r="F795"/>
      <c r="G795"/>
      <c r="H795"/>
      <c r="I795"/>
      <c r="J795"/>
      <c r="K795"/>
      <c r="L795"/>
      <c r="M795"/>
      <c r="N795"/>
      <c r="O795"/>
    </row>
    <row r="796" spans="6:15">
      <c r="F796"/>
      <c r="G796"/>
      <c r="H796"/>
      <c r="I796"/>
      <c r="J796"/>
      <c r="K796"/>
      <c r="L796"/>
      <c r="M796"/>
      <c r="N796"/>
      <c r="O796"/>
    </row>
    <row r="797" spans="6:15">
      <c r="F797"/>
      <c r="G797"/>
      <c r="H797"/>
      <c r="I797"/>
      <c r="J797"/>
      <c r="K797"/>
      <c r="L797"/>
      <c r="M797"/>
      <c r="N797"/>
      <c r="O797"/>
    </row>
    <row r="798" spans="6:15">
      <c r="F798"/>
      <c r="G798"/>
      <c r="H798"/>
      <c r="I798"/>
      <c r="J798"/>
      <c r="K798"/>
      <c r="L798"/>
      <c r="M798"/>
      <c r="N798"/>
      <c r="O798"/>
    </row>
    <row r="799" spans="6:15">
      <c r="F799"/>
      <c r="G799"/>
      <c r="H799"/>
      <c r="I799"/>
      <c r="J799"/>
      <c r="K799"/>
      <c r="L799"/>
      <c r="M799"/>
      <c r="N799"/>
      <c r="O799"/>
    </row>
    <row r="800" spans="6:15">
      <c r="F800"/>
      <c r="G800"/>
      <c r="H800"/>
      <c r="I800"/>
      <c r="J800"/>
      <c r="K800"/>
      <c r="L800"/>
      <c r="M800"/>
      <c r="N800"/>
      <c r="O800"/>
    </row>
    <row r="801" spans="6:15">
      <c r="F801"/>
      <c r="G801"/>
      <c r="H801"/>
      <c r="I801"/>
      <c r="J801"/>
      <c r="K801"/>
      <c r="L801"/>
      <c r="M801"/>
      <c r="N801"/>
      <c r="O801"/>
    </row>
    <row r="802" spans="6:15">
      <c r="F802"/>
      <c r="G802"/>
      <c r="H802"/>
      <c r="I802"/>
      <c r="J802"/>
      <c r="K802"/>
      <c r="L802"/>
      <c r="M802"/>
      <c r="N802"/>
      <c r="O802"/>
    </row>
    <row r="803" spans="6:15">
      <c r="F803"/>
      <c r="G803"/>
      <c r="H803"/>
      <c r="I803"/>
      <c r="J803"/>
      <c r="K803"/>
      <c r="L803"/>
      <c r="M803"/>
      <c r="N803"/>
      <c r="O803"/>
    </row>
    <row r="804" spans="6:15">
      <c r="F804"/>
      <c r="G804"/>
      <c r="H804"/>
      <c r="I804"/>
      <c r="J804"/>
      <c r="K804"/>
      <c r="L804"/>
      <c r="M804"/>
      <c r="N804"/>
      <c r="O804"/>
    </row>
    <row r="805" spans="6:15">
      <c r="F805"/>
      <c r="G805"/>
      <c r="H805"/>
      <c r="I805"/>
      <c r="J805"/>
      <c r="K805"/>
      <c r="L805"/>
      <c r="M805"/>
      <c r="N805"/>
      <c r="O805"/>
    </row>
    <row r="806" spans="6:15">
      <c r="F806"/>
      <c r="G806"/>
      <c r="H806"/>
      <c r="I806"/>
      <c r="J806"/>
      <c r="K806"/>
      <c r="L806"/>
      <c r="M806"/>
      <c r="N806"/>
      <c r="O806"/>
    </row>
    <row r="807" spans="6:15">
      <c r="F807"/>
      <c r="G807"/>
      <c r="H807"/>
      <c r="I807"/>
      <c r="J807"/>
      <c r="K807"/>
      <c r="L807"/>
      <c r="M807"/>
      <c r="N807"/>
      <c r="O807"/>
    </row>
    <row r="808" spans="6:15">
      <c r="F808"/>
      <c r="G808"/>
      <c r="H808"/>
      <c r="I808"/>
      <c r="J808"/>
      <c r="K808"/>
      <c r="L808"/>
      <c r="M808"/>
      <c r="N808"/>
      <c r="O808"/>
    </row>
    <row r="809" spans="6:15">
      <c r="F809"/>
      <c r="G809"/>
      <c r="H809"/>
      <c r="I809"/>
      <c r="J809"/>
      <c r="K809"/>
      <c r="L809"/>
      <c r="M809"/>
      <c r="N809"/>
      <c r="O809"/>
    </row>
    <row r="810" spans="6:15">
      <c r="F810"/>
      <c r="G810"/>
      <c r="H810"/>
      <c r="I810"/>
      <c r="J810"/>
      <c r="K810"/>
      <c r="L810"/>
      <c r="M810"/>
      <c r="N810"/>
      <c r="O810"/>
    </row>
    <row r="811" spans="6:15">
      <c r="F811"/>
      <c r="G811"/>
      <c r="H811"/>
      <c r="I811"/>
      <c r="J811"/>
      <c r="K811"/>
      <c r="L811"/>
      <c r="M811"/>
      <c r="N811"/>
      <c r="O811"/>
    </row>
    <row r="812" spans="6:15">
      <c r="F812"/>
      <c r="G812"/>
      <c r="H812"/>
      <c r="I812"/>
      <c r="J812"/>
      <c r="K812"/>
      <c r="L812"/>
      <c r="M812"/>
      <c r="N812"/>
      <c r="O812"/>
    </row>
    <row r="813" spans="6:15">
      <c r="F813"/>
      <c r="G813"/>
      <c r="H813"/>
      <c r="I813"/>
      <c r="J813"/>
      <c r="K813"/>
      <c r="L813"/>
      <c r="M813"/>
      <c r="N813"/>
      <c r="O813"/>
    </row>
    <row r="814" spans="6:15">
      <c r="F814"/>
      <c r="G814"/>
      <c r="H814"/>
      <c r="I814"/>
      <c r="J814"/>
      <c r="K814"/>
      <c r="L814"/>
      <c r="M814"/>
      <c r="N814"/>
      <c r="O814"/>
    </row>
    <row r="815" spans="6:15">
      <c r="F815"/>
      <c r="G815"/>
      <c r="H815"/>
      <c r="I815"/>
      <c r="J815"/>
      <c r="K815"/>
      <c r="L815"/>
      <c r="M815"/>
      <c r="N815"/>
      <c r="O815"/>
    </row>
    <row r="816" spans="6:15">
      <c r="F816"/>
      <c r="G816"/>
      <c r="H816"/>
      <c r="I816"/>
      <c r="J816"/>
      <c r="K816"/>
      <c r="L816"/>
      <c r="M816"/>
      <c r="N816"/>
      <c r="O816"/>
    </row>
    <row r="817" spans="6:15">
      <c r="F817"/>
      <c r="G817"/>
      <c r="H817"/>
      <c r="I817"/>
      <c r="J817"/>
      <c r="K817"/>
      <c r="L817"/>
      <c r="M817"/>
      <c r="N817"/>
      <c r="O817"/>
    </row>
    <row r="818" spans="6:15">
      <c r="F818"/>
      <c r="G818"/>
      <c r="H818"/>
      <c r="I818"/>
      <c r="J818"/>
      <c r="K818"/>
      <c r="L818"/>
      <c r="M818"/>
      <c r="N818"/>
      <c r="O818"/>
    </row>
    <row r="819" spans="6:15">
      <c r="F819"/>
      <c r="G819"/>
      <c r="H819"/>
      <c r="I819"/>
      <c r="J819"/>
      <c r="K819"/>
      <c r="L819"/>
      <c r="M819"/>
      <c r="N819"/>
      <c r="O819"/>
    </row>
    <row r="820" spans="6:15">
      <c r="F820"/>
      <c r="G820"/>
      <c r="H820"/>
      <c r="I820"/>
      <c r="J820"/>
      <c r="K820"/>
      <c r="L820"/>
      <c r="M820"/>
      <c r="N820"/>
      <c r="O820"/>
    </row>
    <row r="821" spans="6:15">
      <c r="F821"/>
      <c r="G821"/>
      <c r="H821"/>
      <c r="I821"/>
      <c r="J821"/>
      <c r="K821"/>
      <c r="L821"/>
      <c r="M821"/>
      <c r="N821"/>
      <c r="O821"/>
    </row>
    <row r="822" spans="6:15">
      <c r="F822"/>
      <c r="G822"/>
      <c r="H822"/>
      <c r="I822"/>
      <c r="J822"/>
      <c r="K822"/>
      <c r="L822"/>
      <c r="M822"/>
      <c r="N822"/>
      <c r="O822"/>
    </row>
    <row r="823" spans="6:15">
      <c r="F823"/>
      <c r="G823"/>
      <c r="H823"/>
      <c r="I823"/>
      <c r="J823"/>
      <c r="K823"/>
      <c r="L823"/>
      <c r="M823"/>
      <c r="N823"/>
      <c r="O823"/>
    </row>
    <row r="824" spans="6:15">
      <c r="F824"/>
      <c r="G824"/>
      <c r="H824"/>
      <c r="I824"/>
      <c r="J824"/>
      <c r="K824"/>
      <c r="L824"/>
      <c r="M824"/>
      <c r="N824"/>
      <c r="O824"/>
    </row>
    <row r="825" spans="6:15">
      <c r="F825"/>
      <c r="G825"/>
      <c r="H825"/>
      <c r="I825"/>
      <c r="J825"/>
      <c r="K825"/>
      <c r="L825"/>
      <c r="M825"/>
      <c r="N825"/>
      <c r="O825"/>
    </row>
    <row r="826" spans="6:15">
      <c r="F826"/>
      <c r="G826"/>
      <c r="H826"/>
      <c r="I826"/>
      <c r="J826"/>
      <c r="K826"/>
      <c r="L826"/>
      <c r="M826"/>
      <c r="N826"/>
      <c r="O826"/>
    </row>
    <row r="827" spans="6:15">
      <c r="F827"/>
      <c r="G827"/>
      <c r="H827"/>
      <c r="I827"/>
      <c r="J827"/>
      <c r="K827"/>
      <c r="L827"/>
      <c r="M827"/>
      <c r="N827"/>
      <c r="O827"/>
    </row>
    <row r="828" spans="6:15">
      <c r="F828"/>
      <c r="G828"/>
      <c r="H828"/>
      <c r="I828"/>
      <c r="J828"/>
      <c r="K828"/>
      <c r="L828"/>
      <c r="M828"/>
      <c r="N828"/>
      <c r="O828"/>
    </row>
    <row r="829" spans="6:15">
      <c r="F829"/>
      <c r="G829"/>
      <c r="H829"/>
      <c r="I829"/>
      <c r="J829"/>
      <c r="K829"/>
      <c r="L829"/>
      <c r="M829"/>
      <c r="N829"/>
      <c r="O829"/>
    </row>
    <row r="830" spans="6:15">
      <c r="F830"/>
      <c r="G830"/>
      <c r="H830"/>
      <c r="I830"/>
      <c r="J830"/>
      <c r="K830"/>
      <c r="L830"/>
      <c r="M830"/>
      <c r="N830"/>
      <c r="O830"/>
    </row>
    <row r="831" spans="6:15">
      <c r="F831"/>
      <c r="G831"/>
      <c r="H831"/>
      <c r="I831"/>
      <c r="J831"/>
      <c r="K831"/>
      <c r="L831"/>
      <c r="M831"/>
      <c r="N831"/>
      <c r="O831"/>
    </row>
    <row r="832" spans="6:15">
      <c r="F832"/>
      <c r="G832"/>
      <c r="H832"/>
      <c r="I832"/>
      <c r="J832"/>
      <c r="K832"/>
      <c r="L832"/>
      <c r="M832"/>
      <c r="N832"/>
      <c r="O832"/>
    </row>
    <row r="833" spans="6:15">
      <c r="F833"/>
      <c r="G833"/>
      <c r="H833"/>
      <c r="I833"/>
      <c r="J833"/>
      <c r="K833"/>
      <c r="L833"/>
      <c r="M833"/>
      <c r="N833"/>
      <c r="O833"/>
    </row>
    <row r="834" spans="6:15">
      <c r="F834"/>
      <c r="G834"/>
      <c r="H834"/>
      <c r="I834"/>
      <c r="J834"/>
      <c r="K834"/>
      <c r="L834"/>
      <c r="M834"/>
      <c r="N834"/>
      <c r="O834"/>
    </row>
    <row r="835" spans="6:15">
      <c r="F835"/>
      <c r="G835"/>
      <c r="H835"/>
      <c r="I835"/>
      <c r="J835"/>
      <c r="K835"/>
      <c r="L835"/>
      <c r="M835"/>
      <c r="N835"/>
      <c r="O835"/>
    </row>
    <row r="836" spans="6:15">
      <c r="F836"/>
      <c r="G836"/>
      <c r="H836"/>
      <c r="I836"/>
      <c r="J836"/>
      <c r="K836"/>
      <c r="L836"/>
      <c r="M836"/>
      <c r="N836"/>
      <c r="O836"/>
    </row>
    <row r="837" spans="6:15">
      <c r="F837"/>
      <c r="G837"/>
      <c r="H837"/>
      <c r="I837"/>
      <c r="J837"/>
      <c r="K837"/>
      <c r="L837"/>
      <c r="M837"/>
      <c r="N837"/>
      <c r="O837"/>
    </row>
    <row r="838" spans="6:15">
      <c r="F838"/>
      <c r="G838"/>
      <c r="H838"/>
      <c r="I838"/>
      <c r="J838"/>
      <c r="K838"/>
      <c r="L838"/>
      <c r="M838"/>
      <c r="N838"/>
      <c r="O838"/>
    </row>
    <row r="839" spans="6:15">
      <c r="F839"/>
      <c r="G839"/>
      <c r="H839"/>
      <c r="I839"/>
      <c r="J839"/>
      <c r="K839"/>
      <c r="L839"/>
      <c r="M839"/>
      <c r="N839"/>
      <c r="O839"/>
    </row>
    <row r="840" spans="6:15">
      <c r="F840"/>
      <c r="G840"/>
      <c r="H840"/>
      <c r="I840"/>
      <c r="J840"/>
      <c r="K840"/>
      <c r="L840"/>
      <c r="M840"/>
      <c r="N840"/>
      <c r="O840"/>
    </row>
    <row r="841" spans="6:15">
      <c r="F841"/>
      <c r="G841"/>
      <c r="H841"/>
      <c r="I841"/>
      <c r="J841"/>
      <c r="K841"/>
      <c r="L841"/>
      <c r="M841"/>
      <c r="N841"/>
      <c r="O841"/>
    </row>
    <row r="842" spans="6:15">
      <c r="F842"/>
      <c r="G842"/>
      <c r="H842"/>
      <c r="I842"/>
      <c r="J842"/>
      <c r="K842"/>
      <c r="L842"/>
      <c r="M842"/>
      <c r="N842"/>
      <c r="O842"/>
    </row>
    <row r="843" spans="6:15">
      <c r="F843"/>
      <c r="G843"/>
      <c r="H843"/>
      <c r="I843"/>
      <c r="J843"/>
      <c r="K843"/>
      <c r="L843"/>
      <c r="M843"/>
      <c r="N843"/>
      <c r="O843"/>
    </row>
    <row r="844" spans="6:15">
      <c r="F844"/>
      <c r="G844"/>
      <c r="H844"/>
      <c r="I844"/>
      <c r="J844"/>
      <c r="K844"/>
      <c r="L844"/>
      <c r="M844"/>
      <c r="N844"/>
      <c r="O844"/>
    </row>
    <row r="845" spans="6:15">
      <c r="F845"/>
      <c r="G845"/>
      <c r="H845"/>
      <c r="I845"/>
      <c r="J845"/>
      <c r="K845"/>
      <c r="L845"/>
      <c r="M845"/>
      <c r="N845"/>
      <c r="O845"/>
    </row>
    <row r="846" spans="6:15">
      <c r="F846"/>
      <c r="G846"/>
      <c r="H846"/>
      <c r="I846"/>
      <c r="J846"/>
      <c r="K846"/>
      <c r="L846"/>
      <c r="M846"/>
      <c r="N846"/>
      <c r="O846"/>
    </row>
    <row r="847" spans="6:15">
      <c r="F847"/>
      <c r="G847"/>
      <c r="H847"/>
      <c r="I847"/>
      <c r="J847"/>
      <c r="K847"/>
      <c r="L847"/>
      <c r="M847"/>
      <c r="N847"/>
      <c r="O847"/>
    </row>
    <row r="848" spans="6:15">
      <c r="F848"/>
      <c r="G848"/>
      <c r="H848"/>
      <c r="I848"/>
      <c r="J848"/>
      <c r="K848"/>
      <c r="L848"/>
      <c r="M848"/>
      <c r="N848"/>
      <c r="O848"/>
    </row>
    <row r="849" spans="6:15">
      <c r="F849"/>
      <c r="G849"/>
      <c r="H849"/>
      <c r="I849"/>
      <c r="J849"/>
      <c r="K849"/>
      <c r="L849"/>
      <c r="M849"/>
      <c r="N849"/>
      <c r="O849"/>
    </row>
    <row r="850" spans="6:15">
      <c r="F850"/>
      <c r="G850"/>
      <c r="H850"/>
      <c r="I850"/>
      <c r="J850"/>
      <c r="K850"/>
      <c r="L850"/>
      <c r="M850"/>
      <c r="N850"/>
      <c r="O850"/>
    </row>
    <row r="851" spans="6:15">
      <c r="F851"/>
      <c r="G851"/>
      <c r="H851"/>
      <c r="I851"/>
      <c r="J851"/>
      <c r="K851"/>
      <c r="L851"/>
      <c r="M851"/>
      <c r="N851"/>
      <c r="O851"/>
    </row>
    <row r="852" spans="6:15">
      <c r="F852"/>
      <c r="G852"/>
      <c r="H852"/>
      <c r="I852"/>
      <c r="J852"/>
      <c r="K852"/>
      <c r="L852"/>
      <c r="M852"/>
      <c r="N852"/>
      <c r="O852"/>
    </row>
    <row r="853" spans="6:15">
      <c r="F853"/>
      <c r="G853"/>
      <c r="H853"/>
      <c r="I853"/>
      <c r="J853"/>
      <c r="K853"/>
      <c r="L853"/>
      <c r="M853"/>
      <c r="N853"/>
      <c r="O853"/>
    </row>
    <row r="854" spans="6:15">
      <c r="F854"/>
      <c r="G854"/>
      <c r="H854"/>
      <c r="I854"/>
      <c r="J854"/>
      <c r="K854"/>
      <c r="L854"/>
      <c r="M854"/>
      <c r="N854"/>
      <c r="O854"/>
    </row>
    <row r="855" spans="6:15">
      <c r="F855"/>
      <c r="G855"/>
      <c r="H855"/>
      <c r="I855"/>
      <c r="J855"/>
      <c r="K855"/>
      <c r="L855"/>
      <c r="M855"/>
      <c r="N855"/>
      <c r="O855"/>
    </row>
    <row r="856" spans="6:15">
      <c r="F856"/>
      <c r="G856"/>
      <c r="H856"/>
      <c r="I856"/>
      <c r="J856"/>
      <c r="K856"/>
      <c r="L856"/>
      <c r="M856"/>
      <c r="N856"/>
      <c r="O856"/>
    </row>
    <row r="857" spans="6:15">
      <c r="F857"/>
      <c r="G857"/>
      <c r="H857"/>
      <c r="I857"/>
      <c r="J857"/>
      <c r="K857"/>
      <c r="L857"/>
      <c r="M857"/>
      <c r="N857"/>
      <c r="O857"/>
    </row>
    <row r="858" spans="6:15">
      <c r="F858"/>
      <c r="G858"/>
      <c r="H858"/>
      <c r="I858"/>
      <c r="J858"/>
      <c r="K858"/>
      <c r="L858"/>
      <c r="M858"/>
      <c r="N858"/>
      <c r="O858"/>
    </row>
    <row r="859" spans="6:15">
      <c r="F859"/>
      <c r="G859"/>
      <c r="H859"/>
      <c r="I859"/>
      <c r="J859"/>
      <c r="K859"/>
      <c r="L859"/>
      <c r="M859"/>
      <c r="N859"/>
      <c r="O859"/>
    </row>
    <row r="860" spans="6:15">
      <c r="F860"/>
      <c r="G860"/>
      <c r="H860"/>
      <c r="I860"/>
      <c r="J860"/>
      <c r="K860"/>
      <c r="L860"/>
      <c r="M860"/>
      <c r="N860"/>
      <c r="O860"/>
    </row>
    <row r="861" spans="6:15">
      <c r="F861"/>
      <c r="G861"/>
      <c r="H861"/>
      <c r="I861"/>
      <c r="J861"/>
      <c r="K861"/>
      <c r="L861"/>
      <c r="M861"/>
      <c r="N861"/>
      <c r="O861"/>
    </row>
    <row r="862" spans="6:15">
      <c r="F862"/>
      <c r="G862"/>
      <c r="H862"/>
      <c r="I862"/>
      <c r="J862"/>
      <c r="K862"/>
      <c r="L862"/>
      <c r="M862"/>
      <c r="N862"/>
      <c r="O862"/>
    </row>
    <row r="863" spans="6:15">
      <c r="F863"/>
      <c r="G863"/>
      <c r="H863"/>
      <c r="I863"/>
      <c r="J863"/>
      <c r="K863"/>
      <c r="L863"/>
      <c r="M863"/>
      <c r="N863"/>
      <c r="O863"/>
    </row>
    <row r="864" spans="6:15">
      <c r="F864"/>
      <c r="G864"/>
      <c r="H864"/>
      <c r="I864"/>
      <c r="J864"/>
      <c r="K864"/>
      <c r="L864"/>
      <c r="M864"/>
      <c r="N864"/>
      <c r="O864"/>
    </row>
    <row r="865" spans="6:15">
      <c r="F865"/>
      <c r="G865"/>
      <c r="H865"/>
      <c r="I865"/>
      <c r="J865"/>
      <c r="K865"/>
      <c r="L865"/>
      <c r="M865"/>
      <c r="N865"/>
      <c r="O865"/>
    </row>
    <row r="866" spans="6:15">
      <c r="F866"/>
      <c r="G866"/>
      <c r="H866"/>
      <c r="I866"/>
      <c r="J866"/>
      <c r="K866"/>
      <c r="L866"/>
      <c r="M866"/>
      <c r="N866"/>
      <c r="O866"/>
    </row>
    <row r="867" spans="6:15">
      <c r="F867"/>
      <c r="G867"/>
      <c r="H867"/>
      <c r="I867"/>
      <c r="J867"/>
      <c r="K867"/>
      <c r="L867"/>
      <c r="M867"/>
      <c r="N867"/>
      <c r="O867"/>
    </row>
    <row r="868" spans="6:15">
      <c r="F868"/>
      <c r="G868"/>
      <c r="H868"/>
      <c r="I868"/>
      <c r="J868"/>
      <c r="K868"/>
      <c r="L868"/>
      <c r="M868"/>
      <c r="N868"/>
      <c r="O868"/>
    </row>
    <row r="869" spans="6:15">
      <c r="F869"/>
      <c r="G869"/>
      <c r="H869"/>
      <c r="I869"/>
      <c r="J869"/>
      <c r="K869"/>
      <c r="L869"/>
      <c r="M869"/>
      <c r="N869"/>
      <c r="O869"/>
    </row>
    <row r="870" spans="6:15">
      <c r="F870"/>
      <c r="G870"/>
      <c r="H870"/>
      <c r="I870"/>
      <c r="J870"/>
      <c r="K870"/>
      <c r="L870"/>
      <c r="M870"/>
      <c r="N870"/>
      <c r="O870"/>
    </row>
    <row r="871" spans="6:15">
      <c r="F871"/>
      <c r="G871"/>
      <c r="H871"/>
      <c r="I871"/>
      <c r="J871"/>
      <c r="K871"/>
      <c r="L871"/>
      <c r="M871"/>
      <c r="N871"/>
      <c r="O871"/>
    </row>
    <row r="872" spans="6:15">
      <c r="F872"/>
      <c r="G872"/>
      <c r="H872"/>
      <c r="I872"/>
      <c r="J872"/>
      <c r="K872"/>
      <c r="L872"/>
      <c r="M872"/>
      <c r="N872"/>
      <c r="O872"/>
    </row>
    <row r="873" spans="6:15">
      <c r="F873"/>
      <c r="G873"/>
      <c r="H873"/>
      <c r="I873"/>
      <c r="J873"/>
      <c r="K873"/>
      <c r="L873"/>
      <c r="M873"/>
      <c r="N873"/>
      <c r="O873"/>
    </row>
    <row r="874" spans="6:15">
      <c r="F874"/>
      <c r="G874"/>
      <c r="H874"/>
      <c r="I874"/>
      <c r="J874"/>
      <c r="K874"/>
      <c r="L874"/>
      <c r="M874"/>
      <c r="N874"/>
      <c r="O874"/>
    </row>
    <row r="875" spans="6:15">
      <c r="F875"/>
      <c r="G875"/>
      <c r="H875"/>
      <c r="I875"/>
      <c r="J875"/>
      <c r="K875"/>
      <c r="L875"/>
      <c r="M875"/>
      <c r="N875"/>
      <c r="O875"/>
    </row>
    <row r="876" spans="6:15">
      <c r="F876"/>
      <c r="G876"/>
      <c r="H876"/>
      <c r="I876"/>
      <c r="J876"/>
      <c r="K876"/>
      <c r="L876"/>
      <c r="M876"/>
      <c r="N876"/>
      <c r="O876"/>
    </row>
    <row r="877" spans="6:15">
      <c r="F877"/>
      <c r="G877"/>
      <c r="H877"/>
      <c r="I877"/>
      <c r="J877"/>
      <c r="K877"/>
      <c r="L877"/>
      <c r="M877"/>
      <c r="N877"/>
      <c r="O877"/>
    </row>
    <row r="878" spans="6:15">
      <c r="F878"/>
      <c r="G878"/>
      <c r="H878"/>
      <c r="I878"/>
      <c r="J878"/>
      <c r="K878"/>
      <c r="L878"/>
      <c r="M878"/>
      <c r="N878"/>
      <c r="O878"/>
    </row>
    <row r="879" spans="6:15">
      <c r="F879"/>
      <c r="G879"/>
      <c r="H879"/>
      <c r="I879"/>
      <c r="J879"/>
      <c r="K879"/>
      <c r="L879"/>
      <c r="M879"/>
      <c r="N879"/>
      <c r="O879"/>
    </row>
    <row r="880" spans="6:15">
      <c r="F880"/>
      <c r="G880"/>
      <c r="H880"/>
      <c r="I880"/>
      <c r="J880"/>
      <c r="K880"/>
      <c r="L880"/>
      <c r="M880"/>
      <c r="N880"/>
      <c r="O880"/>
    </row>
    <row r="881" spans="6:15">
      <c r="F881"/>
      <c r="G881"/>
      <c r="H881"/>
      <c r="I881"/>
      <c r="J881"/>
      <c r="K881"/>
      <c r="L881"/>
      <c r="M881"/>
      <c r="N881"/>
      <c r="O881"/>
    </row>
    <row r="882" spans="6:15">
      <c r="F882"/>
      <c r="G882"/>
      <c r="H882"/>
      <c r="I882"/>
      <c r="J882"/>
      <c r="K882"/>
      <c r="L882"/>
      <c r="M882"/>
      <c r="N882"/>
      <c r="O882"/>
    </row>
    <row r="883" spans="6:15">
      <c r="F883"/>
      <c r="G883"/>
      <c r="H883"/>
      <c r="I883"/>
      <c r="J883"/>
      <c r="K883"/>
      <c r="L883"/>
      <c r="M883"/>
      <c r="N883"/>
      <c r="O883"/>
    </row>
    <row r="884" spans="6:15">
      <c r="F884"/>
      <c r="G884"/>
      <c r="H884"/>
      <c r="I884"/>
      <c r="J884"/>
      <c r="K884"/>
      <c r="L884"/>
      <c r="M884"/>
      <c r="N884"/>
      <c r="O884"/>
    </row>
    <row r="885" spans="6:15">
      <c r="F885"/>
      <c r="G885"/>
      <c r="H885"/>
      <c r="I885"/>
      <c r="J885"/>
      <c r="K885"/>
      <c r="L885"/>
      <c r="M885"/>
      <c r="N885"/>
      <c r="O885"/>
    </row>
    <row r="886" spans="6:15">
      <c r="F886"/>
      <c r="G886"/>
      <c r="H886"/>
      <c r="I886"/>
      <c r="J886"/>
      <c r="K886"/>
      <c r="L886"/>
      <c r="M886"/>
      <c r="N886"/>
      <c r="O886"/>
    </row>
    <row r="887" spans="6:15">
      <c r="F887"/>
      <c r="G887"/>
      <c r="H887"/>
      <c r="I887"/>
      <c r="J887"/>
      <c r="K887"/>
      <c r="L887"/>
      <c r="M887"/>
      <c r="N887"/>
      <c r="O887"/>
    </row>
    <row r="888" spans="6:15">
      <c r="F888"/>
      <c r="G888"/>
      <c r="H888"/>
      <c r="I888"/>
      <c r="J888"/>
      <c r="K888"/>
      <c r="L888"/>
      <c r="M888"/>
      <c r="N888"/>
      <c r="O888"/>
    </row>
    <row r="889" spans="6:15">
      <c r="F889"/>
      <c r="G889"/>
      <c r="H889"/>
      <c r="I889"/>
      <c r="J889"/>
      <c r="K889"/>
      <c r="L889"/>
      <c r="M889"/>
      <c r="N889"/>
      <c r="O889"/>
    </row>
    <row r="890" spans="6:15">
      <c r="F890"/>
      <c r="G890"/>
      <c r="H890"/>
      <c r="I890"/>
      <c r="J890"/>
      <c r="K890"/>
      <c r="L890"/>
      <c r="M890"/>
      <c r="N890"/>
      <c r="O890"/>
    </row>
    <row r="891" spans="6:15">
      <c r="F891"/>
      <c r="G891"/>
      <c r="H891"/>
      <c r="I891"/>
      <c r="J891"/>
      <c r="K891"/>
      <c r="L891"/>
      <c r="M891"/>
      <c r="N891"/>
      <c r="O891"/>
    </row>
    <row r="892" spans="6:15">
      <c r="F892"/>
      <c r="G892"/>
      <c r="H892"/>
      <c r="I892"/>
      <c r="J892"/>
      <c r="K892"/>
      <c r="L892"/>
      <c r="M892"/>
      <c r="N892"/>
      <c r="O892"/>
    </row>
    <row r="893" spans="6:15">
      <c r="F893"/>
      <c r="G893"/>
      <c r="H893"/>
      <c r="I893"/>
      <c r="J893"/>
      <c r="K893"/>
      <c r="L893"/>
      <c r="M893"/>
      <c r="N893"/>
      <c r="O893"/>
    </row>
    <row r="894" spans="6:15">
      <c r="F894"/>
      <c r="G894"/>
      <c r="H894"/>
      <c r="I894"/>
      <c r="J894"/>
      <c r="K894"/>
      <c r="L894"/>
      <c r="M894"/>
      <c r="N894"/>
      <c r="O894"/>
    </row>
    <row r="895" spans="6:15">
      <c r="F895"/>
      <c r="G895"/>
      <c r="H895"/>
      <c r="I895"/>
      <c r="J895"/>
      <c r="K895"/>
      <c r="L895"/>
      <c r="M895"/>
      <c r="N895"/>
      <c r="O895"/>
    </row>
    <row r="896" spans="6:15">
      <c r="F896"/>
      <c r="G896"/>
      <c r="H896"/>
      <c r="I896"/>
      <c r="J896"/>
      <c r="K896"/>
      <c r="L896"/>
      <c r="M896"/>
      <c r="N896"/>
      <c r="O896"/>
    </row>
    <row r="897" spans="6:15">
      <c r="F897"/>
      <c r="G897"/>
      <c r="H897"/>
      <c r="I897"/>
      <c r="J897"/>
      <c r="K897"/>
      <c r="L897"/>
      <c r="M897"/>
      <c r="N897"/>
      <c r="O897"/>
    </row>
    <row r="898" spans="6:15">
      <c r="F898"/>
      <c r="G898"/>
      <c r="H898"/>
      <c r="I898"/>
      <c r="J898"/>
      <c r="K898"/>
      <c r="L898"/>
      <c r="M898"/>
      <c r="N898"/>
      <c r="O898"/>
    </row>
    <row r="899" spans="6:15">
      <c r="F899"/>
      <c r="G899"/>
      <c r="H899"/>
      <c r="I899"/>
      <c r="J899"/>
      <c r="K899"/>
      <c r="L899"/>
      <c r="M899"/>
      <c r="N899"/>
      <c r="O899"/>
    </row>
    <row r="900" spans="6:15">
      <c r="F900"/>
      <c r="G900"/>
      <c r="H900"/>
      <c r="I900"/>
      <c r="J900"/>
      <c r="K900"/>
      <c r="L900"/>
      <c r="M900"/>
      <c r="N900"/>
      <c r="O900"/>
    </row>
    <row r="901" spans="6:15">
      <c r="F901"/>
      <c r="G901"/>
      <c r="H901"/>
      <c r="I901"/>
      <c r="J901"/>
      <c r="K901"/>
      <c r="L901"/>
      <c r="M901"/>
      <c r="N901"/>
      <c r="O901"/>
    </row>
    <row r="902" spans="6:15">
      <c r="F902"/>
      <c r="G902"/>
      <c r="H902"/>
      <c r="I902"/>
      <c r="J902"/>
      <c r="K902"/>
      <c r="L902"/>
      <c r="M902"/>
      <c r="N902"/>
      <c r="O902"/>
    </row>
    <row r="903" spans="6:15">
      <c r="F903"/>
      <c r="G903"/>
      <c r="H903"/>
      <c r="I903"/>
      <c r="J903"/>
      <c r="K903"/>
      <c r="L903"/>
      <c r="M903"/>
      <c r="N903"/>
      <c r="O903"/>
    </row>
    <row r="904" spans="6:15">
      <c r="F904"/>
      <c r="G904"/>
      <c r="H904"/>
      <c r="I904"/>
      <c r="J904"/>
      <c r="K904"/>
      <c r="L904"/>
      <c r="M904"/>
      <c r="N904"/>
      <c r="O904"/>
    </row>
    <row r="905" spans="6:15">
      <c r="F905"/>
      <c r="G905"/>
      <c r="H905"/>
      <c r="I905"/>
      <c r="J905"/>
      <c r="K905"/>
      <c r="L905"/>
      <c r="M905"/>
      <c r="N905"/>
      <c r="O905"/>
    </row>
    <row r="906" spans="6:15">
      <c r="F906"/>
      <c r="G906"/>
      <c r="H906"/>
      <c r="I906"/>
      <c r="J906"/>
      <c r="K906"/>
      <c r="L906"/>
      <c r="M906"/>
      <c r="N906"/>
      <c r="O906"/>
    </row>
    <row r="907" spans="6:15">
      <c r="F907"/>
      <c r="G907"/>
      <c r="H907"/>
      <c r="I907"/>
      <c r="J907"/>
      <c r="K907"/>
      <c r="L907"/>
      <c r="M907"/>
      <c r="N907"/>
      <c r="O907"/>
    </row>
    <row r="908" spans="6:15">
      <c r="F908"/>
      <c r="G908"/>
      <c r="H908"/>
      <c r="I908"/>
      <c r="J908"/>
      <c r="K908"/>
      <c r="L908"/>
      <c r="M908"/>
      <c r="N908"/>
      <c r="O908"/>
    </row>
    <row r="909" spans="6:15">
      <c r="F909"/>
      <c r="G909"/>
      <c r="H909"/>
      <c r="I909"/>
      <c r="J909"/>
      <c r="K909"/>
      <c r="L909"/>
      <c r="M909"/>
      <c r="N909"/>
      <c r="O909"/>
    </row>
    <row r="910" spans="6:15">
      <c r="F910"/>
      <c r="G910"/>
      <c r="H910"/>
      <c r="I910"/>
      <c r="J910"/>
      <c r="K910"/>
      <c r="L910"/>
      <c r="M910"/>
      <c r="N910"/>
      <c r="O910"/>
    </row>
    <row r="911" spans="6:15">
      <c r="F911"/>
      <c r="G911"/>
      <c r="H911"/>
      <c r="I911"/>
      <c r="J911"/>
      <c r="K911"/>
      <c r="L911"/>
      <c r="M911"/>
      <c r="N911"/>
      <c r="O911"/>
    </row>
    <row r="912" spans="6:15">
      <c r="F912"/>
      <c r="G912"/>
      <c r="H912"/>
      <c r="I912"/>
      <c r="J912"/>
      <c r="K912"/>
      <c r="L912"/>
      <c r="M912"/>
      <c r="N912"/>
      <c r="O912"/>
    </row>
    <row r="913" spans="6:15">
      <c r="F913"/>
      <c r="G913"/>
      <c r="H913"/>
      <c r="I913"/>
      <c r="J913"/>
      <c r="K913"/>
      <c r="L913"/>
      <c r="M913"/>
      <c r="N913"/>
      <c r="O913"/>
    </row>
    <row r="914" spans="6:15">
      <c r="F914"/>
      <c r="G914"/>
      <c r="H914"/>
      <c r="I914"/>
      <c r="J914"/>
      <c r="K914"/>
      <c r="L914"/>
      <c r="M914"/>
      <c r="N914"/>
      <c r="O914"/>
    </row>
    <row r="915" spans="6:15">
      <c r="F915"/>
      <c r="G915"/>
      <c r="H915"/>
      <c r="I915"/>
      <c r="J915"/>
      <c r="K915"/>
      <c r="L915"/>
      <c r="M915"/>
      <c r="N915"/>
      <c r="O915"/>
    </row>
    <row r="916" spans="6:15">
      <c r="F916"/>
      <c r="G916"/>
      <c r="H916"/>
      <c r="I916"/>
      <c r="J916"/>
      <c r="K916"/>
      <c r="L916"/>
      <c r="M916"/>
      <c r="N916"/>
      <c r="O916"/>
    </row>
    <row r="917" spans="6:15">
      <c r="F917"/>
      <c r="G917"/>
      <c r="H917"/>
      <c r="I917"/>
      <c r="J917"/>
      <c r="K917"/>
      <c r="L917"/>
      <c r="M917"/>
      <c r="N917"/>
      <c r="O917"/>
    </row>
    <row r="918" spans="6:15">
      <c r="F918"/>
      <c r="G918"/>
      <c r="H918"/>
      <c r="I918"/>
      <c r="J918"/>
      <c r="K918"/>
      <c r="L918"/>
      <c r="M918"/>
      <c r="N918"/>
      <c r="O918"/>
    </row>
    <row r="919" spans="6:15">
      <c r="F919"/>
      <c r="G919"/>
      <c r="H919"/>
      <c r="I919"/>
      <c r="J919"/>
      <c r="K919"/>
      <c r="L919"/>
      <c r="M919"/>
      <c r="N919"/>
      <c r="O919"/>
    </row>
    <row r="920" spans="6:15">
      <c r="F920"/>
      <c r="G920"/>
      <c r="H920"/>
      <c r="I920"/>
      <c r="J920"/>
      <c r="K920"/>
      <c r="L920"/>
      <c r="M920"/>
      <c r="N920"/>
      <c r="O920"/>
    </row>
    <row r="921" spans="6:15">
      <c r="F921"/>
      <c r="G921"/>
      <c r="H921"/>
      <c r="I921"/>
      <c r="J921"/>
      <c r="K921"/>
      <c r="L921"/>
      <c r="M921"/>
      <c r="N921"/>
      <c r="O921"/>
    </row>
    <row r="922" spans="6:15">
      <c r="F922"/>
      <c r="G922"/>
      <c r="H922"/>
      <c r="I922"/>
      <c r="J922"/>
      <c r="K922"/>
      <c r="L922"/>
      <c r="M922"/>
      <c r="N922"/>
      <c r="O922"/>
    </row>
    <row r="923" spans="6:15">
      <c r="F923"/>
      <c r="G923"/>
      <c r="H923"/>
      <c r="I923"/>
      <c r="J923"/>
      <c r="K923"/>
      <c r="L923"/>
      <c r="M923"/>
      <c r="N923"/>
      <c r="O923"/>
    </row>
    <row r="924" spans="6:15">
      <c r="F924"/>
      <c r="G924"/>
      <c r="H924"/>
      <c r="I924"/>
      <c r="J924"/>
      <c r="K924"/>
      <c r="L924"/>
      <c r="M924"/>
      <c r="N924"/>
      <c r="O924"/>
    </row>
    <row r="925" spans="6:15">
      <c r="F925"/>
      <c r="G925"/>
      <c r="H925"/>
      <c r="I925"/>
      <c r="J925"/>
      <c r="K925"/>
      <c r="L925"/>
      <c r="M925"/>
      <c r="N925"/>
      <c r="O925"/>
    </row>
    <row r="926" spans="6:15">
      <c r="F926"/>
      <c r="G926"/>
      <c r="H926"/>
      <c r="I926"/>
      <c r="J926"/>
      <c r="K926"/>
      <c r="L926"/>
      <c r="M926"/>
      <c r="N926"/>
      <c r="O926"/>
    </row>
    <row r="927" spans="6:15">
      <c r="F927"/>
      <c r="G927"/>
      <c r="H927"/>
      <c r="I927"/>
      <c r="J927"/>
      <c r="K927"/>
      <c r="L927"/>
      <c r="M927"/>
      <c r="N927"/>
      <c r="O927"/>
    </row>
    <row r="928" spans="6:15">
      <c r="F928"/>
      <c r="G928"/>
      <c r="H928"/>
      <c r="I928"/>
      <c r="J928"/>
      <c r="K928"/>
      <c r="L928"/>
      <c r="M928"/>
      <c r="N928"/>
      <c r="O928"/>
    </row>
    <row r="929" spans="6:15">
      <c r="F929"/>
      <c r="G929"/>
      <c r="H929"/>
      <c r="I929"/>
      <c r="J929"/>
      <c r="K929"/>
      <c r="L929"/>
      <c r="M929"/>
      <c r="N929"/>
      <c r="O929"/>
    </row>
    <row r="930" spans="6:15">
      <c r="F930"/>
      <c r="G930"/>
      <c r="H930"/>
      <c r="I930"/>
      <c r="J930"/>
      <c r="K930"/>
      <c r="L930"/>
      <c r="M930"/>
      <c r="N930"/>
      <c r="O930"/>
    </row>
    <row r="931" spans="6:15">
      <c r="F931"/>
      <c r="G931"/>
      <c r="H931"/>
      <c r="I931"/>
      <c r="J931"/>
      <c r="K931"/>
      <c r="L931"/>
      <c r="M931"/>
      <c r="N931"/>
      <c r="O931"/>
    </row>
    <row r="932" spans="6:15">
      <c r="F932"/>
      <c r="G932"/>
      <c r="H932"/>
      <c r="I932"/>
      <c r="J932"/>
      <c r="K932"/>
      <c r="L932"/>
      <c r="M932"/>
      <c r="N932"/>
      <c r="O932"/>
    </row>
    <row r="933" spans="6:15">
      <c r="F933"/>
      <c r="G933"/>
      <c r="H933"/>
      <c r="I933"/>
      <c r="J933"/>
      <c r="K933"/>
      <c r="L933"/>
      <c r="M933"/>
      <c r="N933"/>
      <c r="O933"/>
    </row>
    <row r="934" spans="6:15">
      <c r="F934"/>
      <c r="G934"/>
      <c r="H934"/>
      <c r="I934"/>
      <c r="J934"/>
      <c r="K934"/>
      <c r="L934"/>
      <c r="M934"/>
      <c r="N934"/>
      <c r="O934"/>
    </row>
    <row r="935" spans="6:15">
      <c r="F935"/>
      <c r="G935"/>
      <c r="H935"/>
      <c r="I935"/>
      <c r="J935"/>
      <c r="K935"/>
      <c r="L935"/>
      <c r="M935"/>
      <c r="N935"/>
      <c r="O935"/>
    </row>
    <row r="936" spans="6:15">
      <c r="F936"/>
      <c r="G936"/>
      <c r="H936"/>
      <c r="I936"/>
      <c r="J936"/>
      <c r="K936"/>
      <c r="L936"/>
      <c r="M936"/>
      <c r="N936"/>
      <c r="O936"/>
    </row>
    <row r="937" spans="6:15">
      <c r="F937"/>
      <c r="G937"/>
      <c r="H937"/>
      <c r="I937"/>
      <c r="J937"/>
      <c r="K937"/>
      <c r="L937"/>
      <c r="M937"/>
      <c r="N937"/>
      <c r="O937"/>
    </row>
    <row r="938" spans="6:15">
      <c r="F938"/>
      <c r="G938"/>
      <c r="H938"/>
      <c r="I938"/>
      <c r="J938"/>
      <c r="K938"/>
      <c r="L938"/>
      <c r="M938"/>
      <c r="N938"/>
      <c r="O938"/>
    </row>
    <row r="939" spans="6:15">
      <c r="F939"/>
      <c r="G939"/>
      <c r="H939"/>
      <c r="I939"/>
      <c r="J939"/>
      <c r="K939"/>
      <c r="L939"/>
      <c r="M939"/>
      <c r="N939"/>
      <c r="O939"/>
    </row>
    <row r="940" spans="6:15">
      <c r="F940"/>
      <c r="G940"/>
      <c r="H940"/>
      <c r="I940"/>
      <c r="J940"/>
      <c r="K940"/>
      <c r="L940"/>
      <c r="M940"/>
      <c r="N940"/>
      <c r="O940"/>
    </row>
    <row r="941" spans="6:15">
      <c r="F941"/>
      <c r="G941"/>
      <c r="H941"/>
      <c r="I941"/>
      <c r="J941"/>
      <c r="K941"/>
      <c r="L941"/>
      <c r="M941"/>
      <c r="N941"/>
      <c r="O941"/>
    </row>
    <row r="942" spans="6:15">
      <c r="F942"/>
      <c r="G942"/>
      <c r="H942"/>
      <c r="I942"/>
      <c r="J942"/>
      <c r="K942"/>
      <c r="L942"/>
      <c r="M942"/>
      <c r="N942"/>
      <c r="O942"/>
    </row>
    <row r="943" spans="6:15">
      <c r="F943"/>
      <c r="G943"/>
      <c r="H943"/>
      <c r="I943"/>
      <c r="J943"/>
      <c r="K943"/>
      <c r="L943"/>
      <c r="M943"/>
      <c r="N943"/>
      <c r="O943"/>
    </row>
    <row r="944" spans="6:15">
      <c r="F944"/>
      <c r="G944"/>
      <c r="H944"/>
      <c r="I944"/>
      <c r="J944"/>
      <c r="K944"/>
      <c r="L944"/>
      <c r="M944"/>
      <c r="N944"/>
      <c r="O944"/>
    </row>
    <row r="945" spans="6:15">
      <c r="F945"/>
      <c r="G945"/>
      <c r="H945"/>
      <c r="I945"/>
      <c r="J945"/>
      <c r="K945"/>
      <c r="L945"/>
      <c r="M945"/>
      <c r="N945"/>
      <c r="O945"/>
    </row>
    <row r="946" spans="6:15">
      <c r="F946"/>
      <c r="G946"/>
      <c r="H946"/>
      <c r="I946"/>
      <c r="J946"/>
      <c r="K946"/>
      <c r="L946"/>
      <c r="M946"/>
      <c r="N946"/>
      <c r="O946"/>
    </row>
    <row r="947" spans="6:15">
      <c r="F947"/>
      <c r="G947"/>
      <c r="H947"/>
      <c r="I947"/>
      <c r="J947"/>
      <c r="K947"/>
      <c r="L947"/>
      <c r="M947"/>
      <c r="N947"/>
      <c r="O947"/>
    </row>
    <row r="948" spans="6:15">
      <c r="F948"/>
      <c r="G948"/>
      <c r="H948"/>
      <c r="I948"/>
      <c r="J948"/>
      <c r="K948"/>
      <c r="L948"/>
      <c r="M948"/>
      <c r="N948"/>
      <c r="O948"/>
    </row>
    <row r="949" spans="6:15">
      <c r="F949"/>
      <c r="G949"/>
      <c r="H949"/>
      <c r="I949"/>
      <c r="J949"/>
      <c r="K949"/>
      <c r="L949"/>
      <c r="M949"/>
      <c r="N949"/>
      <c r="O949"/>
    </row>
    <row r="950" spans="6:15">
      <c r="F950"/>
      <c r="G950"/>
      <c r="H950"/>
      <c r="I950"/>
      <c r="J950"/>
      <c r="K950"/>
      <c r="L950"/>
      <c r="M950"/>
      <c r="N950"/>
      <c r="O950"/>
    </row>
    <row r="951" spans="6:15">
      <c r="F951"/>
      <c r="G951"/>
      <c r="H951"/>
      <c r="I951"/>
      <c r="J951"/>
      <c r="K951"/>
      <c r="L951"/>
      <c r="M951"/>
      <c r="N951"/>
      <c r="O951"/>
    </row>
    <row r="952" spans="6:15">
      <c r="F952"/>
      <c r="G952"/>
      <c r="H952"/>
      <c r="I952"/>
      <c r="J952"/>
      <c r="K952"/>
      <c r="L952"/>
      <c r="M952"/>
      <c r="N952"/>
      <c r="O952"/>
    </row>
    <row r="953" spans="6:15">
      <c r="F953"/>
      <c r="G953"/>
      <c r="H953"/>
      <c r="I953"/>
      <c r="J953"/>
      <c r="K953"/>
      <c r="L953"/>
      <c r="M953"/>
      <c r="N953"/>
      <c r="O953"/>
    </row>
    <row r="954" spans="6:15">
      <c r="F954"/>
      <c r="G954"/>
      <c r="H954"/>
      <c r="I954"/>
      <c r="J954"/>
      <c r="K954"/>
      <c r="L954"/>
      <c r="M954"/>
      <c r="N954"/>
      <c r="O954"/>
    </row>
    <row r="955" spans="6:15">
      <c r="F955"/>
      <c r="G955"/>
      <c r="H955"/>
      <c r="I955"/>
      <c r="J955"/>
      <c r="K955"/>
      <c r="L955"/>
      <c r="M955"/>
      <c r="N955"/>
      <c r="O955"/>
    </row>
    <row r="956" spans="6:15">
      <c r="F956"/>
      <c r="G956"/>
      <c r="H956"/>
      <c r="I956"/>
      <c r="J956"/>
      <c r="K956"/>
      <c r="L956"/>
      <c r="M956"/>
      <c r="N956"/>
      <c r="O956"/>
    </row>
    <row r="957" spans="6:15">
      <c r="F957"/>
      <c r="G957"/>
      <c r="H957"/>
      <c r="I957"/>
      <c r="J957"/>
      <c r="K957"/>
      <c r="L957"/>
      <c r="M957"/>
      <c r="N957"/>
      <c r="O957"/>
    </row>
    <row r="958" spans="6:15">
      <c r="F958"/>
      <c r="G958"/>
      <c r="H958"/>
      <c r="I958"/>
      <c r="J958"/>
      <c r="K958"/>
      <c r="L958"/>
      <c r="M958"/>
      <c r="N958"/>
      <c r="O958"/>
    </row>
    <row r="959" spans="6:15">
      <c r="F959"/>
      <c r="G959"/>
      <c r="H959"/>
      <c r="I959"/>
      <c r="J959"/>
      <c r="K959"/>
      <c r="L959"/>
      <c r="M959"/>
      <c r="N959"/>
      <c r="O959"/>
    </row>
    <row r="960" spans="6:15">
      <c r="F960"/>
      <c r="G960"/>
      <c r="H960"/>
      <c r="I960"/>
      <c r="J960"/>
      <c r="K960"/>
      <c r="L960"/>
      <c r="M960"/>
      <c r="N960"/>
      <c r="O960"/>
    </row>
    <row r="961" spans="6:15">
      <c r="F961"/>
      <c r="G961"/>
      <c r="H961"/>
      <c r="I961"/>
      <c r="J961"/>
      <c r="K961"/>
      <c r="L961"/>
      <c r="M961"/>
      <c r="N961"/>
      <c r="O961"/>
    </row>
    <row r="962" spans="6:15">
      <c r="F962"/>
      <c r="G962"/>
      <c r="H962"/>
      <c r="I962"/>
      <c r="J962"/>
      <c r="K962"/>
      <c r="L962"/>
      <c r="M962"/>
      <c r="N962"/>
      <c r="O962"/>
    </row>
    <row r="963" spans="6:15">
      <c r="F963"/>
      <c r="G963"/>
      <c r="H963"/>
      <c r="I963"/>
      <c r="J963"/>
      <c r="K963"/>
      <c r="L963"/>
      <c r="M963"/>
      <c r="N963"/>
      <c r="O963"/>
    </row>
    <row r="964" spans="6:15">
      <c r="F964"/>
      <c r="G964"/>
      <c r="H964"/>
      <c r="I964"/>
      <c r="J964"/>
      <c r="K964"/>
      <c r="L964"/>
      <c r="M964"/>
      <c r="N964"/>
      <c r="O964"/>
    </row>
    <row r="965" spans="6:15">
      <c r="F965"/>
      <c r="G965"/>
      <c r="H965"/>
      <c r="I965"/>
      <c r="J965"/>
      <c r="K965"/>
      <c r="L965"/>
      <c r="M965"/>
      <c r="N965"/>
      <c r="O965"/>
    </row>
    <row r="966" spans="6:15">
      <c r="F966"/>
      <c r="G966"/>
      <c r="H966"/>
      <c r="I966"/>
      <c r="J966"/>
      <c r="K966"/>
      <c r="L966"/>
      <c r="M966"/>
      <c r="N966"/>
      <c r="O966"/>
    </row>
    <row r="967" spans="6:15">
      <c r="F967"/>
      <c r="G967"/>
      <c r="H967"/>
      <c r="I967"/>
      <c r="J967"/>
      <c r="K967"/>
      <c r="L967"/>
      <c r="M967"/>
      <c r="N967"/>
      <c r="O967"/>
    </row>
    <row r="968" spans="6:15">
      <c r="F968"/>
      <c r="G968"/>
      <c r="H968"/>
      <c r="I968"/>
      <c r="J968"/>
      <c r="K968"/>
      <c r="L968"/>
      <c r="M968"/>
      <c r="N968"/>
      <c r="O968"/>
    </row>
    <row r="969" spans="6:15">
      <c r="F969"/>
      <c r="G969"/>
      <c r="H969"/>
      <c r="I969"/>
      <c r="J969"/>
      <c r="K969"/>
      <c r="L969"/>
      <c r="M969"/>
      <c r="N969"/>
      <c r="O969"/>
    </row>
    <row r="970" spans="6:15">
      <c r="F970"/>
      <c r="G970"/>
      <c r="H970"/>
      <c r="I970"/>
      <c r="J970"/>
      <c r="K970"/>
      <c r="L970"/>
      <c r="M970"/>
      <c r="N970"/>
      <c r="O970"/>
    </row>
    <row r="971" spans="6:15">
      <c r="F971"/>
      <c r="G971"/>
      <c r="H971"/>
      <c r="I971"/>
      <c r="J971"/>
      <c r="K971"/>
      <c r="L971"/>
      <c r="M971"/>
      <c r="N971"/>
      <c r="O971"/>
    </row>
    <row r="972" spans="6:15">
      <c r="F972"/>
      <c r="G972"/>
      <c r="H972"/>
      <c r="I972"/>
      <c r="J972"/>
      <c r="K972"/>
      <c r="L972"/>
      <c r="M972"/>
      <c r="N972"/>
      <c r="O972"/>
    </row>
    <row r="973" spans="6:15">
      <c r="F973"/>
      <c r="G973"/>
      <c r="H973"/>
      <c r="I973"/>
      <c r="J973"/>
      <c r="K973"/>
      <c r="L973"/>
      <c r="M973"/>
      <c r="N973"/>
      <c r="O973"/>
    </row>
    <row r="974" spans="6:15">
      <c r="F974"/>
      <c r="G974"/>
      <c r="H974"/>
      <c r="I974"/>
      <c r="J974"/>
      <c r="K974"/>
      <c r="L974"/>
      <c r="M974"/>
      <c r="N974"/>
      <c r="O974"/>
    </row>
    <row r="975" spans="6:15">
      <c r="F975"/>
      <c r="G975"/>
      <c r="H975"/>
      <c r="I975"/>
      <c r="J975"/>
      <c r="K975"/>
      <c r="L975"/>
      <c r="M975"/>
      <c r="N975"/>
      <c r="O975"/>
    </row>
    <row r="976" spans="6:15">
      <c r="F976"/>
      <c r="G976"/>
      <c r="H976"/>
      <c r="I976"/>
      <c r="J976"/>
      <c r="K976"/>
      <c r="L976"/>
      <c r="M976"/>
      <c r="N976"/>
      <c r="O976"/>
    </row>
    <row r="977" spans="6:15">
      <c r="F977"/>
      <c r="G977"/>
      <c r="H977"/>
      <c r="I977"/>
      <c r="J977"/>
      <c r="K977"/>
      <c r="L977"/>
      <c r="M977"/>
      <c r="N977"/>
      <c r="O977"/>
    </row>
    <row r="978" spans="6:15">
      <c r="F978"/>
      <c r="G978"/>
      <c r="H978"/>
      <c r="I978"/>
      <c r="J978"/>
      <c r="K978"/>
      <c r="L978"/>
      <c r="M978"/>
      <c r="N978"/>
      <c r="O978"/>
    </row>
    <row r="979" spans="6:15">
      <c r="F979"/>
      <c r="G979"/>
      <c r="H979"/>
      <c r="I979"/>
      <c r="J979"/>
      <c r="K979"/>
      <c r="L979"/>
      <c r="M979"/>
      <c r="N979"/>
      <c r="O979"/>
    </row>
    <row r="980" spans="6:15">
      <c r="F980"/>
      <c r="G980"/>
      <c r="H980"/>
      <c r="I980"/>
      <c r="J980"/>
      <c r="K980"/>
      <c r="L980"/>
      <c r="M980"/>
      <c r="N980"/>
      <c r="O980"/>
    </row>
    <row r="981" spans="6:15">
      <c r="F981"/>
      <c r="G981"/>
      <c r="H981"/>
      <c r="I981"/>
      <c r="J981"/>
      <c r="K981"/>
      <c r="L981"/>
      <c r="M981"/>
      <c r="N981"/>
      <c r="O981"/>
    </row>
    <row r="982" spans="6:15">
      <c r="F982"/>
      <c r="G982"/>
      <c r="H982"/>
      <c r="I982"/>
      <c r="J982"/>
      <c r="K982"/>
      <c r="L982"/>
      <c r="M982"/>
      <c r="N982"/>
      <c r="O982"/>
    </row>
    <row r="983" spans="6:15">
      <c r="F983"/>
      <c r="G983"/>
      <c r="H983"/>
      <c r="I983"/>
      <c r="J983"/>
      <c r="K983"/>
      <c r="L983"/>
      <c r="M983"/>
      <c r="N983"/>
      <c r="O983"/>
    </row>
    <row r="984" spans="6:15">
      <c r="F984"/>
      <c r="G984"/>
      <c r="H984"/>
      <c r="I984"/>
      <c r="J984"/>
      <c r="K984"/>
      <c r="L984"/>
      <c r="M984"/>
      <c r="N984"/>
      <c r="O984"/>
    </row>
    <row r="985" spans="6:15">
      <c r="F985"/>
      <c r="G985"/>
      <c r="H985"/>
      <c r="I985"/>
      <c r="J985"/>
      <c r="K985"/>
      <c r="L985"/>
      <c r="M985"/>
      <c r="N985"/>
      <c r="O985"/>
    </row>
    <row r="986" spans="6:15">
      <c r="F986"/>
      <c r="G986"/>
      <c r="H986"/>
      <c r="I986"/>
      <c r="J986"/>
      <c r="K986"/>
      <c r="L986"/>
      <c r="M986"/>
      <c r="N986"/>
      <c r="O986"/>
    </row>
    <row r="987" spans="6:15">
      <c r="F987"/>
      <c r="G987"/>
      <c r="H987"/>
      <c r="I987"/>
      <c r="J987"/>
      <c r="K987"/>
      <c r="L987"/>
      <c r="M987"/>
      <c r="N987"/>
      <c r="O987"/>
    </row>
    <row r="988" spans="6:15">
      <c r="F988"/>
      <c r="G988"/>
      <c r="H988"/>
      <c r="I988"/>
      <c r="J988"/>
      <c r="K988"/>
      <c r="L988"/>
      <c r="M988"/>
      <c r="N988"/>
      <c r="O988"/>
    </row>
    <row r="989" spans="6:15">
      <c r="F989"/>
      <c r="G989"/>
      <c r="H989"/>
      <c r="I989"/>
      <c r="J989"/>
      <c r="K989"/>
      <c r="L989"/>
      <c r="M989"/>
      <c r="N989"/>
      <c r="O989"/>
    </row>
    <row r="990" spans="6:15">
      <c r="F990"/>
      <c r="G990"/>
      <c r="H990"/>
      <c r="I990"/>
      <c r="J990"/>
      <c r="K990"/>
      <c r="L990"/>
      <c r="M990"/>
      <c r="N990"/>
      <c r="O990"/>
    </row>
    <row r="991" spans="6:15">
      <c r="F991"/>
      <c r="G991"/>
      <c r="H991"/>
      <c r="I991"/>
      <c r="J991"/>
      <c r="K991"/>
      <c r="L991"/>
      <c r="M991"/>
      <c r="N991"/>
      <c r="O991"/>
    </row>
    <row r="992" spans="6:15">
      <c r="F992"/>
      <c r="G992"/>
      <c r="H992"/>
      <c r="I992"/>
      <c r="J992"/>
      <c r="K992"/>
      <c r="L992"/>
      <c r="M992"/>
      <c r="N992"/>
      <c r="O992"/>
    </row>
    <row r="993" spans="6:15">
      <c r="F993"/>
      <c r="G993"/>
      <c r="H993"/>
      <c r="I993"/>
      <c r="J993"/>
      <c r="K993"/>
      <c r="L993"/>
      <c r="M993"/>
      <c r="N993"/>
      <c r="O993"/>
    </row>
    <row r="994" spans="6:15">
      <c r="F994"/>
      <c r="G994"/>
      <c r="H994"/>
      <c r="I994"/>
      <c r="J994"/>
      <c r="K994"/>
      <c r="L994"/>
      <c r="M994"/>
      <c r="N994"/>
      <c r="O994"/>
    </row>
    <row r="995" spans="6:15">
      <c r="F995"/>
      <c r="G995"/>
      <c r="H995"/>
      <c r="I995"/>
      <c r="J995"/>
      <c r="K995"/>
      <c r="L995"/>
      <c r="M995"/>
      <c r="N995"/>
      <c r="O995"/>
    </row>
    <row r="996" spans="6:15">
      <c r="F996"/>
      <c r="G996"/>
      <c r="H996"/>
      <c r="I996"/>
      <c r="J996"/>
      <c r="K996"/>
      <c r="L996"/>
      <c r="M996"/>
      <c r="N996"/>
      <c r="O996"/>
    </row>
    <row r="997" spans="6:15">
      <c r="F997"/>
      <c r="G997"/>
      <c r="H997"/>
      <c r="I997"/>
      <c r="J997"/>
      <c r="K997"/>
      <c r="L997"/>
      <c r="M997"/>
      <c r="N997"/>
      <c r="O997"/>
    </row>
    <row r="998" spans="6:15">
      <c r="F998"/>
      <c r="G998"/>
      <c r="H998"/>
      <c r="I998"/>
      <c r="J998"/>
      <c r="K998"/>
      <c r="L998"/>
      <c r="M998"/>
      <c r="N998"/>
      <c r="O998"/>
    </row>
    <row r="999" spans="6:15">
      <c r="F999"/>
      <c r="G999"/>
      <c r="H999"/>
      <c r="I999"/>
      <c r="J999"/>
      <c r="K999"/>
      <c r="L999"/>
      <c r="M999"/>
      <c r="N999"/>
      <c r="O999"/>
    </row>
    <row r="1000" spans="6:15">
      <c r="F1000"/>
      <c r="G1000"/>
      <c r="H1000"/>
      <c r="I1000"/>
      <c r="J1000"/>
      <c r="K1000"/>
      <c r="L1000"/>
      <c r="M1000"/>
      <c r="N1000"/>
      <c r="O1000"/>
    </row>
    <row r="1001" spans="6:15">
      <c r="F1001"/>
      <c r="G1001"/>
      <c r="H1001"/>
      <c r="I1001"/>
      <c r="J1001"/>
      <c r="K1001"/>
      <c r="L1001"/>
      <c r="M1001"/>
      <c r="N1001"/>
      <c r="O1001"/>
    </row>
    <row r="1002" spans="6:15">
      <c r="F1002"/>
      <c r="G1002"/>
      <c r="H1002"/>
      <c r="I1002"/>
      <c r="J1002"/>
      <c r="K1002"/>
      <c r="L1002"/>
      <c r="M1002"/>
      <c r="N1002"/>
      <c r="O1002"/>
    </row>
    <row r="1003" spans="6:15">
      <c r="F1003"/>
      <c r="G1003"/>
      <c r="H1003"/>
      <c r="I1003"/>
      <c r="J1003"/>
      <c r="K1003"/>
      <c r="L1003"/>
      <c r="M1003"/>
      <c r="N1003"/>
      <c r="O1003"/>
    </row>
    <row r="1004" spans="6:15">
      <c r="F1004"/>
      <c r="G1004"/>
      <c r="H1004"/>
      <c r="I1004"/>
      <c r="J1004"/>
      <c r="K1004"/>
      <c r="L1004"/>
      <c r="M1004"/>
      <c r="N1004"/>
      <c r="O1004"/>
    </row>
    <row r="1005" spans="6:15">
      <c r="F1005"/>
      <c r="G1005"/>
      <c r="H1005"/>
      <c r="I1005"/>
      <c r="J1005"/>
      <c r="K1005"/>
      <c r="L1005"/>
      <c r="M1005"/>
      <c r="N1005"/>
      <c r="O1005"/>
    </row>
    <row r="1006" spans="6:15">
      <c r="F1006"/>
      <c r="G1006"/>
      <c r="H1006"/>
      <c r="I1006"/>
      <c r="J1006"/>
      <c r="K1006"/>
      <c r="L1006"/>
      <c r="M1006"/>
      <c r="N1006"/>
      <c r="O1006"/>
    </row>
    <row r="1007" spans="6:15">
      <c r="F1007"/>
      <c r="G1007"/>
      <c r="H1007"/>
      <c r="I1007"/>
      <c r="J1007"/>
      <c r="K1007"/>
      <c r="L1007"/>
      <c r="M1007"/>
      <c r="N1007"/>
      <c r="O1007"/>
    </row>
    <row r="1008" spans="6:15">
      <c r="F1008"/>
      <c r="G1008"/>
      <c r="H1008"/>
      <c r="I1008"/>
      <c r="J1008"/>
      <c r="K1008"/>
      <c r="L1008"/>
      <c r="M1008"/>
      <c r="N1008"/>
      <c r="O1008"/>
    </row>
    <row r="1009" spans="6:15">
      <c r="F1009"/>
      <c r="G1009"/>
      <c r="H1009"/>
      <c r="I1009"/>
      <c r="J1009"/>
      <c r="K1009"/>
      <c r="L1009"/>
      <c r="M1009"/>
      <c r="N1009"/>
      <c r="O1009"/>
    </row>
    <row r="1010" spans="6:15">
      <c r="F1010"/>
      <c r="G1010"/>
      <c r="H1010"/>
      <c r="I1010"/>
      <c r="J1010"/>
      <c r="K1010"/>
      <c r="L1010"/>
      <c r="M1010"/>
      <c r="N1010"/>
      <c r="O1010"/>
    </row>
    <row r="1011" spans="6:15">
      <c r="F1011"/>
      <c r="G1011"/>
      <c r="H1011"/>
      <c r="I1011"/>
      <c r="J1011"/>
      <c r="K1011"/>
      <c r="L1011"/>
      <c r="M1011"/>
      <c r="N1011"/>
      <c r="O1011"/>
    </row>
    <row r="1012" spans="6:15">
      <c r="F1012"/>
      <c r="G1012"/>
      <c r="H1012"/>
      <c r="I1012"/>
      <c r="J1012"/>
      <c r="K1012"/>
      <c r="L1012"/>
      <c r="M1012"/>
      <c r="N1012"/>
      <c r="O1012"/>
    </row>
    <row r="1013" spans="6:15">
      <c r="F1013"/>
      <c r="G1013"/>
      <c r="H1013"/>
      <c r="I1013"/>
      <c r="J1013"/>
      <c r="K1013"/>
      <c r="L1013"/>
      <c r="M1013"/>
      <c r="N1013"/>
      <c r="O1013"/>
    </row>
    <row r="1014" spans="6:15">
      <c r="F1014"/>
      <c r="G1014"/>
      <c r="H1014"/>
      <c r="I1014"/>
      <c r="J1014"/>
      <c r="K1014"/>
      <c r="L1014"/>
      <c r="M1014"/>
      <c r="N1014"/>
      <c r="O1014"/>
    </row>
    <row r="1015" spans="6:15">
      <c r="F1015"/>
      <c r="G1015"/>
      <c r="H1015"/>
      <c r="I1015"/>
      <c r="J1015"/>
      <c r="K1015"/>
      <c r="L1015"/>
      <c r="M1015"/>
      <c r="N1015"/>
      <c r="O1015"/>
    </row>
    <row r="1016" spans="6:15">
      <c r="F1016"/>
      <c r="G1016"/>
      <c r="H1016"/>
      <c r="I1016"/>
      <c r="J1016"/>
      <c r="K1016"/>
      <c r="L1016"/>
      <c r="M1016"/>
      <c r="N1016"/>
      <c r="O1016"/>
    </row>
    <row r="1017" spans="6:15">
      <c r="F1017"/>
      <c r="G1017"/>
      <c r="H1017"/>
      <c r="I1017"/>
      <c r="J1017"/>
      <c r="K1017"/>
      <c r="L1017"/>
      <c r="M1017"/>
      <c r="N1017"/>
      <c r="O1017"/>
    </row>
    <row r="1018" spans="6:15">
      <c r="F1018"/>
      <c r="G1018"/>
      <c r="H1018"/>
      <c r="I1018"/>
      <c r="J1018"/>
      <c r="K1018"/>
      <c r="L1018"/>
      <c r="M1018"/>
      <c r="N1018"/>
      <c r="O1018"/>
    </row>
    <row r="1019" spans="6:15">
      <c r="F1019"/>
      <c r="G1019"/>
      <c r="H1019"/>
      <c r="I1019"/>
      <c r="J1019"/>
      <c r="K1019"/>
      <c r="L1019"/>
      <c r="M1019"/>
      <c r="N1019"/>
      <c r="O1019"/>
    </row>
    <row r="1020" spans="6:15">
      <c r="F1020"/>
      <c r="G1020"/>
      <c r="H1020"/>
      <c r="I1020"/>
      <c r="J1020"/>
      <c r="K1020"/>
      <c r="L1020"/>
      <c r="M1020"/>
      <c r="N1020"/>
      <c r="O1020"/>
    </row>
    <row r="1021" spans="6:15">
      <c r="F1021"/>
      <c r="G1021"/>
      <c r="H1021"/>
      <c r="I1021"/>
      <c r="J1021"/>
      <c r="K1021"/>
      <c r="L1021"/>
      <c r="M1021"/>
      <c r="N1021"/>
      <c r="O1021"/>
    </row>
    <row r="1022" spans="6:15">
      <c r="F1022"/>
      <c r="G1022"/>
      <c r="H1022"/>
      <c r="I1022"/>
      <c r="J1022"/>
      <c r="K1022"/>
      <c r="L1022"/>
      <c r="M1022"/>
      <c r="N1022"/>
      <c r="O1022"/>
    </row>
    <row r="1023" spans="6:15">
      <c r="F1023"/>
      <c r="G1023"/>
      <c r="H1023"/>
      <c r="I1023"/>
      <c r="J1023"/>
      <c r="K1023"/>
      <c r="L1023"/>
      <c r="M1023"/>
      <c r="N1023"/>
      <c r="O1023"/>
    </row>
    <row r="1024" spans="6:15">
      <c r="F1024"/>
      <c r="G1024"/>
      <c r="H1024"/>
      <c r="I1024"/>
      <c r="J1024"/>
      <c r="K1024"/>
      <c r="L1024"/>
      <c r="M1024"/>
      <c r="N1024"/>
      <c r="O1024"/>
    </row>
    <row r="1025" spans="6:15">
      <c r="F1025"/>
      <c r="G1025"/>
      <c r="H1025"/>
      <c r="I1025"/>
      <c r="J1025"/>
      <c r="K1025"/>
      <c r="L1025"/>
      <c r="M1025"/>
      <c r="N1025"/>
      <c r="O1025"/>
    </row>
    <row r="1026" spans="6:15">
      <c r="F1026"/>
      <c r="G1026"/>
      <c r="H1026"/>
      <c r="I1026"/>
      <c r="J1026"/>
      <c r="K1026"/>
      <c r="L1026"/>
      <c r="M1026"/>
      <c r="N1026"/>
      <c r="O1026"/>
    </row>
    <row r="1027" spans="6:15">
      <c r="F1027"/>
      <c r="G1027"/>
      <c r="H1027"/>
      <c r="I1027"/>
      <c r="J1027"/>
      <c r="K1027"/>
      <c r="L1027"/>
      <c r="M1027"/>
      <c r="N1027"/>
      <c r="O1027"/>
    </row>
    <row r="1028" spans="6:15">
      <c r="F1028"/>
      <c r="G1028"/>
      <c r="H1028"/>
      <c r="I1028"/>
      <c r="J1028"/>
      <c r="K1028"/>
      <c r="L1028"/>
      <c r="M1028"/>
      <c r="N1028"/>
      <c r="O1028"/>
    </row>
    <row r="1029" spans="6:15">
      <c r="F1029"/>
      <c r="G1029"/>
      <c r="H1029"/>
      <c r="I1029"/>
      <c r="J1029"/>
      <c r="K1029"/>
      <c r="L1029"/>
      <c r="M1029"/>
      <c r="N1029"/>
      <c r="O1029"/>
    </row>
    <row r="1030" spans="6:15">
      <c r="F1030"/>
      <c r="G1030"/>
      <c r="H1030"/>
      <c r="I1030"/>
      <c r="J1030"/>
      <c r="K1030"/>
      <c r="L1030"/>
      <c r="M1030"/>
      <c r="N1030"/>
      <c r="O1030"/>
    </row>
    <row r="1031" spans="6:15">
      <c r="F1031"/>
      <c r="G1031"/>
      <c r="H1031"/>
      <c r="I1031"/>
      <c r="J1031"/>
      <c r="K1031"/>
      <c r="L1031"/>
      <c r="M1031"/>
      <c r="N1031"/>
      <c r="O1031"/>
    </row>
    <row r="1032" spans="6:15">
      <c r="F1032"/>
      <c r="G1032"/>
      <c r="H1032"/>
      <c r="I1032"/>
      <c r="J1032"/>
      <c r="K1032"/>
      <c r="L1032"/>
      <c r="M1032"/>
      <c r="N1032"/>
      <c r="O1032"/>
    </row>
    <row r="1033" spans="6:15">
      <c r="F1033"/>
      <c r="G1033"/>
      <c r="H1033"/>
      <c r="I1033"/>
      <c r="J1033"/>
      <c r="K1033"/>
      <c r="L1033"/>
      <c r="M1033"/>
      <c r="N1033"/>
      <c r="O1033"/>
    </row>
    <row r="1034" spans="6:15">
      <c r="F1034"/>
      <c r="G1034"/>
      <c r="H1034"/>
      <c r="I1034"/>
      <c r="J1034"/>
      <c r="K1034"/>
      <c r="L1034"/>
      <c r="M1034"/>
      <c r="N1034"/>
      <c r="O1034"/>
    </row>
    <row r="1035" spans="6:15">
      <c r="F1035"/>
      <c r="G1035"/>
      <c r="H1035"/>
      <c r="I1035"/>
      <c r="J1035"/>
      <c r="K1035"/>
      <c r="L1035"/>
      <c r="M1035"/>
      <c r="N1035"/>
      <c r="O1035"/>
    </row>
    <row r="1036" spans="6:15">
      <c r="F1036"/>
      <c r="G1036"/>
      <c r="H1036"/>
      <c r="I1036"/>
      <c r="J1036"/>
      <c r="K1036"/>
      <c r="L1036"/>
      <c r="M1036"/>
      <c r="N1036"/>
      <c r="O1036"/>
    </row>
    <row r="1037" spans="6:15">
      <c r="F1037"/>
      <c r="G1037"/>
      <c r="H1037"/>
      <c r="I1037"/>
      <c r="J1037"/>
      <c r="K1037"/>
      <c r="L1037"/>
      <c r="M1037"/>
      <c r="N1037"/>
      <c r="O1037"/>
    </row>
    <row r="1038" spans="6:15">
      <c r="F1038"/>
      <c r="G1038"/>
      <c r="H1038"/>
      <c r="I1038"/>
      <c r="J1038"/>
      <c r="K1038"/>
      <c r="L1038"/>
      <c r="M1038"/>
      <c r="N1038"/>
      <c r="O1038"/>
    </row>
    <row r="1039" spans="6:15">
      <c r="F1039"/>
      <c r="G1039"/>
      <c r="H1039"/>
      <c r="I1039"/>
      <c r="J1039"/>
      <c r="K1039"/>
      <c r="L1039"/>
      <c r="M1039"/>
      <c r="N1039"/>
      <c r="O1039"/>
    </row>
    <row r="1040" spans="6:15">
      <c r="F1040"/>
      <c r="G1040"/>
      <c r="H1040"/>
      <c r="I1040"/>
      <c r="J1040"/>
      <c r="K1040"/>
      <c r="L1040"/>
      <c r="M1040"/>
      <c r="N1040"/>
      <c r="O1040"/>
    </row>
    <row r="1041" spans="6:15">
      <c r="F1041"/>
      <c r="G1041"/>
      <c r="H1041"/>
      <c r="I1041"/>
      <c r="J1041"/>
      <c r="K1041"/>
      <c r="L1041"/>
      <c r="M1041"/>
      <c r="N1041"/>
      <c r="O1041"/>
    </row>
    <row r="1042" spans="6:15">
      <c r="F1042"/>
      <c r="G1042"/>
      <c r="H1042"/>
      <c r="I1042"/>
      <c r="J1042"/>
      <c r="K1042"/>
      <c r="L1042"/>
      <c r="M1042"/>
      <c r="N1042"/>
      <c r="O1042"/>
    </row>
    <row r="1043" spans="6:15">
      <c r="F1043"/>
      <c r="G1043"/>
      <c r="H1043"/>
      <c r="I1043"/>
      <c r="J1043"/>
      <c r="K1043"/>
      <c r="L1043"/>
      <c r="M1043"/>
      <c r="N1043"/>
      <c r="O1043"/>
    </row>
    <row r="1044" spans="6:15">
      <c r="F1044"/>
      <c r="G1044"/>
      <c r="H1044"/>
      <c r="I1044"/>
      <c r="J1044"/>
      <c r="K1044"/>
      <c r="L1044"/>
      <c r="M1044"/>
      <c r="N1044"/>
      <c r="O1044"/>
    </row>
    <row r="1045" spans="6:15">
      <c r="F1045"/>
      <c r="G1045"/>
      <c r="H1045"/>
      <c r="I1045"/>
      <c r="J1045"/>
      <c r="K1045"/>
      <c r="L1045"/>
      <c r="M1045"/>
      <c r="N1045"/>
      <c r="O1045"/>
    </row>
    <row r="1046" spans="6:15">
      <c r="F1046"/>
      <c r="G1046"/>
      <c r="H1046"/>
      <c r="I1046"/>
      <c r="J1046"/>
      <c r="K1046"/>
      <c r="L1046"/>
      <c r="M1046"/>
      <c r="N1046"/>
      <c r="O1046"/>
    </row>
    <row r="1047" spans="6:15">
      <c r="F1047"/>
      <c r="G1047"/>
      <c r="H1047"/>
      <c r="I1047"/>
      <c r="J1047"/>
      <c r="K1047"/>
      <c r="L1047"/>
      <c r="M1047"/>
      <c r="N1047"/>
      <c r="O1047"/>
    </row>
    <row r="1048" spans="6:15">
      <c r="F1048"/>
      <c r="G1048"/>
      <c r="H1048"/>
      <c r="I1048"/>
      <c r="J1048"/>
      <c r="K1048"/>
      <c r="L1048"/>
      <c r="M1048"/>
      <c r="N1048"/>
      <c r="O1048"/>
    </row>
    <row r="1049" spans="6:15">
      <c r="F1049"/>
      <c r="G1049"/>
      <c r="H1049"/>
      <c r="I1049"/>
      <c r="J1049"/>
      <c r="K1049"/>
      <c r="L1049"/>
      <c r="M1049"/>
      <c r="N1049"/>
      <c r="O1049"/>
    </row>
    <row r="1050" spans="6:15">
      <c r="F1050"/>
      <c r="G1050"/>
      <c r="H1050"/>
      <c r="I1050"/>
      <c r="J1050"/>
      <c r="K1050"/>
      <c r="L1050"/>
      <c r="M1050"/>
      <c r="N1050"/>
      <c r="O1050"/>
    </row>
    <row r="1051" spans="6:15">
      <c r="F1051"/>
      <c r="G1051"/>
      <c r="H1051"/>
      <c r="I1051"/>
      <c r="J1051"/>
      <c r="K1051"/>
      <c r="L1051"/>
      <c r="M1051"/>
      <c r="N1051"/>
      <c r="O1051"/>
    </row>
    <row r="1052" spans="6:15">
      <c r="F1052"/>
      <c r="G1052"/>
      <c r="H1052"/>
      <c r="I1052"/>
      <c r="J1052"/>
      <c r="K1052"/>
      <c r="L1052"/>
      <c r="M1052"/>
      <c r="N1052"/>
      <c r="O1052"/>
    </row>
    <row r="1053" spans="6:15">
      <c r="F1053"/>
      <c r="G1053"/>
      <c r="H1053"/>
      <c r="I1053"/>
      <c r="J1053"/>
      <c r="K1053"/>
      <c r="L1053"/>
      <c r="M1053"/>
      <c r="N1053"/>
      <c r="O1053"/>
    </row>
    <row r="1054" spans="6:15">
      <c r="F1054"/>
      <c r="G1054"/>
      <c r="H1054"/>
      <c r="I1054"/>
      <c r="J1054"/>
      <c r="K1054"/>
      <c r="L1054"/>
      <c r="M1054"/>
      <c r="N1054"/>
      <c r="O1054"/>
    </row>
    <row r="1055" spans="6:15">
      <c r="F1055"/>
      <c r="G1055"/>
      <c r="H1055"/>
      <c r="I1055"/>
      <c r="J1055"/>
      <c r="K1055"/>
      <c r="L1055"/>
      <c r="M1055"/>
      <c r="N1055"/>
      <c r="O1055"/>
    </row>
    <row r="1056" spans="6:15">
      <c r="F1056"/>
      <c r="G1056"/>
      <c r="H1056"/>
      <c r="I1056"/>
      <c r="J1056"/>
      <c r="K1056"/>
      <c r="L1056"/>
      <c r="M1056"/>
      <c r="N1056"/>
      <c r="O1056"/>
    </row>
    <row r="1057" spans="6:15">
      <c r="F1057"/>
      <c r="G1057"/>
      <c r="H1057"/>
      <c r="I1057"/>
      <c r="J1057"/>
      <c r="K1057"/>
      <c r="L1057"/>
      <c r="M1057"/>
      <c r="N1057"/>
      <c r="O1057"/>
    </row>
    <row r="1058" spans="6:15">
      <c r="F1058"/>
      <c r="G1058"/>
      <c r="H1058"/>
      <c r="I1058"/>
      <c r="J1058"/>
      <c r="K1058"/>
      <c r="L1058"/>
      <c r="M1058"/>
      <c r="N1058"/>
      <c r="O1058"/>
    </row>
    <row r="1059" spans="6:15">
      <c r="F1059"/>
      <c r="G1059"/>
      <c r="H1059"/>
      <c r="I1059"/>
      <c r="J1059"/>
      <c r="K1059"/>
      <c r="L1059"/>
      <c r="M1059"/>
      <c r="N1059"/>
      <c r="O1059"/>
    </row>
    <row r="1060" spans="6:15">
      <c r="F1060"/>
      <c r="G1060"/>
      <c r="H1060"/>
      <c r="I1060"/>
      <c r="J1060"/>
      <c r="K1060"/>
      <c r="L1060"/>
      <c r="M1060"/>
      <c r="N1060"/>
      <c r="O1060"/>
    </row>
    <row r="1061" spans="6:15">
      <c r="F1061"/>
      <c r="G1061"/>
      <c r="H1061"/>
      <c r="I1061"/>
      <c r="J1061"/>
      <c r="K1061"/>
      <c r="L1061"/>
      <c r="M1061"/>
      <c r="N1061"/>
      <c r="O1061"/>
    </row>
    <row r="1062" spans="6:15">
      <c r="F1062"/>
      <c r="G1062"/>
      <c r="H1062"/>
      <c r="I1062"/>
      <c r="J1062"/>
      <c r="K1062"/>
      <c r="L1062"/>
      <c r="M1062"/>
      <c r="N1062"/>
      <c r="O1062"/>
    </row>
    <row r="1063" spans="6:15">
      <c r="F1063"/>
      <c r="G1063"/>
      <c r="H1063"/>
      <c r="I1063"/>
      <c r="J1063"/>
      <c r="K1063"/>
      <c r="L1063"/>
      <c r="M1063"/>
      <c r="N1063"/>
      <c r="O1063"/>
    </row>
    <row r="1064" spans="6:15">
      <c r="F1064"/>
      <c r="G1064"/>
      <c r="H1064"/>
      <c r="I1064"/>
      <c r="J1064"/>
      <c r="K1064"/>
      <c r="L1064"/>
      <c r="M1064"/>
      <c r="N1064"/>
      <c r="O1064"/>
    </row>
    <row r="1065" spans="6:15">
      <c r="F1065"/>
      <c r="G1065"/>
      <c r="H1065"/>
      <c r="I1065"/>
      <c r="J1065"/>
      <c r="K1065"/>
      <c r="L1065"/>
      <c r="M1065"/>
      <c r="N1065"/>
      <c r="O1065"/>
    </row>
    <row r="1066" spans="6:15">
      <c r="F1066"/>
      <c r="G1066"/>
      <c r="H1066"/>
      <c r="I1066"/>
      <c r="J1066"/>
      <c r="K1066"/>
      <c r="L1066"/>
      <c r="M1066"/>
      <c r="N1066"/>
      <c r="O1066"/>
    </row>
    <row r="1067" spans="6:15">
      <c r="F1067"/>
      <c r="G1067"/>
      <c r="H1067"/>
      <c r="I1067"/>
      <c r="J1067"/>
      <c r="K1067"/>
      <c r="L1067"/>
      <c r="M1067"/>
      <c r="N1067"/>
      <c r="O1067"/>
    </row>
    <row r="1068" spans="6:15">
      <c r="F1068"/>
      <c r="G1068"/>
      <c r="H1068"/>
      <c r="I1068"/>
      <c r="J1068"/>
      <c r="K1068"/>
      <c r="L1068"/>
      <c r="M1068"/>
      <c r="N1068"/>
      <c r="O1068"/>
    </row>
    <row r="1069" spans="6:15">
      <c r="F1069"/>
      <c r="G1069"/>
      <c r="H1069"/>
      <c r="I1069"/>
      <c r="J1069"/>
      <c r="K1069"/>
      <c r="L1069"/>
      <c r="M1069"/>
      <c r="N1069"/>
      <c r="O1069"/>
    </row>
    <row r="1070" spans="6:15">
      <c r="F1070"/>
      <c r="G1070"/>
      <c r="H1070"/>
      <c r="I1070"/>
      <c r="J1070"/>
      <c r="K1070"/>
      <c r="L1070"/>
      <c r="M1070"/>
      <c r="N1070"/>
      <c r="O1070"/>
    </row>
    <row r="1071" spans="6:15">
      <c r="F1071"/>
      <c r="G1071"/>
      <c r="H1071"/>
      <c r="I1071"/>
      <c r="J1071"/>
      <c r="K1071"/>
      <c r="L1071"/>
      <c r="M1071"/>
      <c r="N1071"/>
      <c r="O1071"/>
    </row>
    <row r="1072" spans="6:15">
      <c r="F1072"/>
      <c r="G1072"/>
      <c r="H1072"/>
      <c r="I1072"/>
      <c r="J1072"/>
      <c r="K1072"/>
      <c r="L1072"/>
      <c r="M1072"/>
      <c r="N1072"/>
      <c r="O1072"/>
    </row>
    <row r="1073" spans="6:15">
      <c r="F1073"/>
      <c r="G1073"/>
      <c r="H1073"/>
      <c r="I1073"/>
      <c r="J1073"/>
      <c r="K1073"/>
      <c r="L1073"/>
      <c r="M1073"/>
      <c r="N1073"/>
      <c r="O1073"/>
    </row>
    <row r="1074" spans="6:15">
      <c r="F1074"/>
      <c r="G1074"/>
      <c r="H1074"/>
      <c r="I1074"/>
      <c r="J1074"/>
      <c r="K1074"/>
      <c r="L1074"/>
      <c r="M1074"/>
      <c r="N1074"/>
      <c r="O1074"/>
    </row>
    <row r="1075" spans="6:15">
      <c r="F1075"/>
      <c r="G1075"/>
      <c r="H1075"/>
      <c r="I1075"/>
      <c r="J1075"/>
      <c r="K1075"/>
      <c r="L1075"/>
      <c r="M1075"/>
      <c r="N1075"/>
      <c r="O1075"/>
    </row>
    <row r="1076" spans="6:15">
      <c r="F1076"/>
      <c r="G1076"/>
      <c r="H1076"/>
      <c r="I1076"/>
      <c r="J1076"/>
      <c r="K1076"/>
      <c r="L1076"/>
      <c r="M1076"/>
      <c r="N1076"/>
      <c r="O1076"/>
    </row>
    <row r="1077" spans="6:15">
      <c r="F1077"/>
      <c r="G1077"/>
      <c r="H1077"/>
      <c r="I1077"/>
      <c r="J1077"/>
      <c r="K1077"/>
      <c r="L1077"/>
      <c r="M1077"/>
      <c r="N1077"/>
      <c r="O1077"/>
    </row>
    <row r="1078" spans="6:15">
      <c r="F1078"/>
      <c r="G1078"/>
      <c r="H1078"/>
      <c r="I1078"/>
      <c r="J1078"/>
      <c r="K1078"/>
      <c r="L1078"/>
      <c r="M1078"/>
      <c r="N1078"/>
      <c r="O1078"/>
    </row>
    <row r="1079" spans="6:15">
      <c r="F1079"/>
      <c r="G1079"/>
      <c r="H1079"/>
      <c r="I1079"/>
      <c r="J1079"/>
      <c r="K1079"/>
      <c r="L1079"/>
      <c r="M1079"/>
      <c r="N1079"/>
      <c r="O1079"/>
    </row>
    <row r="1080" spans="6:15">
      <c r="F1080"/>
      <c r="G1080"/>
      <c r="H1080"/>
      <c r="I1080"/>
      <c r="J1080"/>
      <c r="K1080"/>
      <c r="L1080"/>
      <c r="M1080"/>
      <c r="N1080"/>
      <c r="O1080"/>
    </row>
    <row r="1081" spans="6:15">
      <c r="F1081"/>
      <c r="G1081"/>
      <c r="H1081"/>
      <c r="I1081"/>
      <c r="J1081"/>
      <c r="K1081"/>
      <c r="L1081"/>
      <c r="M1081"/>
      <c r="N1081"/>
      <c r="O1081"/>
    </row>
    <row r="1082" spans="6:15">
      <c r="F1082"/>
      <c r="G1082"/>
      <c r="H1082"/>
      <c r="I1082"/>
      <c r="J1082"/>
      <c r="K1082"/>
      <c r="L1082"/>
      <c r="M1082"/>
      <c r="N1082"/>
      <c r="O1082"/>
    </row>
    <row r="1083" spans="6:15">
      <c r="F1083"/>
      <c r="G1083"/>
      <c r="H1083"/>
      <c r="I1083"/>
      <c r="J1083"/>
      <c r="K1083"/>
      <c r="L1083"/>
      <c r="M1083"/>
      <c r="N1083"/>
      <c r="O1083"/>
    </row>
    <row r="1084" spans="6:15">
      <c r="F1084"/>
      <c r="G1084"/>
      <c r="H1084"/>
      <c r="I1084"/>
      <c r="J1084"/>
      <c r="K1084"/>
      <c r="L1084"/>
      <c r="M1084"/>
      <c r="N1084"/>
      <c r="O1084"/>
    </row>
    <row r="1085" spans="6:15">
      <c r="F1085"/>
      <c r="G1085"/>
      <c r="H1085"/>
      <c r="I1085"/>
      <c r="J1085"/>
      <c r="K1085"/>
      <c r="L1085"/>
      <c r="M1085"/>
      <c r="N1085"/>
      <c r="O1085"/>
    </row>
    <row r="1086" spans="6:15">
      <c r="F1086"/>
      <c r="G1086"/>
      <c r="H1086"/>
      <c r="I1086"/>
      <c r="J1086"/>
      <c r="K1086"/>
      <c r="L1086"/>
      <c r="M1086"/>
      <c r="N1086"/>
      <c r="O1086"/>
    </row>
    <row r="1087" spans="6:15">
      <c r="F1087"/>
      <c r="G1087"/>
      <c r="H1087"/>
      <c r="I1087"/>
      <c r="J1087"/>
      <c r="K1087"/>
      <c r="L1087"/>
      <c r="M1087"/>
      <c r="N1087"/>
      <c r="O1087"/>
    </row>
    <row r="1088" spans="6:15">
      <c r="F1088"/>
      <c r="G1088"/>
      <c r="H1088"/>
      <c r="I1088"/>
      <c r="J1088"/>
      <c r="K1088"/>
      <c r="L1088"/>
      <c r="M1088"/>
      <c r="N1088"/>
      <c r="O1088"/>
    </row>
    <row r="1089" spans="6:15">
      <c r="F1089"/>
      <c r="G1089"/>
      <c r="H1089"/>
      <c r="I1089"/>
      <c r="J1089"/>
      <c r="K1089"/>
      <c r="L1089"/>
      <c r="M1089"/>
      <c r="N1089"/>
      <c r="O1089"/>
    </row>
    <row r="1090" spans="6:15">
      <c r="F1090"/>
      <c r="G1090"/>
      <c r="H1090"/>
      <c r="I1090"/>
      <c r="J1090"/>
      <c r="K1090"/>
      <c r="L1090"/>
      <c r="M1090"/>
      <c r="N1090"/>
      <c r="O1090"/>
    </row>
    <row r="1091" spans="6:15">
      <c r="F1091"/>
      <c r="G1091"/>
      <c r="H1091"/>
      <c r="I1091"/>
      <c r="J1091"/>
      <c r="K1091"/>
      <c r="L1091"/>
      <c r="M1091"/>
      <c r="N1091"/>
      <c r="O1091"/>
    </row>
    <row r="1092" spans="6:15">
      <c r="F1092"/>
      <c r="G1092"/>
      <c r="H1092"/>
      <c r="I1092"/>
      <c r="J1092"/>
      <c r="K1092"/>
      <c r="L1092"/>
      <c r="M1092"/>
      <c r="N1092"/>
      <c r="O1092"/>
    </row>
    <row r="1093" spans="6:15">
      <c r="F1093"/>
      <c r="G1093"/>
      <c r="H1093"/>
      <c r="I1093"/>
      <c r="J1093"/>
      <c r="K1093"/>
      <c r="L1093"/>
      <c r="M1093"/>
      <c r="N1093"/>
      <c r="O1093"/>
    </row>
    <row r="1094" spans="6:15">
      <c r="F1094"/>
      <c r="G1094"/>
      <c r="H1094"/>
      <c r="I1094"/>
      <c r="J1094"/>
      <c r="K1094"/>
      <c r="L1094"/>
      <c r="M1094"/>
      <c r="N1094"/>
      <c r="O1094"/>
    </row>
    <row r="1095" spans="6:15">
      <c r="F1095"/>
      <c r="G1095"/>
      <c r="H1095"/>
      <c r="I1095"/>
      <c r="J1095"/>
      <c r="K1095"/>
      <c r="L1095"/>
      <c r="M1095"/>
      <c r="N1095"/>
      <c r="O1095"/>
    </row>
    <row r="1096" spans="6:15">
      <c r="F1096"/>
      <c r="G1096"/>
      <c r="H1096"/>
      <c r="I1096"/>
      <c r="J1096"/>
      <c r="K1096"/>
      <c r="L1096"/>
      <c r="M1096"/>
      <c r="N1096"/>
      <c r="O1096"/>
    </row>
    <row r="1097" spans="6:15">
      <c r="F1097"/>
      <c r="G1097"/>
      <c r="H1097"/>
      <c r="I1097"/>
      <c r="J1097"/>
      <c r="K1097"/>
      <c r="L1097"/>
      <c r="M1097"/>
      <c r="N1097"/>
      <c r="O1097"/>
    </row>
    <row r="1098" spans="6:15">
      <c r="F1098"/>
      <c r="G1098"/>
      <c r="H1098"/>
      <c r="I1098"/>
      <c r="J1098"/>
      <c r="K1098"/>
      <c r="L1098"/>
      <c r="M1098"/>
      <c r="N1098"/>
      <c r="O1098"/>
    </row>
    <row r="1099" spans="6:15">
      <c r="F1099"/>
      <c r="G1099"/>
      <c r="H1099"/>
      <c r="I1099"/>
      <c r="J1099"/>
      <c r="K1099"/>
      <c r="L1099"/>
      <c r="M1099"/>
      <c r="N1099"/>
      <c r="O1099"/>
    </row>
    <row r="1100" spans="6:15">
      <c r="F1100"/>
      <c r="G1100"/>
      <c r="H1100"/>
      <c r="I1100"/>
      <c r="J1100"/>
      <c r="K1100"/>
      <c r="L1100"/>
      <c r="M1100"/>
      <c r="N1100"/>
      <c r="O1100"/>
    </row>
    <row r="1101" spans="6:15">
      <c r="F1101"/>
      <c r="G1101"/>
      <c r="H1101"/>
      <c r="I1101"/>
      <c r="J1101"/>
      <c r="K1101"/>
      <c r="L1101"/>
      <c r="M1101"/>
      <c r="N1101"/>
      <c r="O1101"/>
    </row>
    <row r="1102" spans="6:15">
      <c r="F1102"/>
      <c r="G1102"/>
      <c r="H1102"/>
      <c r="I1102"/>
      <c r="J1102"/>
      <c r="K1102"/>
      <c r="L1102"/>
      <c r="M1102"/>
      <c r="N1102"/>
      <c r="O1102"/>
    </row>
    <row r="1103" spans="6:15">
      <c r="F1103"/>
      <c r="G1103"/>
      <c r="H1103"/>
      <c r="I1103"/>
      <c r="J1103"/>
      <c r="K1103"/>
      <c r="L1103"/>
      <c r="M1103"/>
      <c r="N1103"/>
      <c r="O1103"/>
    </row>
    <row r="1104" spans="6:15">
      <c r="F1104"/>
      <c r="G1104"/>
      <c r="H1104"/>
      <c r="I1104"/>
      <c r="J1104"/>
      <c r="K1104"/>
      <c r="L1104"/>
      <c r="M1104"/>
      <c r="N1104"/>
      <c r="O1104"/>
    </row>
    <row r="1105" spans="6:15">
      <c r="F1105"/>
      <c r="G1105"/>
      <c r="H1105"/>
      <c r="I1105"/>
      <c r="J1105"/>
      <c r="K1105"/>
      <c r="L1105"/>
      <c r="M1105"/>
      <c r="N1105"/>
      <c r="O1105"/>
    </row>
    <row r="1106" spans="6:15">
      <c r="F1106"/>
      <c r="G1106"/>
      <c r="H1106"/>
      <c r="I1106"/>
      <c r="J1106"/>
      <c r="K1106"/>
      <c r="L1106"/>
      <c r="M1106"/>
      <c r="N1106"/>
      <c r="O1106"/>
    </row>
    <row r="1107" spans="6:15">
      <c r="F1107"/>
      <c r="G1107"/>
      <c r="H1107"/>
      <c r="I1107"/>
      <c r="J1107"/>
      <c r="K1107"/>
      <c r="L1107"/>
      <c r="M1107"/>
      <c r="N1107"/>
      <c r="O1107"/>
    </row>
    <row r="1108" spans="6:15">
      <c r="F1108"/>
      <c r="G1108"/>
      <c r="H1108"/>
      <c r="I1108"/>
      <c r="J1108"/>
      <c r="K1108"/>
      <c r="L1108"/>
      <c r="M1108"/>
      <c r="N1108"/>
      <c r="O1108"/>
    </row>
    <row r="1109" spans="6:15">
      <c r="F1109"/>
      <c r="G1109"/>
      <c r="H1109"/>
      <c r="I1109"/>
      <c r="J1109"/>
      <c r="K1109"/>
      <c r="L1109"/>
      <c r="M1109"/>
      <c r="N1109"/>
      <c r="O1109"/>
    </row>
    <row r="1110" spans="6:15">
      <c r="F1110"/>
      <c r="G1110"/>
      <c r="H1110"/>
      <c r="I1110"/>
      <c r="J1110"/>
      <c r="K1110"/>
      <c r="L1110"/>
      <c r="M1110"/>
      <c r="N1110"/>
      <c r="O1110"/>
    </row>
    <row r="1111" spans="6:15">
      <c r="F1111"/>
      <c r="G1111"/>
      <c r="H1111"/>
      <c r="I1111"/>
      <c r="J1111"/>
      <c r="K1111"/>
      <c r="L1111"/>
      <c r="M1111"/>
      <c r="N1111"/>
      <c r="O1111"/>
    </row>
    <row r="1112" spans="6:15">
      <c r="F1112"/>
      <c r="G1112"/>
      <c r="H1112"/>
      <c r="I1112"/>
      <c r="J1112"/>
      <c r="K1112"/>
      <c r="L1112"/>
      <c r="M1112"/>
      <c r="N1112"/>
      <c r="O1112"/>
    </row>
    <row r="1113" spans="6:15">
      <c r="F1113"/>
      <c r="G1113"/>
      <c r="H1113"/>
      <c r="I1113"/>
      <c r="J1113"/>
      <c r="K1113"/>
      <c r="L1113"/>
      <c r="M1113"/>
      <c r="N1113"/>
      <c r="O1113"/>
    </row>
    <row r="1114" spans="6:15">
      <c r="F1114"/>
      <c r="G1114"/>
      <c r="H1114"/>
      <c r="I1114"/>
      <c r="J1114"/>
      <c r="K1114"/>
      <c r="L1114"/>
      <c r="M1114"/>
      <c r="N1114"/>
      <c r="O1114"/>
    </row>
    <row r="1115" spans="6:15">
      <c r="F1115"/>
      <c r="G1115"/>
      <c r="H1115"/>
      <c r="I1115"/>
      <c r="J1115"/>
      <c r="K1115"/>
      <c r="L1115"/>
      <c r="M1115"/>
      <c r="N1115"/>
      <c r="O1115"/>
    </row>
    <row r="1116" spans="6:15">
      <c r="F1116"/>
      <c r="G1116"/>
      <c r="H1116"/>
      <c r="I1116"/>
      <c r="J1116"/>
      <c r="K1116"/>
      <c r="L1116"/>
      <c r="M1116"/>
      <c r="N1116"/>
      <c r="O1116"/>
    </row>
    <row r="1117" spans="6:15">
      <c r="F1117"/>
      <c r="G1117"/>
      <c r="H1117"/>
      <c r="I1117"/>
      <c r="J1117"/>
      <c r="K1117"/>
      <c r="L1117"/>
      <c r="M1117"/>
      <c r="N1117"/>
      <c r="O1117"/>
    </row>
    <row r="1118" spans="6:15">
      <c r="F1118"/>
      <c r="G1118"/>
      <c r="H1118"/>
      <c r="I1118"/>
      <c r="J1118"/>
      <c r="K1118"/>
      <c r="L1118"/>
      <c r="M1118"/>
      <c r="N1118"/>
      <c r="O1118"/>
    </row>
    <row r="1119" spans="6:15">
      <c r="F1119"/>
      <c r="G1119"/>
      <c r="H1119"/>
      <c r="I1119"/>
      <c r="J1119"/>
      <c r="K1119"/>
      <c r="L1119"/>
      <c r="M1119"/>
      <c r="N1119"/>
      <c r="O1119"/>
    </row>
    <row r="1120" spans="6:15">
      <c r="F1120"/>
      <c r="G1120"/>
      <c r="H1120"/>
      <c r="I1120"/>
      <c r="J1120"/>
      <c r="K1120"/>
      <c r="L1120"/>
      <c r="M1120"/>
      <c r="N1120"/>
      <c r="O1120"/>
    </row>
    <row r="1121" spans="6:15">
      <c r="F1121"/>
      <c r="G1121"/>
      <c r="H1121"/>
      <c r="I1121"/>
      <c r="J1121"/>
      <c r="K1121"/>
      <c r="L1121"/>
      <c r="M1121"/>
      <c r="N1121"/>
      <c r="O1121"/>
    </row>
    <row r="1122" spans="6:15">
      <c r="F1122"/>
      <c r="G1122"/>
      <c r="H1122"/>
      <c r="I1122"/>
      <c r="J1122"/>
      <c r="K1122"/>
      <c r="L1122"/>
      <c r="M1122"/>
      <c r="N1122"/>
      <c r="O1122"/>
    </row>
    <row r="1123" spans="6:15">
      <c r="F1123"/>
      <c r="G1123"/>
      <c r="H1123"/>
      <c r="I1123"/>
      <c r="J1123"/>
      <c r="K1123"/>
      <c r="L1123"/>
      <c r="M1123"/>
      <c r="N1123"/>
      <c r="O1123"/>
    </row>
    <row r="1124" spans="6:15">
      <c r="F1124"/>
      <c r="G1124"/>
      <c r="H1124"/>
      <c r="I1124"/>
      <c r="J1124"/>
      <c r="K1124"/>
      <c r="L1124"/>
      <c r="M1124"/>
      <c r="N1124"/>
      <c r="O1124"/>
    </row>
    <row r="1125" spans="6:15">
      <c r="F1125"/>
      <c r="G1125"/>
      <c r="H1125"/>
      <c r="I1125"/>
      <c r="J1125"/>
      <c r="K1125"/>
      <c r="L1125"/>
      <c r="M1125"/>
      <c r="N1125"/>
      <c r="O1125"/>
    </row>
    <row r="1126" spans="6:15">
      <c r="F1126"/>
      <c r="G1126"/>
      <c r="H1126"/>
      <c r="I1126"/>
      <c r="J1126"/>
      <c r="K1126"/>
      <c r="L1126"/>
      <c r="M1126"/>
      <c r="N1126"/>
      <c r="O1126"/>
    </row>
    <row r="1127" spans="6:15">
      <c r="F1127"/>
      <c r="G1127"/>
      <c r="H1127"/>
      <c r="I1127"/>
      <c r="J1127"/>
      <c r="K1127"/>
      <c r="L1127"/>
      <c r="M1127"/>
      <c r="N1127"/>
      <c r="O1127"/>
    </row>
    <row r="1128" spans="6:15">
      <c r="F1128"/>
      <c r="G1128"/>
      <c r="H1128"/>
      <c r="I1128"/>
      <c r="J1128"/>
      <c r="K1128"/>
      <c r="L1128"/>
      <c r="M1128"/>
      <c r="N1128"/>
      <c r="O1128"/>
    </row>
    <row r="1129" spans="6:15">
      <c r="F1129"/>
      <c r="G1129"/>
      <c r="H1129"/>
      <c r="I1129"/>
      <c r="J1129"/>
      <c r="K1129"/>
      <c r="L1129"/>
      <c r="M1129"/>
      <c r="N1129"/>
      <c r="O1129"/>
    </row>
    <row r="1130" spans="6:15">
      <c r="F1130"/>
      <c r="G1130"/>
      <c r="H1130"/>
      <c r="I1130"/>
      <c r="J1130"/>
      <c r="K1130"/>
      <c r="L1130"/>
      <c r="M1130"/>
      <c r="N1130"/>
      <c r="O1130"/>
    </row>
    <row r="1131" spans="6:15">
      <c r="F1131"/>
      <c r="G1131"/>
      <c r="H1131"/>
      <c r="I1131"/>
      <c r="J1131"/>
      <c r="K1131"/>
      <c r="L1131"/>
      <c r="M1131"/>
      <c r="N1131"/>
      <c r="O1131"/>
    </row>
    <row r="1132" spans="6:15">
      <c r="F1132"/>
      <c r="G1132"/>
      <c r="H1132"/>
      <c r="I1132"/>
      <c r="J1132"/>
      <c r="K1132"/>
      <c r="L1132"/>
      <c r="M1132"/>
      <c r="N1132"/>
      <c r="O1132"/>
    </row>
    <row r="1133" spans="6:15">
      <c r="F1133"/>
      <c r="G1133"/>
      <c r="H1133"/>
      <c r="I1133"/>
      <c r="J1133"/>
      <c r="K1133"/>
      <c r="L1133"/>
      <c r="M1133"/>
      <c r="N1133"/>
      <c r="O1133"/>
    </row>
    <row r="1134" spans="6:15">
      <c r="F1134"/>
      <c r="G1134"/>
      <c r="H1134"/>
      <c r="I1134"/>
      <c r="J1134"/>
      <c r="K1134"/>
      <c r="L1134"/>
      <c r="M1134"/>
      <c r="N1134"/>
      <c r="O1134"/>
    </row>
    <row r="1135" spans="6:15">
      <c r="F1135"/>
      <c r="G1135"/>
      <c r="H1135"/>
      <c r="I1135"/>
      <c r="J1135"/>
      <c r="K1135"/>
      <c r="L1135"/>
      <c r="M1135"/>
      <c r="N1135"/>
      <c r="O1135"/>
    </row>
    <row r="1136" spans="6:15">
      <c r="F1136"/>
      <c r="G1136"/>
      <c r="H1136"/>
      <c r="I1136"/>
      <c r="J1136"/>
      <c r="K1136"/>
      <c r="L1136"/>
      <c r="M1136"/>
      <c r="N1136"/>
      <c r="O1136"/>
    </row>
    <row r="1137" spans="6:15">
      <c r="F1137"/>
      <c r="G1137"/>
      <c r="H1137"/>
      <c r="I1137"/>
      <c r="J1137"/>
      <c r="K1137"/>
      <c r="L1137"/>
      <c r="M1137"/>
      <c r="N1137"/>
      <c r="O1137"/>
    </row>
    <row r="1138" spans="6:15">
      <c r="F1138"/>
      <c r="G1138"/>
      <c r="H1138"/>
      <c r="I1138"/>
      <c r="J1138"/>
      <c r="K1138"/>
      <c r="L1138"/>
      <c r="M1138"/>
      <c r="N1138"/>
      <c r="O1138"/>
    </row>
    <row r="1139" spans="6:15">
      <c r="F1139"/>
      <c r="G1139"/>
      <c r="H1139"/>
      <c r="I1139"/>
      <c r="J1139"/>
      <c r="K1139"/>
      <c r="L1139"/>
      <c r="M1139"/>
      <c r="N1139"/>
      <c r="O1139"/>
    </row>
    <row r="1140" spans="6:15">
      <c r="F1140"/>
      <c r="G1140"/>
      <c r="H1140"/>
      <c r="I1140"/>
      <c r="J1140"/>
      <c r="K1140"/>
      <c r="L1140"/>
      <c r="M1140"/>
      <c r="N1140"/>
      <c r="O1140"/>
    </row>
    <row r="1141" spans="6:15">
      <c r="F1141"/>
      <c r="G1141"/>
      <c r="H1141"/>
      <c r="I1141"/>
      <c r="J1141"/>
      <c r="K1141"/>
      <c r="L1141"/>
      <c r="M1141"/>
      <c r="N1141"/>
      <c r="O1141"/>
    </row>
    <row r="1142" spans="6:15">
      <c r="F1142"/>
      <c r="G1142"/>
      <c r="H1142"/>
      <c r="I1142"/>
      <c r="J1142"/>
      <c r="K1142"/>
      <c r="L1142"/>
      <c r="M1142"/>
      <c r="N1142"/>
      <c r="O1142"/>
    </row>
    <row r="1143" spans="6:15">
      <c r="F1143"/>
      <c r="G1143"/>
      <c r="H1143"/>
      <c r="I1143"/>
      <c r="J1143"/>
      <c r="K1143"/>
      <c r="L1143"/>
      <c r="M1143"/>
      <c r="N1143"/>
      <c r="O1143"/>
    </row>
    <row r="1144" spans="6:15">
      <c r="F1144"/>
      <c r="G1144"/>
      <c r="H1144"/>
      <c r="I1144"/>
      <c r="J1144"/>
      <c r="K1144"/>
      <c r="L1144"/>
      <c r="M1144"/>
      <c r="N1144"/>
      <c r="O1144"/>
    </row>
    <row r="1145" spans="6:15">
      <c r="F1145"/>
      <c r="G1145"/>
      <c r="H1145"/>
      <c r="I1145"/>
      <c r="J1145"/>
      <c r="K1145"/>
      <c r="L1145"/>
      <c r="M1145"/>
      <c r="N1145"/>
      <c r="O1145"/>
    </row>
    <row r="1146" spans="6:15">
      <c r="F1146"/>
      <c r="G1146"/>
      <c r="H1146"/>
      <c r="I1146"/>
      <c r="J1146"/>
      <c r="K1146"/>
      <c r="L1146"/>
      <c r="M1146"/>
      <c r="N1146"/>
      <c r="O1146"/>
    </row>
    <row r="1147" spans="6:15">
      <c r="F1147"/>
      <c r="G1147"/>
      <c r="H1147"/>
      <c r="I1147"/>
      <c r="J1147"/>
      <c r="K1147"/>
      <c r="L1147"/>
      <c r="M1147"/>
      <c r="N1147"/>
      <c r="O1147"/>
    </row>
    <row r="1148" spans="6:15">
      <c r="F1148"/>
      <c r="G1148"/>
      <c r="H1148"/>
      <c r="I1148"/>
      <c r="J1148"/>
      <c r="K1148"/>
      <c r="L1148"/>
      <c r="M1148"/>
      <c r="N1148"/>
      <c r="O1148"/>
    </row>
    <row r="1149" spans="6:15">
      <c r="F1149"/>
      <c r="G1149"/>
      <c r="H1149"/>
      <c r="I1149"/>
      <c r="J1149"/>
      <c r="K1149"/>
      <c r="L1149"/>
      <c r="M1149"/>
      <c r="N1149"/>
      <c r="O1149"/>
    </row>
    <row r="1150" spans="6:15">
      <c r="F1150"/>
      <c r="G1150"/>
      <c r="H1150"/>
      <c r="I1150"/>
      <c r="J1150"/>
      <c r="K1150"/>
      <c r="L1150"/>
      <c r="M1150"/>
      <c r="N1150"/>
      <c r="O1150"/>
    </row>
    <row r="1151" spans="6:15">
      <c r="F1151"/>
      <c r="G1151"/>
      <c r="H1151"/>
      <c r="I1151"/>
      <c r="J1151"/>
      <c r="K1151"/>
      <c r="L1151"/>
      <c r="M1151"/>
      <c r="N1151"/>
      <c r="O1151"/>
    </row>
    <row r="1152" spans="6:15">
      <c r="F1152"/>
      <c r="G1152"/>
      <c r="H1152"/>
      <c r="I1152"/>
      <c r="J1152"/>
      <c r="K1152"/>
      <c r="L1152"/>
      <c r="M1152"/>
      <c r="N1152"/>
      <c r="O1152"/>
    </row>
    <row r="1153" spans="6:15">
      <c r="F1153"/>
      <c r="G1153"/>
      <c r="H1153"/>
      <c r="I1153"/>
      <c r="J1153"/>
      <c r="K1153"/>
      <c r="L1153"/>
      <c r="M1153"/>
      <c r="N1153"/>
      <c r="O1153"/>
    </row>
    <row r="1154" spans="6:15">
      <c r="F1154"/>
      <c r="G1154"/>
      <c r="H1154"/>
      <c r="I1154"/>
      <c r="J1154"/>
      <c r="K1154"/>
      <c r="L1154"/>
      <c r="M1154"/>
      <c r="N1154"/>
      <c r="O1154"/>
    </row>
    <row r="1155" spans="6:15">
      <c r="F1155"/>
      <c r="G1155"/>
      <c r="H1155"/>
      <c r="I1155"/>
      <c r="J1155"/>
      <c r="K1155"/>
      <c r="L1155"/>
      <c r="M1155"/>
      <c r="N1155"/>
      <c r="O1155"/>
    </row>
    <row r="1156" spans="6:15">
      <c r="F1156"/>
      <c r="G1156"/>
      <c r="H1156"/>
      <c r="I1156"/>
      <c r="J1156"/>
      <c r="K1156"/>
      <c r="L1156"/>
      <c r="M1156"/>
      <c r="N1156"/>
      <c r="O1156"/>
    </row>
    <row r="1157" spans="6:15">
      <c r="F1157"/>
      <c r="G1157"/>
      <c r="H1157"/>
      <c r="I1157"/>
      <c r="J1157"/>
      <c r="K1157"/>
      <c r="L1157"/>
      <c r="M1157"/>
      <c r="N1157"/>
      <c r="O1157"/>
    </row>
    <row r="1158" spans="6:15">
      <c r="F1158"/>
      <c r="G1158"/>
      <c r="H1158"/>
      <c r="I1158"/>
      <c r="J1158"/>
      <c r="K1158"/>
      <c r="L1158"/>
      <c r="M1158"/>
      <c r="N1158"/>
      <c r="O1158"/>
    </row>
    <row r="1159" spans="6:15">
      <c r="F1159"/>
      <c r="G1159"/>
      <c r="H1159"/>
      <c r="I1159"/>
      <c r="J1159"/>
      <c r="K1159"/>
      <c r="L1159"/>
      <c r="M1159"/>
      <c r="N1159"/>
      <c r="O1159"/>
    </row>
    <row r="1160" spans="6:15">
      <c r="F1160"/>
      <c r="G1160"/>
      <c r="H1160"/>
      <c r="I1160"/>
      <c r="J1160"/>
      <c r="K1160"/>
      <c r="L1160"/>
      <c r="M1160"/>
      <c r="N1160"/>
      <c r="O1160"/>
    </row>
    <row r="1161" spans="6:15">
      <c r="F1161"/>
      <c r="G1161"/>
      <c r="H1161"/>
      <c r="I1161"/>
      <c r="J1161"/>
      <c r="K1161"/>
      <c r="L1161"/>
      <c r="M1161"/>
      <c r="N1161"/>
      <c r="O1161"/>
    </row>
    <row r="1162" spans="6:15">
      <c r="F1162"/>
      <c r="G1162"/>
      <c r="H1162"/>
      <c r="I1162"/>
      <c r="J1162"/>
      <c r="K1162"/>
      <c r="L1162"/>
      <c r="M1162"/>
      <c r="N1162"/>
      <c r="O1162"/>
    </row>
    <row r="1163" spans="6:15">
      <c r="F1163"/>
      <c r="G1163"/>
      <c r="H1163"/>
      <c r="I1163"/>
      <c r="J1163"/>
      <c r="K1163"/>
      <c r="L1163"/>
      <c r="M1163"/>
      <c r="N1163"/>
      <c r="O1163"/>
    </row>
    <row r="1164" spans="6:15">
      <c r="F1164"/>
      <c r="G1164"/>
      <c r="H1164"/>
      <c r="I1164"/>
      <c r="J1164"/>
      <c r="K1164"/>
      <c r="L1164"/>
      <c r="M1164"/>
      <c r="N1164"/>
      <c r="O1164"/>
    </row>
    <row r="1165" spans="6:15">
      <c r="F1165"/>
      <c r="G1165"/>
      <c r="H1165"/>
      <c r="I1165"/>
      <c r="J1165"/>
      <c r="K1165"/>
      <c r="L1165"/>
      <c r="M1165"/>
      <c r="N1165"/>
      <c r="O1165"/>
    </row>
    <row r="1166" spans="6:15">
      <c r="F1166"/>
      <c r="G1166"/>
      <c r="H1166"/>
      <c r="I1166"/>
      <c r="J1166"/>
      <c r="K1166"/>
      <c r="L1166"/>
      <c r="M1166"/>
      <c r="N1166"/>
      <c r="O1166"/>
    </row>
    <row r="1167" spans="6:15">
      <c r="F1167"/>
      <c r="G1167"/>
      <c r="H1167"/>
      <c r="I1167"/>
      <c r="J1167"/>
      <c r="K1167"/>
      <c r="L1167"/>
      <c r="M1167"/>
      <c r="N1167"/>
      <c r="O1167"/>
    </row>
    <row r="1168" spans="6:15">
      <c r="F1168"/>
      <c r="G1168"/>
      <c r="H1168"/>
      <c r="I1168"/>
      <c r="J1168"/>
      <c r="K1168"/>
      <c r="L1168"/>
      <c r="M1168"/>
      <c r="N1168"/>
      <c r="O1168"/>
    </row>
    <row r="1169" spans="6:15">
      <c r="F1169"/>
      <c r="G1169"/>
      <c r="H1169"/>
      <c r="I1169"/>
      <c r="J1169"/>
      <c r="K1169"/>
      <c r="L1169"/>
      <c r="M1169"/>
      <c r="N1169"/>
      <c r="O1169"/>
    </row>
    <row r="1170" spans="6:15">
      <c r="F1170"/>
      <c r="G1170"/>
      <c r="H1170"/>
      <c r="I1170"/>
      <c r="J1170"/>
      <c r="K1170"/>
      <c r="L1170"/>
      <c r="M1170"/>
      <c r="N1170"/>
      <c r="O1170"/>
    </row>
    <row r="1171" spans="6:15">
      <c r="F1171"/>
      <c r="G1171"/>
      <c r="H1171"/>
      <c r="I1171"/>
      <c r="J1171"/>
      <c r="K1171"/>
      <c r="L1171"/>
      <c r="M1171"/>
      <c r="N1171"/>
      <c r="O1171"/>
    </row>
    <row r="1172" spans="6:15">
      <c r="F1172"/>
      <c r="G1172"/>
      <c r="H1172"/>
      <c r="I1172"/>
      <c r="J1172"/>
      <c r="K1172"/>
      <c r="L1172"/>
      <c r="M1172"/>
      <c r="N1172"/>
      <c r="O1172"/>
    </row>
    <row r="1173" spans="6:15">
      <c r="F1173"/>
      <c r="G1173"/>
      <c r="H1173"/>
      <c r="I1173"/>
      <c r="J1173"/>
      <c r="K1173"/>
      <c r="L1173"/>
      <c r="M1173"/>
      <c r="N1173"/>
      <c r="O1173"/>
    </row>
    <row r="1174" spans="6:15">
      <c r="F1174"/>
      <c r="G1174"/>
      <c r="H1174"/>
      <c r="I1174"/>
      <c r="J1174"/>
      <c r="K1174"/>
      <c r="L1174"/>
      <c r="M1174"/>
      <c r="N1174"/>
      <c r="O1174"/>
    </row>
    <row r="1175" spans="6:15">
      <c r="F1175"/>
      <c r="G1175"/>
      <c r="H1175"/>
      <c r="I1175"/>
      <c r="J1175"/>
      <c r="K1175"/>
      <c r="L1175"/>
      <c r="M1175"/>
      <c r="N1175"/>
      <c r="O1175"/>
    </row>
    <row r="1176" spans="6:15">
      <c r="F1176"/>
      <c r="G1176"/>
      <c r="H1176"/>
      <c r="I1176"/>
      <c r="J1176"/>
      <c r="K1176"/>
      <c r="L1176"/>
      <c r="M1176"/>
      <c r="N1176"/>
      <c r="O1176"/>
    </row>
    <row r="1177" spans="6:15">
      <c r="F1177"/>
      <c r="G1177"/>
      <c r="H1177"/>
      <c r="I1177"/>
      <c r="J1177"/>
      <c r="K1177"/>
      <c r="L1177"/>
      <c r="M1177"/>
      <c r="N1177"/>
      <c r="O1177"/>
    </row>
    <row r="1178" spans="6:15">
      <c r="F1178"/>
      <c r="G1178"/>
      <c r="H1178"/>
      <c r="I1178"/>
      <c r="J1178"/>
      <c r="K1178"/>
      <c r="L1178"/>
      <c r="M1178"/>
      <c r="N1178"/>
      <c r="O1178"/>
    </row>
    <row r="1179" spans="6:15">
      <c r="F1179"/>
      <c r="G1179"/>
      <c r="H1179"/>
      <c r="I1179"/>
      <c r="J1179"/>
      <c r="K1179"/>
      <c r="L1179"/>
      <c r="M1179"/>
      <c r="N1179"/>
      <c r="O1179"/>
    </row>
    <row r="1180" spans="6:15">
      <c r="F1180"/>
      <c r="G1180"/>
      <c r="H1180"/>
      <c r="I1180"/>
      <c r="J1180"/>
      <c r="K1180"/>
      <c r="L1180"/>
      <c r="M1180"/>
      <c r="N1180"/>
      <c r="O1180"/>
    </row>
    <row r="1181" spans="6:15">
      <c r="F1181"/>
      <c r="G1181"/>
      <c r="H1181"/>
      <c r="I1181"/>
      <c r="J1181"/>
      <c r="K1181"/>
      <c r="L1181"/>
      <c r="M1181"/>
      <c r="N1181"/>
      <c r="O1181"/>
    </row>
    <row r="1182" spans="6:15">
      <c r="F1182"/>
      <c r="G1182"/>
      <c r="H1182"/>
      <c r="I1182"/>
      <c r="J1182"/>
      <c r="K1182"/>
      <c r="L1182"/>
      <c r="M1182"/>
      <c r="N1182"/>
      <c r="O1182"/>
    </row>
    <row r="1183" spans="6:15">
      <c r="F1183"/>
      <c r="G1183"/>
      <c r="H1183"/>
      <c r="I1183"/>
      <c r="J1183"/>
      <c r="K1183"/>
      <c r="L1183"/>
      <c r="M1183"/>
      <c r="N1183"/>
      <c r="O1183"/>
    </row>
    <row r="1184" spans="6:15">
      <c r="F1184"/>
      <c r="G1184"/>
      <c r="H1184"/>
      <c r="I1184"/>
      <c r="J1184"/>
      <c r="K1184"/>
      <c r="L1184"/>
      <c r="M1184"/>
      <c r="N1184"/>
      <c r="O1184"/>
    </row>
    <row r="1185" spans="6:15">
      <c r="F1185"/>
      <c r="G1185"/>
      <c r="H1185"/>
      <c r="I1185"/>
      <c r="J1185"/>
      <c r="K1185"/>
      <c r="L1185"/>
      <c r="M1185"/>
      <c r="N1185"/>
      <c r="O1185"/>
    </row>
    <row r="1186" spans="6:15">
      <c r="F1186"/>
      <c r="G1186"/>
      <c r="H1186"/>
      <c r="I1186"/>
      <c r="J1186"/>
      <c r="K1186"/>
      <c r="L1186"/>
      <c r="M1186"/>
      <c r="N1186"/>
      <c r="O1186"/>
    </row>
    <row r="1187" spans="6:15">
      <c r="F1187"/>
      <c r="G1187"/>
      <c r="H1187"/>
      <c r="I1187"/>
      <c r="J1187"/>
      <c r="K1187"/>
      <c r="L1187"/>
      <c r="M1187"/>
      <c r="N1187"/>
      <c r="O1187"/>
    </row>
    <row r="1188" spans="6:15">
      <c r="F1188"/>
      <c r="G1188"/>
      <c r="H1188"/>
      <c r="I1188"/>
      <c r="J1188"/>
      <c r="K1188"/>
      <c r="L1188"/>
      <c r="M1188"/>
      <c r="N1188"/>
      <c r="O1188"/>
    </row>
    <row r="1189" spans="6:15">
      <c r="F1189"/>
      <c r="G1189"/>
      <c r="H1189"/>
      <c r="I1189"/>
      <c r="J1189"/>
      <c r="K1189"/>
      <c r="L1189"/>
      <c r="M1189"/>
      <c r="N1189"/>
      <c r="O1189"/>
    </row>
    <row r="1190" spans="6:15">
      <c r="F1190"/>
      <c r="G1190"/>
      <c r="H1190"/>
      <c r="I1190"/>
      <c r="J1190"/>
      <c r="K1190"/>
      <c r="L1190"/>
      <c r="M1190"/>
      <c r="N1190"/>
      <c r="O1190"/>
    </row>
    <row r="1191" spans="6:15">
      <c r="F1191"/>
      <c r="G1191"/>
      <c r="H1191"/>
      <c r="I1191"/>
      <c r="J1191"/>
      <c r="K1191"/>
      <c r="L1191"/>
      <c r="M1191"/>
      <c r="N1191"/>
      <c r="O1191"/>
    </row>
    <row r="1192" spans="6:15">
      <c r="F1192"/>
      <c r="G1192"/>
      <c r="H1192"/>
      <c r="I1192"/>
      <c r="J1192"/>
      <c r="K1192"/>
      <c r="L1192"/>
      <c r="M1192"/>
      <c r="N1192"/>
      <c r="O1192"/>
    </row>
    <row r="1193" spans="6:15">
      <c r="F1193"/>
      <c r="G1193"/>
      <c r="H1193"/>
      <c r="I1193"/>
      <c r="J1193"/>
      <c r="K1193"/>
      <c r="L1193"/>
      <c r="M1193"/>
      <c r="N1193"/>
      <c r="O1193"/>
    </row>
    <row r="1194" spans="6:15">
      <c r="F1194"/>
      <c r="G1194"/>
      <c r="H1194"/>
      <c r="I1194"/>
      <c r="J1194"/>
      <c r="K1194"/>
      <c r="L1194"/>
      <c r="M1194"/>
      <c r="N1194"/>
      <c r="O1194"/>
    </row>
    <row r="1195" spans="6:15">
      <c r="F1195"/>
      <c r="G1195"/>
      <c r="H1195"/>
      <c r="I1195"/>
      <c r="J1195"/>
      <c r="K1195"/>
      <c r="L1195"/>
      <c r="M1195"/>
      <c r="N1195"/>
      <c r="O1195"/>
    </row>
    <row r="1196" spans="6:15">
      <c r="F1196"/>
      <c r="G1196"/>
      <c r="H1196"/>
      <c r="I1196"/>
      <c r="J1196"/>
      <c r="K1196"/>
      <c r="L1196"/>
      <c r="M1196"/>
      <c r="N1196"/>
      <c r="O1196"/>
    </row>
    <row r="1197" spans="6:15">
      <c r="F1197"/>
      <c r="G1197"/>
      <c r="H1197"/>
      <c r="I1197"/>
      <c r="J1197"/>
      <c r="K1197"/>
      <c r="L1197"/>
      <c r="M1197"/>
      <c r="N1197"/>
      <c r="O1197"/>
    </row>
    <row r="1198" spans="6:15">
      <c r="F1198"/>
      <c r="G1198"/>
      <c r="H1198"/>
      <c r="I1198"/>
      <c r="J1198"/>
      <c r="K1198"/>
      <c r="L1198"/>
      <c r="M1198"/>
      <c r="N1198"/>
      <c r="O1198"/>
    </row>
    <row r="1199" spans="6:15">
      <c r="F1199"/>
      <c r="G1199"/>
      <c r="H1199"/>
      <c r="I1199"/>
      <c r="J1199"/>
      <c r="K1199"/>
      <c r="L1199"/>
      <c r="M1199"/>
      <c r="N1199"/>
      <c r="O1199"/>
    </row>
    <row r="1200" spans="6:15">
      <c r="F1200"/>
      <c r="G1200"/>
      <c r="H1200"/>
      <c r="I1200"/>
      <c r="J1200"/>
      <c r="K1200"/>
      <c r="L1200"/>
      <c r="M1200"/>
      <c r="N1200"/>
      <c r="O1200"/>
    </row>
    <row r="1201" spans="6:15">
      <c r="F1201"/>
      <c r="G1201"/>
      <c r="H1201"/>
      <c r="I1201"/>
      <c r="J1201"/>
      <c r="K1201"/>
      <c r="L1201"/>
      <c r="M1201"/>
      <c r="N1201"/>
      <c r="O1201"/>
    </row>
    <row r="1202" spans="6:15">
      <c r="F1202"/>
      <c r="G1202"/>
      <c r="H1202"/>
      <c r="I1202"/>
      <c r="J1202"/>
      <c r="K1202"/>
      <c r="L1202"/>
      <c r="M1202"/>
      <c r="N1202"/>
      <c r="O1202"/>
    </row>
    <row r="1203" spans="6:15">
      <c r="F1203"/>
      <c r="G1203"/>
      <c r="H1203"/>
      <c r="I1203"/>
      <c r="J1203"/>
      <c r="K1203"/>
      <c r="L1203"/>
      <c r="M1203"/>
      <c r="N1203"/>
      <c r="O1203"/>
    </row>
    <row r="1204" spans="6:15">
      <c r="F1204"/>
      <c r="G1204"/>
      <c r="H1204"/>
      <c r="I1204"/>
      <c r="J1204"/>
      <c r="K1204"/>
      <c r="L1204"/>
      <c r="M1204"/>
      <c r="N1204"/>
      <c r="O1204"/>
    </row>
    <row r="1205" spans="6:15">
      <c r="F1205"/>
      <c r="G1205"/>
      <c r="H1205"/>
      <c r="I1205"/>
      <c r="J1205"/>
      <c r="K1205"/>
      <c r="L1205"/>
      <c r="M1205"/>
      <c r="N1205"/>
      <c r="O1205"/>
    </row>
    <row r="1206" spans="6:15">
      <c r="F1206"/>
      <c r="G1206"/>
      <c r="H1206"/>
      <c r="I1206"/>
      <c r="J1206"/>
      <c r="K1206"/>
      <c r="L1206"/>
      <c r="M1206"/>
      <c r="N1206"/>
      <c r="O1206"/>
    </row>
    <row r="1207" spans="6:15">
      <c r="F1207"/>
      <c r="G1207"/>
      <c r="H1207"/>
      <c r="I1207"/>
      <c r="J1207"/>
      <c r="K1207"/>
      <c r="L1207"/>
      <c r="M1207"/>
      <c r="N1207"/>
      <c r="O1207"/>
    </row>
    <row r="1208" spans="6:15">
      <c r="F1208"/>
      <c r="G1208"/>
      <c r="H1208"/>
      <c r="I1208"/>
      <c r="J1208"/>
      <c r="K1208"/>
      <c r="L1208"/>
      <c r="M1208"/>
      <c r="N1208"/>
      <c r="O1208"/>
    </row>
    <row r="1209" spans="6:15">
      <c r="F1209"/>
      <c r="G1209"/>
      <c r="H1209"/>
      <c r="I1209"/>
      <c r="J1209"/>
      <c r="K1209"/>
      <c r="L1209"/>
      <c r="M1209"/>
      <c r="N1209"/>
      <c r="O1209"/>
    </row>
    <row r="1210" spans="6:15">
      <c r="F1210"/>
      <c r="G1210"/>
      <c r="H1210"/>
      <c r="I1210"/>
      <c r="J1210"/>
      <c r="K1210"/>
      <c r="L1210"/>
      <c r="M1210"/>
      <c r="N1210"/>
      <c r="O1210"/>
    </row>
    <row r="1211" spans="6:15">
      <c r="F1211"/>
      <c r="G1211"/>
      <c r="H1211"/>
      <c r="I1211"/>
      <c r="J1211"/>
      <c r="K1211"/>
      <c r="L1211"/>
      <c r="M1211"/>
      <c r="N1211"/>
      <c r="O1211"/>
    </row>
    <row r="1212" spans="6:15">
      <c r="F1212"/>
      <c r="G1212"/>
      <c r="H1212"/>
      <c r="I1212"/>
      <c r="J1212"/>
      <c r="K1212"/>
      <c r="L1212"/>
      <c r="M1212"/>
      <c r="N1212"/>
      <c r="O1212"/>
    </row>
    <row r="1213" spans="6:15">
      <c r="F1213"/>
      <c r="G1213"/>
      <c r="H1213"/>
      <c r="I1213"/>
      <c r="J1213"/>
      <c r="K1213"/>
      <c r="L1213"/>
      <c r="M1213"/>
      <c r="N1213"/>
      <c r="O1213"/>
    </row>
    <row r="1214" spans="6:15">
      <c r="F1214"/>
      <c r="G1214"/>
      <c r="H1214"/>
      <c r="I1214"/>
      <c r="J1214"/>
      <c r="K1214"/>
      <c r="L1214"/>
      <c r="M1214"/>
      <c r="N1214"/>
      <c r="O1214"/>
    </row>
    <row r="1215" spans="6:15">
      <c r="F1215"/>
      <c r="G1215"/>
      <c r="H1215"/>
      <c r="I1215"/>
      <c r="J1215"/>
      <c r="K1215"/>
      <c r="L1215"/>
      <c r="M1215"/>
      <c r="N1215"/>
      <c r="O1215"/>
    </row>
    <row r="1216" spans="6:15">
      <c r="F1216"/>
      <c r="G1216"/>
      <c r="H1216"/>
      <c r="I1216"/>
      <c r="J1216"/>
      <c r="K1216"/>
      <c r="L1216"/>
      <c r="M1216"/>
      <c r="N1216"/>
      <c r="O1216"/>
    </row>
    <row r="1217" spans="6:15">
      <c r="F1217"/>
      <c r="G1217"/>
      <c r="H1217"/>
      <c r="I1217"/>
      <c r="J1217"/>
      <c r="K1217"/>
      <c r="L1217"/>
      <c r="M1217"/>
      <c r="N1217"/>
      <c r="O1217"/>
    </row>
    <row r="1218" spans="6:15">
      <c r="F1218"/>
      <c r="G1218"/>
      <c r="H1218"/>
      <c r="I1218"/>
      <c r="J1218"/>
      <c r="K1218"/>
      <c r="L1218"/>
      <c r="M1218"/>
      <c r="N1218"/>
      <c r="O1218"/>
    </row>
    <row r="1219" spans="6:15">
      <c r="F1219"/>
      <c r="G1219"/>
      <c r="H1219"/>
      <c r="I1219"/>
      <c r="J1219"/>
      <c r="K1219"/>
      <c r="L1219"/>
      <c r="M1219"/>
      <c r="N1219"/>
      <c r="O1219"/>
    </row>
    <row r="1220" spans="6:15">
      <c r="F1220"/>
      <c r="G1220"/>
      <c r="H1220"/>
      <c r="I1220"/>
      <c r="J1220"/>
      <c r="K1220"/>
      <c r="L1220"/>
      <c r="M1220"/>
      <c r="N1220"/>
      <c r="O1220"/>
    </row>
    <row r="1221" spans="6:15">
      <c r="F1221"/>
      <c r="G1221"/>
      <c r="H1221"/>
      <c r="I1221"/>
      <c r="J1221"/>
      <c r="K1221"/>
      <c r="L1221"/>
      <c r="M1221"/>
      <c r="N1221"/>
      <c r="O1221"/>
    </row>
    <row r="1222" spans="6:15">
      <c r="F1222"/>
      <c r="G1222"/>
      <c r="H1222"/>
      <c r="I1222"/>
      <c r="J1222"/>
      <c r="K1222"/>
      <c r="L1222"/>
      <c r="M1222"/>
      <c r="N1222"/>
      <c r="O1222"/>
    </row>
    <row r="1223" spans="6:15">
      <c r="F1223"/>
      <c r="G1223"/>
      <c r="H1223"/>
      <c r="I1223"/>
      <c r="J1223"/>
      <c r="K1223"/>
      <c r="L1223"/>
      <c r="M1223"/>
      <c r="N1223"/>
      <c r="O1223"/>
    </row>
    <row r="1224" spans="6:15">
      <c r="F1224"/>
      <c r="G1224"/>
      <c r="H1224"/>
      <c r="I1224"/>
      <c r="J1224"/>
      <c r="K1224"/>
      <c r="L1224"/>
      <c r="M1224"/>
      <c r="N1224"/>
      <c r="O1224"/>
    </row>
    <row r="1225" spans="6:15">
      <c r="F1225"/>
      <c r="G1225"/>
      <c r="H1225"/>
      <c r="I1225"/>
      <c r="J1225"/>
      <c r="K1225"/>
      <c r="L1225"/>
      <c r="M1225"/>
      <c r="N1225"/>
      <c r="O1225"/>
    </row>
    <row r="1226" spans="6:15">
      <c r="F1226"/>
      <c r="G1226"/>
      <c r="H1226"/>
      <c r="I1226"/>
      <c r="J1226"/>
      <c r="K1226"/>
      <c r="L1226"/>
      <c r="M1226"/>
      <c r="N1226"/>
      <c r="O1226"/>
    </row>
    <row r="1227" spans="6:15">
      <c r="F1227"/>
      <c r="G1227"/>
      <c r="H1227"/>
      <c r="I1227"/>
      <c r="J1227"/>
      <c r="K1227"/>
      <c r="L1227"/>
      <c r="M1227"/>
      <c r="N1227"/>
      <c r="O1227"/>
    </row>
    <row r="1228" spans="6:15">
      <c r="F1228"/>
      <c r="G1228"/>
      <c r="H1228"/>
      <c r="I1228"/>
      <c r="J1228"/>
      <c r="K1228"/>
      <c r="L1228"/>
      <c r="M1228"/>
      <c r="N1228"/>
      <c r="O1228"/>
    </row>
    <row r="1229" spans="6:15">
      <c r="F1229"/>
      <c r="G1229"/>
      <c r="H1229"/>
      <c r="I1229"/>
      <c r="J1229"/>
      <c r="K1229"/>
      <c r="L1229"/>
      <c r="M1229"/>
      <c r="N1229"/>
      <c r="O1229"/>
    </row>
    <row r="1230" spans="6:15">
      <c r="F1230"/>
      <c r="G1230"/>
      <c r="H1230"/>
      <c r="I1230"/>
      <c r="J1230"/>
      <c r="K1230"/>
      <c r="L1230"/>
      <c r="M1230"/>
      <c r="N1230"/>
      <c r="O1230"/>
    </row>
    <row r="1231" spans="6:15">
      <c r="F1231"/>
      <c r="G1231"/>
      <c r="H1231"/>
      <c r="I1231"/>
      <c r="J1231"/>
      <c r="K1231"/>
      <c r="L1231"/>
      <c r="M1231"/>
      <c r="N1231"/>
      <c r="O1231"/>
    </row>
    <row r="1232" spans="6:15">
      <c r="F1232"/>
      <c r="G1232"/>
      <c r="H1232"/>
      <c r="I1232"/>
      <c r="J1232"/>
      <c r="K1232"/>
      <c r="L1232"/>
      <c r="M1232"/>
      <c r="N1232"/>
      <c r="O1232"/>
    </row>
    <row r="1233" spans="6:15">
      <c r="F1233"/>
      <c r="G1233"/>
      <c r="H1233"/>
      <c r="I1233"/>
      <c r="J1233"/>
      <c r="K1233"/>
      <c r="L1233"/>
      <c r="M1233"/>
      <c r="N1233"/>
      <c r="O1233"/>
    </row>
    <row r="1234" spans="6:15">
      <c r="F1234"/>
      <c r="G1234"/>
      <c r="H1234"/>
      <c r="I1234"/>
      <c r="J1234"/>
      <c r="K1234"/>
      <c r="L1234"/>
      <c r="M1234"/>
      <c r="N1234"/>
      <c r="O1234"/>
    </row>
    <row r="1235" spans="6:15">
      <c r="F1235"/>
      <c r="G1235"/>
      <c r="H1235"/>
      <c r="I1235"/>
      <c r="J1235"/>
      <c r="K1235"/>
      <c r="L1235"/>
      <c r="M1235"/>
      <c r="N1235"/>
      <c r="O1235"/>
    </row>
    <row r="1236" spans="6:15">
      <c r="F1236"/>
      <c r="G1236"/>
      <c r="H1236"/>
      <c r="I1236"/>
      <c r="J1236"/>
      <c r="K1236"/>
      <c r="L1236"/>
      <c r="M1236"/>
      <c r="N1236"/>
      <c r="O1236"/>
    </row>
    <row r="1237" spans="6:15">
      <c r="F1237"/>
      <c r="G1237"/>
      <c r="H1237"/>
      <c r="I1237"/>
      <c r="J1237"/>
      <c r="K1237"/>
      <c r="L1237"/>
      <c r="M1237"/>
      <c r="N1237"/>
      <c r="O1237"/>
    </row>
    <row r="1238" spans="6:15">
      <c r="F1238"/>
      <c r="G1238"/>
      <c r="H1238"/>
      <c r="I1238"/>
      <c r="J1238"/>
      <c r="K1238"/>
      <c r="L1238"/>
      <c r="M1238"/>
      <c r="N1238"/>
      <c r="O1238"/>
    </row>
    <row r="1239" spans="6:15">
      <c r="F1239"/>
      <c r="G1239"/>
      <c r="H1239"/>
      <c r="I1239"/>
      <c r="J1239"/>
      <c r="K1239"/>
      <c r="L1239"/>
      <c r="M1239"/>
      <c r="N1239"/>
      <c r="O1239"/>
    </row>
    <row r="1240" spans="6:15">
      <c r="F1240"/>
      <c r="G1240"/>
      <c r="H1240"/>
      <c r="I1240"/>
      <c r="J1240"/>
      <c r="K1240"/>
      <c r="L1240"/>
      <c r="M1240"/>
      <c r="N1240"/>
      <c r="O1240"/>
    </row>
    <row r="1241" spans="6:15">
      <c r="F1241"/>
      <c r="G1241"/>
      <c r="H1241"/>
      <c r="I1241"/>
      <c r="J1241"/>
      <c r="K1241"/>
      <c r="L1241"/>
      <c r="M1241"/>
      <c r="N1241"/>
      <c r="O1241"/>
    </row>
    <row r="1242" spans="6:15">
      <c r="F1242"/>
      <c r="G1242"/>
      <c r="H1242"/>
      <c r="I1242"/>
      <c r="J1242"/>
      <c r="K1242"/>
      <c r="L1242"/>
      <c r="M1242"/>
      <c r="N1242"/>
      <c r="O1242"/>
    </row>
    <row r="1243" spans="6:15">
      <c r="F1243"/>
      <c r="G1243"/>
      <c r="H1243"/>
      <c r="I1243"/>
      <c r="J1243"/>
      <c r="K1243"/>
      <c r="L1243"/>
      <c r="M1243"/>
      <c r="N1243"/>
      <c r="O1243"/>
    </row>
    <row r="1244" spans="6:15">
      <c r="F1244"/>
      <c r="G1244"/>
      <c r="H1244"/>
      <c r="I1244"/>
      <c r="J1244"/>
      <c r="K1244"/>
      <c r="L1244"/>
      <c r="M1244"/>
      <c r="N1244"/>
      <c r="O1244"/>
    </row>
    <row r="1245" spans="6:15">
      <c r="F1245"/>
      <c r="G1245"/>
      <c r="H1245"/>
      <c r="I1245"/>
      <c r="J1245"/>
      <c r="K1245"/>
      <c r="L1245"/>
      <c r="M1245"/>
      <c r="N1245"/>
      <c r="O1245"/>
    </row>
    <row r="1246" spans="6:15">
      <c r="F1246"/>
      <c r="G1246"/>
      <c r="H1246"/>
      <c r="I1246"/>
      <c r="J1246"/>
      <c r="K1246"/>
      <c r="L1246"/>
      <c r="M1246"/>
      <c r="N1246"/>
      <c r="O1246"/>
    </row>
    <row r="1247" spans="6:15">
      <c r="F1247"/>
      <c r="G1247"/>
      <c r="H1247"/>
      <c r="I1247"/>
      <c r="J1247"/>
      <c r="K1247"/>
      <c r="L1247"/>
      <c r="M1247"/>
      <c r="N1247"/>
      <c r="O1247"/>
    </row>
    <row r="1248" spans="6:15">
      <c r="F1248"/>
      <c r="G1248"/>
      <c r="H1248"/>
      <c r="I1248"/>
      <c r="J1248"/>
      <c r="K1248"/>
      <c r="L1248"/>
      <c r="M1248"/>
      <c r="N1248"/>
      <c r="O1248"/>
    </row>
    <row r="1249" spans="6:15">
      <c r="F1249"/>
      <c r="G1249"/>
      <c r="H1249"/>
      <c r="I1249"/>
      <c r="J1249"/>
      <c r="K1249"/>
      <c r="L1249"/>
      <c r="M1249"/>
      <c r="N1249"/>
      <c r="O1249"/>
    </row>
    <row r="1250" spans="6:15">
      <c r="F1250"/>
      <c r="G1250"/>
      <c r="H1250"/>
      <c r="I1250"/>
      <c r="J1250"/>
      <c r="K1250"/>
      <c r="L1250"/>
      <c r="M1250"/>
      <c r="N1250"/>
      <c r="O1250"/>
    </row>
    <row r="1251" spans="6:15">
      <c r="F1251"/>
      <c r="G1251"/>
      <c r="H1251"/>
      <c r="I1251"/>
      <c r="J1251"/>
      <c r="K1251"/>
      <c r="L1251"/>
      <c r="M1251"/>
      <c r="N1251"/>
      <c r="O1251"/>
    </row>
    <row r="1252" spans="6:15">
      <c r="F1252"/>
      <c r="G1252"/>
      <c r="H1252"/>
      <c r="I1252"/>
      <c r="J1252"/>
      <c r="K1252"/>
      <c r="L1252"/>
      <c r="M1252"/>
      <c r="N1252"/>
      <c r="O1252"/>
    </row>
    <row r="1253" spans="6:15">
      <c r="F1253"/>
      <c r="G1253"/>
      <c r="H1253"/>
      <c r="I1253"/>
      <c r="J1253"/>
      <c r="K1253"/>
      <c r="L1253"/>
      <c r="M1253"/>
      <c r="N1253"/>
      <c r="O1253"/>
    </row>
    <row r="1254" spans="6:15">
      <c r="F1254"/>
      <c r="G1254"/>
      <c r="H1254"/>
      <c r="I1254"/>
      <c r="J1254"/>
      <c r="K1254"/>
      <c r="L1254"/>
      <c r="M1254"/>
      <c r="N1254"/>
      <c r="O1254"/>
    </row>
    <row r="1255" spans="6:15">
      <c r="F1255"/>
      <c r="G1255"/>
      <c r="H1255"/>
      <c r="I1255"/>
      <c r="J1255"/>
      <c r="K1255"/>
      <c r="L1255"/>
      <c r="M1255"/>
      <c r="N1255"/>
      <c r="O1255"/>
    </row>
    <row r="1256" spans="6:15">
      <c r="F1256"/>
      <c r="G1256"/>
      <c r="H1256"/>
      <c r="I1256"/>
      <c r="J1256"/>
      <c r="K1256"/>
      <c r="L1256"/>
      <c r="M1256"/>
      <c r="N1256"/>
      <c r="O1256"/>
    </row>
    <row r="1257" spans="6:15">
      <c r="F1257"/>
      <c r="G1257"/>
      <c r="H1257"/>
      <c r="I1257"/>
      <c r="J1257"/>
      <c r="K1257"/>
      <c r="L1257"/>
      <c r="M1257"/>
      <c r="N1257"/>
      <c r="O1257"/>
    </row>
    <row r="1258" spans="6:15">
      <c r="F1258"/>
      <c r="G1258"/>
      <c r="H1258"/>
      <c r="I1258"/>
      <c r="J1258"/>
      <c r="K1258"/>
      <c r="L1258"/>
      <c r="M1258"/>
      <c r="N1258"/>
      <c r="O1258"/>
    </row>
    <row r="1259" spans="6:15">
      <c r="F1259"/>
      <c r="G1259"/>
      <c r="H1259"/>
      <c r="I1259"/>
      <c r="J1259"/>
      <c r="K1259"/>
      <c r="L1259"/>
      <c r="M1259"/>
      <c r="N1259"/>
      <c r="O1259"/>
    </row>
    <row r="1260" spans="6:15">
      <c r="F1260"/>
      <c r="G1260"/>
      <c r="H1260"/>
      <c r="I1260"/>
      <c r="J1260"/>
      <c r="K1260"/>
      <c r="L1260"/>
      <c r="M1260"/>
      <c r="N1260"/>
      <c r="O1260"/>
    </row>
    <row r="1261" spans="6:15">
      <c r="F1261"/>
      <c r="G1261"/>
      <c r="H1261"/>
      <c r="I1261"/>
      <c r="J1261"/>
      <c r="K1261"/>
      <c r="L1261"/>
      <c r="M1261"/>
      <c r="N1261"/>
      <c r="O1261"/>
    </row>
    <row r="1262" spans="6:15">
      <c r="F1262"/>
      <c r="G1262"/>
      <c r="H1262"/>
      <c r="I1262"/>
      <c r="J1262"/>
      <c r="K1262"/>
      <c r="L1262"/>
      <c r="M1262"/>
      <c r="N1262"/>
      <c r="O1262"/>
    </row>
    <row r="1263" spans="6:15">
      <c r="F1263"/>
      <c r="G1263"/>
      <c r="H1263"/>
      <c r="I1263"/>
      <c r="J1263"/>
      <c r="K1263"/>
      <c r="L1263"/>
      <c r="M1263"/>
      <c r="N1263"/>
      <c r="O1263"/>
    </row>
    <row r="1264" spans="6:15">
      <c r="F1264"/>
      <c r="G1264"/>
      <c r="H1264"/>
      <c r="I1264"/>
      <c r="J1264"/>
      <c r="K1264"/>
      <c r="L1264"/>
      <c r="M1264"/>
      <c r="N1264"/>
      <c r="O1264"/>
    </row>
    <row r="1265" spans="6:15">
      <c r="F1265"/>
      <c r="G1265"/>
      <c r="H1265"/>
      <c r="I1265"/>
      <c r="J1265"/>
      <c r="K1265"/>
      <c r="L1265"/>
      <c r="M1265"/>
      <c r="N1265"/>
      <c r="O1265"/>
    </row>
    <row r="1266" spans="6:15">
      <c r="F1266"/>
      <c r="G1266"/>
      <c r="H1266"/>
      <c r="I1266"/>
      <c r="J1266"/>
      <c r="K1266"/>
      <c r="L1266"/>
      <c r="M1266"/>
      <c r="N1266"/>
      <c r="O1266"/>
    </row>
    <row r="1267" spans="6:15">
      <c r="F1267"/>
      <c r="G1267"/>
      <c r="H1267"/>
      <c r="I1267"/>
      <c r="J1267"/>
      <c r="K1267"/>
      <c r="L1267"/>
      <c r="M1267"/>
      <c r="N1267"/>
      <c r="O1267"/>
    </row>
    <row r="1268" spans="6:15">
      <c r="F1268"/>
      <c r="G1268"/>
      <c r="H1268"/>
      <c r="I1268"/>
      <c r="J1268"/>
      <c r="K1268"/>
      <c r="L1268"/>
      <c r="M1268"/>
      <c r="N1268"/>
      <c r="O1268"/>
    </row>
    <row r="1269" spans="6:15">
      <c r="F1269"/>
      <c r="G1269"/>
      <c r="H1269"/>
      <c r="I1269"/>
      <c r="J1269"/>
      <c r="K1269"/>
      <c r="L1269"/>
      <c r="M1269"/>
      <c r="N1269"/>
      <c r="O1269"/>
    </row>
    <row r="1270" spans="6:15">
      <c r="F1270"/>
      <c r="G1270"/>
      <c r="H1270"/>
      <c r="I1270"/>
      <c r="J1270"/>
      <c r="K1270"/>
      <c r="L1270"/>
      <c r="M1270"/>
      <c r="N1270"/>
      <c r="O1270"/>
    </row>
    <row r="1271" spans="6:15">
      <c r="F1271"/>
      <c r="G1271"/>
      <c r="H1271"/>
      <c r="I1271"/>
      <c r="J1271"/>
      <c r="K1271"/>
      <c r="L1271"/>
      <c r="M1271"/>
      <c r="N1271"/>
      <c r="O1271"/>
    </row>
    <row r="1272" spans="6:15">
      <c r="F1272"/>
      <c r="G1272"/>
      <c r="H1272"/>
      <c r="I1272"/>
      <c r="J1272"/>
      <c r="K1272"/>
      <c r="L1272"/>
      <c r="M1272"/>
      <c r="N1272"/>
      <c r="O1272"/>
    </row>
    <row r="1273" spans="6:15">
      <c r="F1273"/>
      <c r="G1273"/>
      <c r="H1273"/>
      <c r="I1273"/>
      <c r="J1273"/>
      <c r="K1273"/>
      <c r="L1273"/>
      <c r="M1273"/>
      <c r="N1273"/>
      <c r="O1273"/>
    </row>
    <row r="1274" spans="6:15">
      <c r="F1274"/>
      <c r="G1274"/>
      <c r="H1274"/>
      <c r="I1274"/>
      <c r="J1274"/>
      <c r="K1274"/>
      <c r="L1274"/>
      <c r="M1274"/>
      <c r="N1274"/>
      <c r="O1274"/>
    </row>
    <row r="1275" spans="6:15">
      <c r="F1275"/>
      <c r="G1275"/>
      <c r="H1275"/>
      <c r="I1275"/>
      <c r="J1275"/>
      <c r="K1275"/>
      <c r="L1275"/>
      <c r="M1275"/>
      <c r="N1275"/>
      <c r="O1275"/>
    </row>
    <row r="1276" spans="6:15">
      <c r="F1276"/>
      <c r="G1276"/>
      <c r="H1276"/>
      <c r="I1276"/>
      <c r="J1276"/>
      <c r="K1276"/>
      <c r="L1276"/>
      <c r="M1276"/>
      <c r="N1276"/>
      <c r="O1276"/>
    </row>
    <row r="1277" spans="6:15">
      <c r="F1277"/>
      <c r="G1277"/>
      <c r="H1277"/>
      <c r="I1277"/>
      <c r="J1277"/>
      <c r="K1277"/>
      <c r="L1277"/>
      <c r="M1277"/>
      <c r="N1277"/>
      <c r="O1277"/>
    </row>
    <row r="1278" spans="6:15">
      <c r="F1278"/>
      <c r="G1278"/>
      <c r="H1278"/>
      <c r="I1278"/>
      <c r="J1278"/>
      <c r="K1278"/>
      <c r="L1278"/>
      <c r="M1278"/>
      <c r="N1278"/>
      <c r="O1278"/>
    </row>
    <row r="1279" spans="6:15">
      <c r="F1279"/>
      <c r="G1279"/>
      <c r="H1279"/>
      <c r="I1279"/>
      <c r="J1279"/>
      <c r="K1279"/>
      <c r="L1279"/>
      <c r="M1279"/>
      <c r="N1279"/>
      <c r="O1279"/>
    </row>
    <row r="1280" spans="6:15">
      <c r="F1280"/>
      <c r="G1280"/>
      <c r="H1280"/>
      <c r="I1280"/>
      <c r="J1280"/>
      <c r="K1280"/>
      <c r="L1280"/>
      <c r="M1280"/>
      <c r="N1280"/>
      <c r="O1280"/>
    </row>
    <row r="1281" spans="6:15">
      <c r="F1281"/>
      <c r="G1281"/>
      <c r="H1281"/>
      <c r="I1281"/>
      <c r="J1281"/>
      <c r="K1281"/>
      <c r="L1281"/>
      <c r="M1281"/>
      <c r="N1281"/>
      <c r="O1281"/>
    </row>
    <row r="1282" spans="6:15">
      <c r="F1282"/>
      <c r="G1282"/>
      <c r="H1282"/>
      <c r="I1282"/>
      <c r="J1282"/>
      <c r="K1282"/>
      <c r="L1282"/>
      <c r="M1282"/>
      <c r="N1282"/>
      <c r="O1282"/>
    </row>
    <row r="1283" spans="6:15">
      <c r="F1283"/>
      <c r="G1283"/>
      <c r="H1283"/>
      <c r="I1283"/>
      <c r="J1283"/>
      <c r="K1283"/>
      <c r="L1283"/>
      <c r="M1283"/>
      <c r="N1283"/>
      <c r="O1283"/>
    </row>
    <row r="1284" spans="6:15">
      <c r="F1284"/>
      <c r="G1284"/>
      <c r="H1284"/>
      <c r="I1284"/>
      <c r="J1284"/>
      <c r="K1284"/>
      <c r="L1284"/>
      <c r="M1284"/>
      <c r="N1284"/>
      <c r="O1284"/>
    </row>
    <row r="1285" spans="6:15">
      <c r="F1285"/>
      <c r="G1285"/>
      <c r="H1285"/>
      <c r="I1285"/>
      <c r="J1285"/>
      <c r="K1285"/>
      <c r="L1285"/>
      <c r="M1285"/>
      <c r="N1285"/>
      <c r="O1285"/>
    </row>
    <row r="1286" spans="6:15">
      <c r="F1286"/>
      <c r="G1286"/>
      <c r="H1286"/>
      <c r="I1286"/>
      <c r="J1286"/>
      <c r="K1286"/>
      <c r="L1286"/>
      <c r="M1286"/>
      <c r="N1286"/>
      <c r="O1286"/>
    </row>
    <row r="1287" spans="6:15">
      <c r="F1287"/>
      <c r="G1287"/>
      <c r="H1287"/>
      <c r="I1287"/>
      <c r="J1287"/>
      <c r="K1287"/>
      <c r="L1287"/>
      <c r="M1287"/>
      <c r="N1287"/>
      <c r="O1287"/>
    </row>
    <row r="1288" spans="6:15">
      <c r="F1288"/>
      <c r="G1288"/>
      <c r="H1288"/>
      <c r="I1288"/>
      <c r="J1288"/>
      <c r="K1288"/>
      <c r="L1288"/>
      <c r="M1288"/>
      <c r="N1288"/>
      <c r="O1288"/>
    </row>
    <row r="1289" spans="6:15">
      <c r="F1289"/>
      <c r="G1289"/>
      <c r="H1289"/>
      <c r="I1289"/>
      <c r="J1289"/>
      <c r="K1289"/>
      <c r="L1289"/>
      <c r="M1289"/>
      <c r="N1289"/>
      <c r="O1289"/>
    </row>
    <row r="1290" spans="6:15">
      <c r="F1290"/>
      <c r="G1290"/>
      <c r="H1290"/>
      <c r="I1290"/>
      <c r="J1290"/>
      <c r="K1290"/>
      <c r="L1290"/>
      <c r="M1290"/>
      <c r="N1290"/>
      <c r="O1290"/>
    </row>
    <row r="1291" spans="6:15">
      <c r="F1291"/>
      <c r="G1291"/>
      <c r="H1291"/>
      <c r="I1291"/>
      <c r="J1291"/>
      <c r="K1291"/>
      <c r="L1291"/>
      <c r="M1291"/>
      <c r="N1291"/>
      <c r="O1291"/>
    </row>
    <row r="1292" spans="6:15">
      <c r="F1292"/>
      <c r="G1292"/>
      <c r="H1292"/>
      <c r="I1292"/>
      <c r="J1292"/>
      <c r="K1292"/>
      <c r="L1292"/>
      <c r="M1292"/>
      <c r="N1292"/>
      <c r="O1292"/>
    </row>
    <row r="1293" spans="6:15">
      <c r="F1293"/>
      <c r="G1293"/>
      <c r="H1293"/>
      <c r="I1293"/>
      <c r="J1293"/>
      <c r="K1293"/>
      <c r="L1293"/>
      <c r="M1293"/>
      <c r="N1293"/>
      <c r="O1293"/>
    </row>
    <row r="1294" spans="6:15">
      <c r="F1294"/>
      <c r="G1294"/>
      <c r="H1294"/>
      <c r="I1294"/>
      <c r="J1294"/>
      <c r="K1294"/>
      <c r="L1294"/>
      <c r="M1294"/>
      <c r="N1294"/>
      <c r="O1294"/>
    </row>
    <row r="1295" spans="6:15">
      <c r="F1295"/>
      <c r="G1295"/>
      <c r="H1295"/>
      <c r="I1295"/>
      <c r="J1295"/>
      <c r="K1295"/>
      <c r="L1295"/>
      <c r="M1295"/>
      <c r="N1295"/>
      <c r="O1295"/>
    </row>
    <row r="1296" spans="6:15">
      <c r="F1296"/>
      <c r="G1296"/>
      <c r="H1296"/>
      <c r="I1296"/>
      <c r="J1296"/>
      <c r="K1296"/>
      <c r="L1296"/>
      <c r="M1296"/>
      <c r="N1296"/>
      <c r="O1296"/>
    </row>
    <row r="1297" spans="6:15">
      <c r="F1297"/>
      <c r="G1297"/>
      <c r="H1297"/>
      <c r="I1297"/>
      <c r="J1297"/>
      <c r="K1297"/>
      <c r="L1297"/>
      <c r="M1297"/>
      <c r="N1297"/>
      <c r="O1297"/>
    </row>
    <row r="1298" spans="6:15">
      <c r="F1298"/>
      <c r="G1298"/>
      <c r="H1298"/>
      <c r="I1298"/>
      <c r="J1298"/>
      <c r="K1298"/>
      <c r="L1298"/>
      <c r="M1298"/>
      <c r="N1298"/>
      <c r="O1298"/>
    </row>
    <row r="1299" spans="6:15">
      <c r="F1299"/>
      <c r="G1299"/>
      <c r="H1299"/>
      <c r="I1299"/>
      <c r="J1299"/>
      <c r="K1299"/>
      <c r="L1299"/>
      <c r="M1299"/>
      <c r="N1299"/>
      <c r="O1299"/>
    </row>
    <row r="1300" spans="6:15">
      <c r="F1300"/>
      <c r="G1300"/>
      <c r="H1300"/>
      <c r="I1300"/>
      <c r="J1300"/>
      <c r="K1300"/>
      <c r="L1300"/>
      <c r="M1300"/>
      <c r="N1300"/>
      <c r="O1300"/>
    </row>
    <row r="1301" spans="6:15">
      <c r="F1301"/>
      <c r="G1301"/>
      <c r="H1301"/>
      <c r="I1301"/>
      <c r="J1301"/>
      <c r="K1301"/>
      <c r="L1301"/>
      <c r="M1301"/>
      <c r="N1301"/>
      <c r="O1301"/>
    </row>
    <row r="1302" spans="6:15">
      <c r="F1302"/>
      <c r="G1302"/>
      <c r="H1302"/>
      <c r="I1302"/>
      <c r="J1302"/>
      <c r="K1302"/>
      <c r="L1302"/>
      <c r="M1302"/>
      <c r="N1302"/>
      <c r="O1302"/>
    </row>
    <row r="1303" spans="6:15">
      <c r="F1303"/>
      <c r="G1303"/>
      <c r="H1303"/>
      <c r="I1303"/>
      <c r="J1303"/>
      <c r="K1303"/>
      <c r="L1303"/>
      <c r="M1303"/>
      <c r="N1303"/>
      <c r="O1303"/>
    </row>
    <row r="1304" spans="6:15">
      <c r="F1304"/>
      <c r="G1304"/>
      <c r="H1304"/>
      <c r="I1304"/>
      <c r="J1304"/>
      <c r="K1304"/>
      <c r="L1304"/>
      <c r="M1304"/>
      <c r="N1304"/>
      <c r="O1304"/>
    </row>
    <row r="1305" spans="6:15">
      <c r="F1305"/>
      <c r="G1305"/>
      <c r="H1305"/>
      <c r="I1305"/>
      <c r="J1305"/>
      <c r="K1305"/>
      <c r="L1305"/>
      <c r="M1305"/>
      <c r="N1305"/>
      <c r="O1305"/>
    </row>
    <row r="1306" spans="6:15">
      <c r="F1306"/>
      <c r="G1306"/>
      <c r="H1306"/>
      <c r="I1306"/>
      <c r="J1306"/>
      <c r="K1306"/>
      <c r="L1306"/>
      <c r="M1306"/>
      <c r="N1306"/>
      <c r="O1306"/>
    </row>
    <row r="1307" spans="6:15">
      <c r="F1307"/>
      <c r="G1307"/>
      <c r="H1307"/>
      <c r="I1307"/>
      <c r="J1307"/>
      <c r="K1307"/>
      <c r="L1307"/>
      <c r="M1307"/>
      <c r="N1307"/>
      <c r="O1307"/>
    </row>
    <row r="1308" spans="6:15">
      <c r="F1308"/>
      <c r="G1308"/>
      <c r="H1308"/>
      <c r="I1308"/>
      <c r="J1308"/>
      <c r="K1308"/>
      <c r="L1308"/>
      <c r="M1308"/>
      <c r="N1308"/>
      <c r="O1308"/>
    </row>
    <row r="1309" spans="6:15">
      <c r="F1309"/>
      <c r="G1309"/>
      <c r="H1309"/>
      <c r="I1309"/>
      <c r="J1309"/>
      <c r="K1309"/>
      <c r="L1309"/>
      <c r="M1309"/>
      <c r="N1309"/>
      <c r="O1309"/>
    </row>
    <row r="1310" spans="6:15">
      <c r="F1310"/>
      <c r="G1310"/>
      <c r="H1310"/>
      <c r="I1310"/>
      <c r="J1310"/>
      <c r="K1310"/>
      <c r="L1310"/>
      <c r="M1310"/>
      <c r="N1310"/>
      <c r="O1310"/>
    </row>
    <row r="1311" spans="6:15">
      <c r="F1311"/>
      <c r="G1311"/>
      <c r="H1311"/>
      <c r="I1311"/>
      <c r="J1311"/>
      <c r="K1311"/>
      <c r="L1311"/>
      <c r="M1311"/>
      <c r="N1311"/>
      <c r="O1311"/>
    </row>
    <row r="1312" spans="6:15">
      <c r="F1312"/>
      <c r="G1312"/>
      <c r="H1312"/>
      <c r="I1312"/>
      <c r="J1312"/>
      <c r="K1312"/>
      <c r="L1312"/>
      <c r="M1312"/>
      <c r="N1312"/>
      <c r="O1312"/>
    </row>
    <row r="1313" spans="6:15">
      <c r="F1313"/>
      <c r="G1313"/>
      <c r="H1313"/>
      <c r="I1313"/>
      <c r="J1313"/>
      <c r="K1313"/>
      <c r="L1313"/>
      <c r="M1313"/>
      <c r="N1313"/>
      <c r="O1313"/>
    </row>
    <row r="1314" spans="6:15">
      <c r="F1314"/>
      <c r="G1314"/>
      <c r="H1314"/>
      <c r="I1314"/>
      <c r="J1314"/>
      <c r="K1314"/>
      <c r="L1314"/>
      <c r="M1314"/>
      <c r="N1314"/>
      <c r="O1314"/>
    </row>
    <row r="1315" spans="6:15">
      <c r="F1315"/>
      <c r="G1315"/>
      <c r="H1315"/>
      <c r="I1315"/>
      <c r="J1315"/>
      <c r="K1315"/>
      <c r="L1315"/>
      <c r="M1315"/>
      <c r="N1315"/>
      <c r="O1315"/>
    </row>
    <row r="1316" spans="6:15">
      <c r="F1316"/>
      <c r="G1316"/>
      <c r="H1316"/>
      <c r="I1316"/>
      <c r="J1316"/>
      <c r="K1316"/>
      <c r="L1316"/>
      <c r="M1316"/>
      <c r="N1316"/>
      <c r="O1316"/>
    </row>
    <row r="1317" spans="6:15">
      <c r="F1317"/>
      <c r="G1317"/>
      <c r="H1317"/>
      <c r="I1317"/>
      <c r="J1317"/>
      <c r="K1317"/>
      <c r="L1317"/>
      <c r="M1317"/>
      <c r="N1317"/>
      <c r="O1317"/>
    </row>
    <row r="1318" spans="6:15">
      <c r="F1318"/>
      <c r="G1318"/>
      <c r="H1318"/>
      <c r="I1318"/>
      <c r="J1318"/>
      <c r="K1318"/>
      <c r="L1318"/>
      <c r="M1318"/>
      <c r="N1318"/>
      <c r="O1318"/>
    </row>
    <row r="1319" spans="6:15">
      <c r="F1319"/>
      <c r="G1319"/>
      <c r="H1319"/>
      <c r="I1319"/>
      <c r="J1319"/>
      <c r="K1319"/>
      <c r="L1319"/>
      <c r="M1319"/>
      <c r="N1319"/>
      <c r="O1319"/>
    </row>
    <row r="1320" spans="6:15">
      <c r="F1320"/>
      <c r="G1320"/>
      <c r="H1320"/>
      <c r="I1320"/>
      <c r="J1320"/>
      <c r="K1320"/>
      <c r="L1320"/>
      <c r="M1320"/>
      <c r="N1320"/>
      <c r="O1320"/>
    </row>
    <row r="1321" spans="6:15">
      <c r="F1321"/>
      <c r="G1321"/>
      <c r="H1321"/>
      <c r="I1321"/>
      <c r="J1321"/>
      <c r="K1321"/>
      <c r="L1321"/>
      <c r="M1321"/>
      <c r="N1321"/>
      <c r="O1321"/>
    </row>
    <row r="1322" spans="6:15">
      <c r="F1322"/>
      <c r="G1322"/>
      <c r="H1322"/>
      <c r="I1322"/>
      <c r="J1322"/>
      <c r="K1322"/>
      <c r="L1322"/>
      <c r="M1322"/>
      <c r="N1322"/>
      <c r="O1322"/>
    </row>
    <row r="1323" spans="6:15">
      <c r="F1323"/>
      <c r="G1323"/>
      <c r="H1323"/>
      <c r="I1323"/>
      <c r="J1323"/>
      <c r="K1323"/>
      <c r="L1323"/>
      <c r="M1323"/>
      <c r="N1323"/>
      <c r="O1323"/>
    </row>
    <row r="1324" spans="6:15">
      <c r="F1324"/>
      <c r="G1324"/>
      <c r="H1324"/>
      <c r="I1324"/>
      <c r="J1324"/>
      <c r="K1324"/>
      <c r="L1324"/>
      <c r="M1324"/>
      <c r="N1324"/>
      <c r="O1324"/>
    </row>
    <row r="1325" spans="6:15">
      <c r="F1325"/>
      <c r="G1325"/>
      <c r="H1325"/>
      <c r="I1325"/>
      <c r="J1325"/>
      <c r="K1325"/>
      <c r="L1325"/>
      <c r="M1325"/>
      <c r="N1325"/>
      <c r="O1325"/>
    </row>
    <row r="1326" spans="6:15">
      <c r="F1326"/>
      <c r="G1326"/>
      <c r="H1326"/>
      <c r="I1326"/>
      <c r="J1326"/>
      <c r="K1326"/>
      <c r="L1326"/>
      <c r="M1326"/>
      <c r="N1326"/>
      <c r="O1326"/>
    </row>
    <row r="1327" spans="6:15">
      <c r="F1327"/>
      <c r="G1327"/>
      <c r="H1327"/>
      <c r="I1327"/>
      <c r="J1327"/>
      <c r="K1327"/>
      <c r="L1327"/>
      <c r="M1327"/>
      <c r="N1327"/>
      <c r="O1327"/>
    </row>
    <row r="1328" spans="6:15">
      <c r="F1328"/>
      <c r="G1328"/>
      <c r="H1328"/>
      <c r="I1328"/>
      <c r="J1328"/>
      <c r="K1328"/>
      <c r="L1328"/>
      <c r="M1328"/>
      <c r="N1328"/>
      <c r="O1328"/>
    </row>
    <row r="1329" spans="6:15">
      <c r="F1329"/>
      <c r="G1329"/>
      <c r="H1329"/>
      <c r="I1329"/>
      <c r="J1329"/>
      <c r="K1329"/>
      <c r="L1329"/>
      <c r="M1329"/>
      <c r="N1329"/>
      <c r="O1329"/>
    </row>
    <row r="1330" spans="6:15">
      <c r="F1330"/>
      <c r="G1330"/>
      <c r="H1330"/>
      <c r="I1330"/>
      <c r="J1330"/>
      <c r="K1330"/>
      <c r="L1330"/>
      <c r="M1330"/>
      <c r="N1330"/>
      <c r="O1330"/>
    </row>
    <row r="1331" spans="6:15">
      <c r="F1331"/>
      <c r="G1331"/>
      <c r="H1331"/>
      <c r="I1331"/>
      <c r="J1331"/>
      <c r="K1331"/>
      <c r="L1331"/>
      <c r="M1331"/>
      <c r="N1331"/>
      <c r="O1331"/>
    </row>
    <row r="1332" spans="6:15">
      <c r="F1332"/>
      <c r="G1332"/>
      <c r="H1332"/>
      <c r="I1332"/>
      <c r="J1332"/>
      <c r="K1332"/>
      <c r="L1332"/>
      <c r="M1332"/>
      <c r="N1332"/>
      <c r="O1332"/>
    </row>
    <row r="1333" spans="6:15">
      <c r="F1333"/>
      <c r="G1333"/>
      <c r="H1333"/>
      <c r="I1333"/>
      <c r="J1333"/>
      <c r="K1333"/>
      <c r="L1333"/>
      <c r="M1333"/>
      <c r="N1333"/>
      <c r="O1333"/>
    </row>
    <row r="1334" spans="6:15">
      <c r="F1334"/>
      <c r="G1334"/>
      <c r="H1334"/>
      <c r="I1334"/>
      <c r="J1334"/>
      <c r="K1334"/>
      <c r="L1334"/>
      <c r="M1334"/>
      <c r="N1334"/>
      <c r="O1334"/>
    </row>
    <row r="1335" spans="6:15">
      <c r="F1335"/>
      <c r="G1335"/>
      <c r="H1335"/>
      <c r="I1335"/>
      <c r="J1335"/>
      <c r="K1335"/>
      <c r="L1335"/>
      <c r="M1335"/>
      <c r="N1335"/>
      <c r="O1335"/>
    </row>
    <row r="1336" spans="6:15">
      <c r="F1336"/>
      <c r="G1336"/>
      <c r="H1336"/>
      <c r="I1336"/>
      <c r="J1336"/>
      <c r="K1336"/>
      <c r="L1336"/>
      <c r="M1336"/>
      <c r="N1336"/>
      <c r="O1336"/>
    </row>
    <row r="1337" spans="6:15">
      <c r="F1337"/>
      <c r="G1337"/>
      <c r="H1337"/>
      <c r="I1337"/>
      <c r="J1337"/>
      <c r="K1337"/>
      <c r="L1337"/>
      <c r="M1337"/>
      <c r="N1337"/>
      <c r="O1337"/>
    </row>
    <row r="1338" spans="6:15">
      <c r="F1338"/>
      <c r="G1338"/>
      <c r="H1338"/>
      <c r="I1338"/>
      <c r="J1338"/>
      <c r="K1338"/>
      <c r="L1338"/>
      <c r="M1338"/>
      <c r="N1338"/>
      <c r="O1338"/>
    </row>
    <row r="1339" spans="6:15">
      <c r="F1339"/>
      <c r="G1339"/>
      <c r="H1339"/>
      <c r="I1339"/>
      <c r="J1339"/>
      <c r="K1339"/>
      <c r="L1339"/>
      <c r="M1339"/>
      <c r="N1339"/>
      <c r="O1339"/>
    </row>
    <row r="1340" spans="6:15">
      <c r="F1340"/>
      <c r="G1340"/>
      <c r="H1340"/>
      <c r="I1340"/>
      <c r="J1340"/>
      <c r="K1340"/>
      <c r="L1340"/>
      <c r="M1340"/>
      <c r="N1340"/>
      <c r="O1340"/>
    </row>
    <row r="1341" spans="6:15">
      <c r="F1341"/>
      <c r="G1341"/>
      <c r="H1341"/>
      <c r="I1341"/>
      <c r="J1341"/>
      <c r="K1341"/>
      <c r="L1341"/>
      <c r="M1341"/>
      <c r="N1341"/>
      <c r="O1341"/>
    </row>
    <row r="1342" spans="6:15">
      <c r="F1342"/>
      <c r="G1342"/>
      <c r="H1342"/>
      <c r="I1342"/>
      <c r="J1342"/>
      <c r="K1342"/>
      <c r="L1342"/>
      <c r="M1342"/>
      <c r="N1342"/>
      <c r="O1342"/>
    </row>
    <row r="1343" spans="6:15">
      <c r="F1343"/>
      <c r="G1343"/>
      <c r="H1343"/>
      <c r="I1343"/>
      <c r="J1343"/>
      <c r="K1343"/>
      <c r="L1343"/>
      <c r="M1343"/>
      <c r="N1343"/>
      <c r="O1343"/>
    </row>
    <row r="1344" spans="6:15">
      <c r="F1344"/>
      <c r="G1344"/>
      <c r="H1344"/>
      <c r="I1344"/>
      <c r="J1344"/>
      <c r="K1344"/>
      <c r="L1344"/>
      <c r="M1344"/>
      <c r="N1344"/>
      <c r="O1344"/>
    </row>
    <row r="1345" spans="6:15">
      <c r="F1345"/>
      <c r="G1345"/>
      <c r="H1345"/>
      <c r="I1345"/>
      <c r="J1345"/>
      <c r="K1345"/>
      <c r="L1345"/>
      <c r="M1345"/>
      <c r="N1345"/>
      <c r="O1345"/>
    </row>
    <row r="1346" spans="6:15">
      <c r="F1346"/>
      <c r="G1346"/>
      <c r="H1346"/>
      <c r="I1346"/>
      <c r="J1346"/>
      <c r="K1346"/>
      <c r="L1346"/>
      <c r="M1346"/>
      <c r="N1346"/>
      <c r="O1346"/>
    </row>
    <row r="1347" spans="6:15">
      <c r="F1347"/>
      <c r="G1347"/>
      <c r="H1347"/>
      <c r="I1347"/>
      <c r="J1347"/>
      <c r="K1347"/>
      <c r="L1347"/>
      <c r="M1347"/>
      <c r="N1347"/>
      <c r="O1347"/>
    </row>
    <row r="1348" spans="6:15">
      <c r="F1348"/>
      <c r="G1348"/>
      <c r="H1348"/>
      <c r="I1348"/>
      <c r="J1348"/>
      <c r="K1348"/>
      <c r="L1348"/>
      <c r="M1348"/>
      <c r="N1348"/>
      <c r="O1348"/>
    </row>
    <row r="1349" spans="6:15">
      <c r="F1349"/>
      <c r="G1349"/>
      <c r="H1349"/>
      <c r="I1349"/>
      <c r="J1349"/>
      <c r="K1349"/>
      <c r="L1349"/>
      <c r="M1349"/>
      <c r="N1349"/>
      <c r="O1349"/>
    </row>
    <row r="1350" spans="6:15">
      <c r="F1350"/>
      <c r="G1350"/>
      <c r="H1350"/>
      <c r="I1350"/>
      <c r="J1350"/>
      <c r="K1350"/>
      <c r="L1350"/>
      <c r="M1350"/>
      <c r="N1350"/>
      <c r="O1350"/>
    </row>
    <row r="1351" spans="6:15">
      <c r="F1351"/>
      <c r="G1351"/>
      <c r="H1351"/>
      <c r="I1351"/>
      <c r="J1351"/>
      <c r="K1351"/>
      <c r="L1351"/>
      <c r="M1351"/>
      <c r="N1351"/>
      <c r="O1351"/>
    </row>
    <row r="1352" spans="6:15">
      <c r="F1352"/>
      <c r="G1352"/>
      <c r="H1352"/>
      <c r="I1352"/>
      <c r="J1352"/>
      <c r="K1352"/>
      <c r="L1352"/>
      <c r="M1352"/>
      <c r="N1352"/>
      <c r="O1352"/>
    </row>
    <row r="1353" spans="6:15">
      <c r="F1353"/>
      <c r="G1353"/>
      <c r="H1353"/>
      <c r="I1353"/>
      <c r="J1353"/>
      <c r="K1353"/>
      <c r="L1353"/>
      <c r="M1353"/>
      <c r="N1353"/>
      <c r="O1353"/>
    </row>
    <row r="1354" spans="6:15">
      <c r="F1354"/>
      <c r="G1354"/>
      <c r="H1354"/>
      <c r="I1354"/>
      <c r="J1354"/>
      <c r="K1354"/>
      <c r="L1354"/>
      <c r="M1354"/>
      <c r="N1354"/>
      <c r="O1354"/>
    </row>
    <row r="1355" spans="6:15">
      <c r="F1355"/>
      <c r="G1355"/>
      <c r="H1355"/>
      <c r="I1355"/>
      <c r="J1355"/>
      <c r="K1355"/>
      <c r="L1355"/>
      <c r="M1355"/>
      <c r="N1355"/>
      <c r="O1355"/>
    </row>
    <row r="1356" spans="6:15">
      <c r="F1356"/>
      <c r="G1356"/>
      <c r="H1356"/>
      <c r="I1356"/>
      <c r="J1356"/>
      <c r="K1356"/>
      <c r="L1356"/>
      <c r="M1356"/>
      <c r="N1356"/>
      <c r="O1356"/>
    </row>
    <row r="1357" spans="6:15">
      <c r="F1357"/>
      <c r="G1357"/>
      <c r="H1357"/>
      <c r="I1357"/>
      <c r="J1357"/>
      <c r="K1357"/>
      <c r="L1357"/>
      <c r="M1357"/>
      <c r="N1357"/>
      <c r="O1357"/>
    </row>
    <row r="1358" spans="6:15">
      <c r="F1358"/>
      <c r="G1358"/>
      <c r="H1358"/>
      <c r="I1358"/>
      <c r="J1358"/>
      <c r="K1358"/>
      <c r="L1358"/>
      <c r="M1358"/>
      <c r="N1358"/>
      <c r="O1358"/>
    </row>
    <row r="1359" spans="6:15">
      <c r="F1359"/>
      <c r="G1359"/>
      <c r="H1359"/>
      <c r="I1359"/>
      <c r="J1359"/>
      <c r="K1359"/>
      <c r="L1359"/>
      <c r="M1359"/>
      <c r="N1359"/>
      <c r="O1359"/>
    </row>
    <row r="1360" spans="6:15">
      <c r="F1360"/>
      <c r="G1360"/>
      <c r="H1360"/>
      <c r="I1360"/>
      <c r="J1360"/>
      <c r="K1360"/>
      <c r="L1360"/>
      <c r="M1360"/>
      <c r="N1360"/>
      <c r="O1360"/>
    </row>
    <row r="1361" spans="6:15">
      <c r="F1361"/>
      <c r="G1361"/>
      <c r="H1361"/>
      <c r="I1361"/>
      <c r="J1361"/>
      <c r="K1361"/>
      <c r="L1361"/>
      <c r="M1361"/>
      <c r="N1361"/>
      <c r="O1361"/>
    </row>
    <row r="1362" spans="6:15">
      <c r="F1362"/>
      <c r="G1362"/>
      <c r="H1362"/>
      <c r="I1362"/>
      <c r="J1362"/>
      <c r="K1362"/>
      <c r="L1362"/>
      <c r="M1362"/>
      <c r="N1362"/>
      <c r="O1362"/>
    </row>
    <row r="1363" spans="6:15">
      <c r="F1363"/>
      <c r="G1363"/>
      <c r="H1363"/>
      <c r="I1363"/>
      <c r="J1363"/>
      <c r="K1363"/>
      <c r="L1363"/>
      <c r="M1363"/>
      <c r="N1363"/>
      <c r="O1363"/>
    </row>
    <row r="1364" spans="6:15">
      <c r="F1364"/>
      <c r="G1364"/>
      <c r="H1364"/>
      <c r="I1364"/>
      <c r="J1364"/>
      <c r="K1364"/>
      <c r="L1364"/>
      <c r="M1364"/>
      <c r="N1364"/>
      <c r="O1364"/>
    </row>
    <row r="1365" spans="6:15">
      <c r="F1365"/>
      <c r="G1365"/>
      <c r="H1365"/>
      <c r="I1365"/>
      <c r="J1365"/>
      <c r="K1365"/>
      <c r="L1365"/>
      <c r="M1365"/>
      <c r="N1365"/>
      <c r="O1365"/>
    </row>
    <row r="1366" spans="6:15">
      <c r="F1366"/>
      <c r="G1366"/>
      <c r="H1366"/>
      <c r="I1366"/>
      <c r="J1366"/>
      <c r="K1366"/>
      <c r="L1366"/>
      <c r="M1366"/>
      <c r="N1366"/>
      <c r="O1366"/>
    </row>
    <row r="1367" spans="6:15">
      <c r="F1367"/>
      <c r="G1367"/>
      <c r="H1367"/>
      <c r="I1367"/>
      <c r="J1367"/>
      <c r="K1367"/>
      <c r="L1367"/>
      <c r="M1367"/>
      <c r="N1367"/>
      <c r="O1367"/>
    </row>
    <row r="1368" spans="6:15">
      <c r="F1368"/>
      <c r="G1368"/>
      <c r="H1368"/>
      <c r="I1368"/>
      <c r="J1368"/>
      <c r="K1368"/>
      <c r="L1368"/>
      <c r="M1368"/>
      <c r="N1368"/>
      <c r="O1368"/>
    </row>
    <row r="1369" spans="6:15">
      <c r="F1369"/>
      <c r="G1369"/>
      <c r="H1369"/>
      <c r="I1369"/>
      <c r="J1369"/>
      <c r="K1369"/>
      <c r="L1369"/>
      <c r="M1369"/>
      <c r="N1369"/>
      <c r="O1369"/>
    </row>
    <row r="1370" spans="6:15">
      <c r="F1370"/>
      <c r="G1370"/>
      <c r="H1370"/>
      <c r="I1370"/>
      <c r="J1370"/>
      <c r="K1370"/>
      <c r="L1370"/>
      <c r="M1370"/>
      <c r="N1370"/>
      <c r="O1370"/>
    </row>
    <row r="1371" spans="6:15">
      <c r="F1371"/>
      <c r="G1371"/>
      <c r="H1371"/>
      <c r="I1371"/>
      <c r="J1371"/>
      <c r="K1371"/>
      <c r="L1371"/>
      <c r="M1371"/>
      <c r="N1371"/>
      <c r="O1371"/>
    </row>
    <row r="1372" spans="6:15">
      <c r="F1372"/>
      <c r="G1372"/>
      <c r="H1372"/>
      <c r="I1372"/>
      <c r="J1372"/>
      <c r="K1372"/>
      <c r="L1372"/>
      <c r="M1372"/>
      <c r="N1372"/>
      <c r="O1372"/>
    </row>
    <row r="1373" spans="6:15">
      <c r="F1373"/>
      <c r="G1373"/>
      <c r="H1373"/>
      <c r="I1373"/>
      <c r="J1373"/>
      <c r="K1373"/>
      <c r="L1373"/>
      <c r="M1373"/>
      <c r="N1373"/>
      <c r="O1373"/>
    </row>
    <row r="1374" spans="6:15">
      <c r="F1374"/>
      <c r="G1374"/>
      <c r="H1374"/>
      <c r="I1374"/>
      <c r="J1374"/>
      <c r="K1374"/>
      <c r="L1374"/>
      <c r="M1374"/>
      <c r="N1374"/>
      <c r="O1374"/>
    </row>
    <row r="1375" spans="6:15">
      <c r="F1375"/>
      <c r="G1375"/>
      <c r="H1375"/>
      <c r="I1375"/>
      <c r="J1375"/>
      <c r="K1375"/>
      <c r="L1375"/>
      <c r="M1375"/>
      <c r="N1375"/>
      <c r="O1375"/>
    </row>
    <row r="1376" spans="6:15">
      <c r="F1376"/>
      <c r="G1376"/>
      <c r="H1376"/>
      <c r="I1376"/>
      <c r="J1376"/>
      <c r="K1376"/>
      <c r="L1376"/>
      <c r="M1376"/>
      <c r="N1376"/>
      <c r="O1376"/>
    </row>
    <row r="1377" spans="6:15">
      <c r="F1377"/>
      <c r="G1377"/>
      <c r="H1377"/>
      <c r="I1377"/>
      <c r="J1377"/>
      <c r="K1377"/>
      <c r="L1377"/>
      <c r="M1377"/>
      <c r="N1377"/>
      <c r="O1377"/>
    </row>
    <row r="1378" spans="6:15">
      <c r="F1378"/>
      <c r="G1378"/>
      <c r="H1378"/>
      <c r="I1378"/>
      <c r="J1378"/>
      <c r="K1378"/>
      <c r="L1378"/>
      <c r="M1378"/>
      <c r="N1378"/>
      <c r="O1378"/>
    </row>
    <row r="1379" spans="6:15">
      <c r="F1379"/>
      <c r="G1379"/>
      <c r="H1379"/>
      <c r="I1379"/>
      <c r="J1379"/>
      <c r="K1379"/>
      <c r="L1379"/>
      <c r="M1379"/>
      <c r="N1379"/>
      <c r="O1379"/>
    </row>
    <row r="1380" spans="6:15">
      <c r="F1380"/>
      <c r="G1380"/>
      <c r="H1380"/>
      <c r="I1380"/>
      <c r="J1380"/>
      <c r="K1380"/>
      <c r="L1380"/>
      <c r="M1380"/>
      <c r="N1380"/>
      <c r="O1380"/>
    </row>
    <row r="1381" spans="6:15">
      <c r="F1381"/>
      <c r="G1381"/>
      <c r="H1381"/>
      <c r="I1381"/>
      <c r="J1381"/>
      <c r="K1381"/>
      <c r="L1381"/>
      <c r="M1381"/>
      <c r="N1381"/>
      <c r="O1381"/>
    </row>
    <row r="1382" spans="6:15">
      <c r="F1382"/>
      <c r="G1382"/>
      <c r="H1382"/>
      <c r="I1382"/>
      <c r="J1382"/>
      <c r="K1382"/>
      <c r="L1382"/>
      <c r="M1382"/>
      <c r="N1382"/>
      <c r="O1382"/>
    </row>
    <row r="1383" spans="6:15">
      <c r="F1383"/>
      <c r="G1383"/>
      <c r="H1383"/>
      <c r="I1383"/>
      <c r="J1383"/>
      <c r="K1383"/>
      <c r="L1383"/>
      <c r="M1383"/>
      <c r="N1383"/>
      <c r="O1383"/>
    </row>
    <row r="1384" spans="6:15">
      <c r="F1384"/>
      <c r="G1384"/>
      <c r="H1384"/>
      <c r="I1384"/>
      <c r="J1384"/>
      <c r="K1384"/>
      <c r="L1384"/>
      <c r="M1384"/>
      <c r="N1384"/>
      <c r="O1384"/>
    </row>
    <row r="1385" spans="6:15">
      <c r="F1385"/>
      <c r="G1385"/>
      <c r="H1385"/>
      <c r="I1385"/>
      <c r="J1385"/>
      <c r="K1385"/>
      <c r="L1385"/>
      <c r="M1385"/>
      <c r="N1385"/>
      <c r="O1385"/>
    </row>
    <row r="1386" spans="6:15">
      <c r="F1386"/>
      <c r="G1386"/>
      <c r="H1386"/>
      <c r="I1386"/>
      <c r="J1386"/>
      <c r="K1386"/>
      <c r="L1386"/>
      <c r="M1386"/>
      <c r="N1386"/>
      <c r="O1386"/>
    </row>
    <row r="1387" spans="6:15">
      <c r="F1387"/>
      <c r="G1387"/>
      <c r="H1387"/>
      <c r="I1387"/>
      <c r="J1387"/>
      <c r="K1387"/>
      <c r="L1387"/>
      <c r="M1387"/>
      <c r="N1387"/>
      <c r="O1387"/>
    </row>
    <row r="1388" spans="6:15">
      <c r="F1388"/>
      <c r="G1388"/>
      <c r="H1388"/>
      <c r="I1388"/>
      <c r="J1388"/>
      <c r="K1388"/>
      <c r="L1388"/>
      <c r="M1388"/>
      <c r="N1388"/>
      <c r="O1388"/>
    </row>
    <row r="1389" spans="6:15">
      <c r="F1389"/>
      <c r="G1389"/>
      <c r="H1389"/>
      <c r="I1389"/>
      <c r="J1389"/>
      <c r="K1389"/>
      <c r="L1389"/>
      <c r="M1389"/>
      <c r="N1389"/>
      <c r="O1389"/>
    </row>
    <row r="1390" spans="6:15">
      <c r="F1390"/>
      <c r="G1390"/>
      <c r="H1390"/>
      <c r="I1390"/>
      <c r="J1390"/>
      <c r="K1390"/>
      <c r="L1390"/>
      <c r="M1390"/>
      <c r="N1390"/>
      <c r="O1390"/>
    </row>
    <row r="1391" spans="6:15">
      <c r="F1391"/>
      <c r="G1391"/>
      <c r="H1391"/>
      <c r="I1391"/>
      <c r="J1391"/>
      <c r="K1391"/>
      <c r="L1391"/>
      <c r="M1391"/>
      <c r="N1391"/>
      <c r="O1391"/>
    </row>
    <row r="1392" spans="6:15">
      <c r="F1392"/>
      <c r="G1392"/>
      <c r="H1392"/>
      <c r="I1392"/>
      <c r="J1392"/>
      <c r="K1392"/>
      <c r="L1392"/>
      <c r="M1392"/>
      <c r="N1392"/>
      <c r="O1392"/>
    </row>
    <row r="1393" spans="6:15">
      <c r="F1393"/>
      <c r="G1393"/>
      <c r="H1393"/>
      <c r="I1393"/>
      <c r="J1393"/>
      <c r="K1393"/>
      <c r="L1393"/>
      <c r="M1393"/>
      <c r="N1393"/>
      <c r="O1393"/>
    </row>
    <row r="1394" spans="6:15">
      <c r="F1394"/>
      <c r="G1394"/>
      <c r="H1394"/>
      <c r="I1394"/>
      <c r="J1394"/>
      <c r="K1394"/>
      <c r="L1394"/>
      <c r="M1394"/>
      <c r="N1394"/>
      <c r="O1394"/>
    </row>
    <row r="1395" spans="6:15">
      <c r="F1395"/>
      <c r="G1395"/>
      <c r="H1395"/>
      <c r="I1395"/>
      <c r="J1395"/>
      <c r="K1395"/>
      <c r="L1395"/>
      <c r="M1395"/>
      <c r="N1395"/>
      <c r="O1395"/>
    </row>
    <row r="1396" spans="6:15">
      <c r="F1396"/>
      <c r="G1396"/>
      <c r="H1396"/>
      <c r="I1396"/>
      <c r="J1396"/>
      <c r="K1396"/>
      <c r="L1396"/>
      <c r="M1396"/>
      <c r="N1396"/>
      <c r="O1396"/>
    </row>
    <row r="1397" spans="6:15">
      <c r="F1397"/>
      <c r="G1397"/>
      <c r="H1397"/>
      <c r="I1397"/>
      <c r="J1397"/>
      <c r="K1397"/>
      <c r="L1397"/>
      <c r="M1397"/>
      <c r="N1397"/>
      <c r="O1397"/>
    </row>
    <row r="1398" spans="6:15">
      <c r="F1398"/>
      <c r="G1398"/>
      <c r="H1398"/>
      <c r="I1398"/>
      <c r="J1398"/>
      <c r="K1398"/>
      <c r="L1398"/>
      <c r="M1398"/>
      <c r="N1398"/>
      <c r="O1398"/>
    </row>
    <row r="1399" spans="6:15">
      <c r="F1399"/>
      <c r="G1399"/>
      <c r="H1399"/>
      <c r="I1399"/>
      <c r="J1399"/>
      <c r="K1399"/>
      <c r="L1399"/>
      <c r="M1399"/>
      <c r="N1399"/>
      <c r="O1399"/>
    </row>
    <row r="1400" spans="6:15">
      <c r="F1400"/>
      <c r="G1400"/>
      <c r="H1400"/>
      <c r="I1400"/>
      <c r="J1400"/>
      <c r="K1400"/>
      <c r="L1400"/>
      <c r="M1400"/>
      <c r="N1400"/>
      <c r="O1400"/>
    </row>
    <row r="1401" spans="6:15">
      <c r="F1401"/>
      <c r="G1401"/>
      <c r="H1401"/>
      <c r="I1401"/>
      <c r="J1401"/>
      <c r="K1401"/>
      <c r="L1401"/>
      <c r="M1401"/>
      <c r="N1401"/>
      <c r="O1401"/>
    </row>
    <row r="1402" spans="6:15">
      <c r="F1402"/>
      <c r="G1402"/>
      <c r="H1402"/>
      <c r="I1402"/>
      <c r="J1402"/>
      <c r="K1402"/>
      <c r="L1402"/>
      <c r="M1402"/>
      <c r="N1402"/>
      <c r="O1402"/>
    </row>
    <row r="1403" spans="6:15">
      <c r="F1403"/>
      <c r="G1403"/>
      <c r="H1403"/>
      <c r="I1403"/>
      <c r="J1403"/>
      <c r="K1403"/>
      <c r="L1403"/>
      <c r="M1403"/>
      <c r="N1403"/>
      <c r="O1403"/>
    </row>
    <row r="1404" spans="6:15">
      <c r="F1404"/>
      <c r="G1404"/>
      <c r="H1404"/>
      <c r="I1404"/>
      <c r="J1404"/>
      <c r="K1404"/>
      <c r="L1404"/>
      <c r="M1404"/>
      <c r="N1404"/>
      <c r="O1404"/>
    </row>
    <row r="1405" spans="6:15">
      <c r="F1405"/>
      <c r="G1405"/>
      <c r="H1405"/>
      <c r="I1405"/>
      <c r="J1405"/>
      <c r="K1405"/>
      <c r="L1405"/>
      <c r="M1405"/>
      <c r="N1405"/>
      <c r="O1405"/>
    </row>
    <row r="1406" spans="6:15">
      <c r="F1406"/>
      <c r="G1406"/>
      <c r="H1406"/>
      <c r="I1406"/>
      <c r="J1406"/>
      <c r="K1406"/>
      <c r="L1406"/>
      <c r="M1406"/>
      <c r="N1406"/>
      <c r="O1406"/>
    </row>
    <row r="1407" spans="6:15">
      <c r="F1407"/>
      <c r="G1407"/>
      <c r="H1407"/>
      <c r="I1407"/>
      <c r="J1407"/>
      <c r="K1407"/>
      <c r="L1407"/>
      <c r="M1407"/>
      <c r="N1407"/>
      <c r="O1407"/>
    </row>
    <row r="1408" spans="6:15">
      <c r="F1408"/>
      <c r="G1408"/>
      <c r="H1408"/>
      <c r="I1408"/>
      <c r="J1408"/>
      <c r="K1408"/>
      <c r="L1408"/>
      <c r="M1408"/>
      <c r="N1408"/>
      <c r="O1408"/>
    </row>
    <row r="1409" spans="6:15">
      <c r="F1409"/>
      <c r="G1409"/>
      <c r="H1409"/>
      <c r="I1409"/>
      <c r="J1409"/>
      <c r="K1409"/>
      <c r="L1409"/>
      <c r="M1409"/>
      <c r="N1409"/>
      <c r="O1409"/>
    </row>
    <row r="1410" spans="6:15">
      <c r="F1410"/>
      <c r="G1410"/>
      <c r="H1410"/>
      <c r="I1410"/>
      <c r="J1410"/>
      <c r="K1410"/>
      <c r="L1410"/>
      <c r="M1410"/>
      <c r="N1410"/>
      <c r="O1410"/>
    </row>
    <row r="1411" spans="6:15">
      <c r="F1411"/>
      <c r="G1411"/>
      <c r="H1411"/>
      <c r="I1411"/>
      <c r="J1411"/>
      <c r="K1411"/>
      <c r="L1411"/>
      <c r="M1411"/>
      <c r="N1411"/>
      <c r="O1411"/>
    </row>
    <row r="1412" spans="6:15">
      <c r="F1412"/>
      <c r="G1412"/>
      <c r="H1412"/>
      <c r="I1412"/>
      <c r="J1412"/>
      <c r="K1412"/>
      <c r="L1412"/>
      <c r="M1412"/>
      <c r="N1412"/>
      <c r="O1412"/>
    </row>
    <row r="1413" spans="6:15">
      <c r="F1413"/>
      <c r="G1413"/>
      <c r="H1413"/>
      <c r="I1413"/>
      <c r="J1413"/>
      <c r="K1413"/>
      <c r="L1413"/>
      <c r="M1413"/>
      <c r="N1413"/>
      <c r="O1413"/>
    </row>
    <row r="1414" spans="6:15">
      <c r="F1414"/>
      <c r="G1414"/>
      <c r="H1414"/>
      <c r="I1414"/>
      <c r="J1414"/>
      <c r="K1414"/>
      <c r="L1414"/>
      <c r="M1414"/>
      <c r="N1414"/>
      <c r="O1414"/>
    </row>
    <row r="1415" spans="6:15">
      <c r="F1415"/>
      <c r="G1415"/>
      <c r="H1415"/>
      <c r="I1415"/>
      <c r="J1415"/>
      <c r="K1415"/>
      <c r="L1415"/>
      <c r="M1415"/>
      <c r="N1415"/>
      <c r="O1415"/>
    </row>
    <row r="1416" spans="6:15">
      <c r="F1416"/>
      <c r="G1416"/>
      <c r="H1416"/>
      <c r="I1416"/>
      <c r="J1416"/>
      <c r="K1416"/>
      <c r="L1416"/>
      <c r="M1416"/>
      <c r="N1416"/>
      <c r="O1416"/>
    </row>
    <row r="1417" spans="6:15">
      <c r="F1417"/>
      <c r="G1417"/>
      <c r="H1417"/>
      <c r="I1417"/>
      <c r="J1417"/>
      <c r="K1417"/>
      <c r="L1417"/>
      <c r="M1417"/>
      <c r="N1417"/>
      <c r="O1417"/>
    </row>
    <row r="1418" spans="6:15">
      <c r="F1418"/>
      <c r="G1418"/>
      <c r="H1418"/>
      <c r="I1418"/>
      <c r="J1418"/>
      <c r="K1418"/>
      <c r="L1418"/>
      <c r="M1418"/>
      <c r="N1418"/>
      <c r="O1418"/>
    </row>
    <row r="1419" spans="6:15">
      <c r="F1419"/>
      <c r="G1419"/>
      <c r="H1419"/>
      <c r="I1419"/>
      <c r="J1419"/>
      <c r="K1419"/>
      <c r="L1419"/>
      <c r="M1419"/>
      <c r="N1419"/>
      <c r="O1419"/>
    </row>
    <row r="1420" spans="6:15">
      <c r="F1420"/>
      <c r="G1420"/>
      <c r="H1420"/>
      <c r="I1420"/>
      <c r="J1420"/>
      <c r="K1420"/>
      <c r="L1420"/>
      <c r="M1420"/>
      <c r="N1420"/>
      <c r="O1420"/>
    </row>
    <row r="1421" spans="6:15">
      <c r="F1421"/>
      <c r="G1421"/>
      <c r="H1421"/>
      <c r="I1421"/>
      <c r="J1421"/>
      <c r="K1421"/>
      <c r="L1421"/>
      <c r="M1421"/>
      <c r="N1421"/>
      <c r="O1421"/>
    </row>
    <row r="1422" spans="6:15">
      <c r="F1422"/>
      <c r="G1422"/>
      <c r="H1422"/>
      <c r="I1422"/>
      <c r="J1422"/>
      <c r="K1422"/>
      <c r="L1422"/>
      <c r="M1422"/>
      <c r="N1422"/>
      <c r="O1422"/>
    </row>
    <row r="1423" spans="6:15">
      <c r="F1423"/>
      <c r="G1423"/>
      <c r="H1423"/>
      <c r="I1423"/>
      <c r="J1423"/>
      <c r="K1423"/>
      <c r="L1423"/>
      <c r="M1423"/>
      <c r="N1423"/>
      <c r="O1423"/>
    </row>
    <row r="1424" spans="6:15">
      <c r="F1424"/>
      <c r="G1424"/>
      <c r="H1424"/>
      <c r="I1424"/>
      <c r="J1424"/>
      <c r="K1424"/>
      <c r="L1424"/>
      <c r="M1424"/>
      <c r="N1424"/>
      <c r="O1424"/>
    </row>
    <row r="1425" spans="6:15">
      <c r="F1425"/>
      <c r="G1425"/>
      <c r="H1425"/>
      <c r="I1425"/>
      <c r="J1425"/>
      <c r="K1425"/>
      <c r="L1425"/>
      <c r="M1425"/>
      <c r="N1425"/>
      <c r="O1425"/>
    </row>
    <row r="1426" spans="6:15">
      <c r="F1426"/>
      <c r="G1426"/>
      <c r="H1426"/>
      <c r="I1426"/>
      <c r="J1426"/>
      <c r="K1426"/>
      <c r="L1426"/>
      <c r="M1426"/>
      <c r="N1426"/>
      <c r="O1426"/>
    </row>
    <row r="1427" spans="6:15">
      <c r="F1427"/>
      <c r="G1427"/>
      <c r="H1427"/>
      <c r="I1427"/>
      <c r="J1427"/>
      <c r="K1427"/>
      <c r="L1427"/>
      <c r="M1427"/>
      <c r="N1427"/>
      <c r="O1427"/>
    </row>
    <row r="1428" spans="6:15">
      <c r="F1428"/>
      <c r="G1428"/>
      <c r="H1428"/>
      <c r="I1428"/>
      <c r="J1428"/>
      <c r="K1428"/>
      <c r="L1428"/>
      <c r="M1428"/>
      <c r="N1428"/>
      <c r="O1428"/>
    </row>
    <row r="1429" spans="6:15">
      <c r="F1429"/>
      <c r="G1429"/>
      <c r="H1429"/>
      <c r="I1429"/>
      <c r="J1429"/>
      <c r="K1429"/>
      <c r="L1429"/>
      <c r="M1429"/>
      <c r="N1429"/>
      <c r="O1429"/>
    </row>
    <row r="1430" spans="6:15">
      <c r="F1430"/>
      <c r="G1430"/>
      <c r="H1430"/>
      <c r="I1430"/>
      <c r="J1430"/>
      <c r="K1430"/>
      <c r="L1430"/>
      <c r="M1430"/>
      <c r="N1430"/>
      <c r="O1430"/>
    </row>
    <row r="1431" spans="6:15">
      <c r="F1431"/>
      <c r="G1431"/>
      <c r="H1431"/>
      <c r="I1431"/>
      <c r="J1431"/>
      <c r="K1431"/>
      <c r="L1431"/>
      <c r="M1431"/>
      <c r="N1431"/>
      <c r="O1431"/>
    </row>
    <row r="1432" spans="6:15">
      <c r="F1432"/>
      <c r="G1432"/>
      <c r="H1432"/>
      <c r="I1432"/>
      <c r="J1432"/>
      <c r="K1432"/>
      <c r="L1432"/>
      <c r="M1432"/>
      <c r="N1432"/>
      <c r="O1432"/>
    </row>
    <row r="1433" spans="6:15">
      <c r="F1433"/>
      <c r="G1433"/>
      <c r="H1433"/>
      <c r="I1433"/>
      <c r="J1433"/>
      <c r="K1433"/>
      <c r="L1433"/>
      <c r="M1433"/>
      <c r="N1433"/>
      <c r="O1433"/>
    </row>
    <row r="1434" spans="6:15">
      <c r="F1434"/>
      <c r="G1434"/>
      <c r="H1434"/>
      <c r="I1434"/>
      <c r="J1434"/>
      <c r="K1434"/>
      <c r="L1434"/>
      <c r="M1434"/>
      <c r="N1434"/>
      <c r="O1434"/>
    </row>
    <row r="1435" spans="6:15">
      <c r="F1435"/>
      <c r="G1435"/>
      <c r="H1435"/>
      <c r="I1435"/>
      <c r="J1435"/>
      <c r="K1435"/>
      <c r="L1435"/>
      <c r="M1435"/>
      <c r="N1435"/>
      <c r="O1435"/>
    </row>
    <row r="1436" spans="6:15">
      <c r="F1436"/>
      <c r="G1436"/>
      <c r="H1436"/>
      <c r="I1436"/>
      <c r="J1436"/>
      <c r="K1436"/>
      <c r="L1436"/>
      <c r="M1436"/>
      <c r="N1436"/>
      <c r="O1436"/>
    </row>
    <row r="1437" spans="6:15">
      <c r="F1437"/>
      <c r="G1437"/>
      <c r="H1437"/>
      <c r="I1437"/>
      <c r="J1437"/>
      <c r="K1437"/>
      <c r="L1437"/>
      <c r="M1437"/>
      <c r="N1437"/>
      <c r="O1437"/>
    </row>
    <row r="1438" spans="6:15">
      <c r="F1438"/>
      <c r="G1438"/>
      <c r="H1438"/>
      <c r="I1438"/>
      <c r="J1438"/>
      <c r="K1438"/>
      <c r="L1438"/>
      <c r="M1438"/>
      <c r="N1438"/>
      <c r="O1438"/>
    </row>
    <row r="1439" spans="6:15">
      <c r="F1439"/>
      <c r="G1439"/>
      <c r="H1439"/>
      <c r="I1439"/>
      <c r="J1439"/>
      <c r="K1439"/>
      <c r="L1439"/>
      <c r="M1439"/>
      <c r="N1439"/>
      <c r="O1439"/>
    </row>
    <row r="1440" spans="6:15">
      <c r="F1440"/>
      <c r="G1440"/>
      <c r="H1440"/>
      <c r="I1440"/>
      <c r="J1440"/>
      <c r="K1440"/>
      <c r="L1440"/>
      <c r="M1440"/>
      <c r="N1440"/>
      <c r="O1440"/>
    </row>
    <row r="1441" spans="6:15">
      <c r="F1441"/>
      <c r="G1441"/>
      <c r="H1441"/>
      <c r="I1441"/>
      <c r="J1441"/>
      <c r="K1441"/>
      <c r="L1441"/>
      <c r="M1441"/>
      <c r="N1441"/>
      <c r="O1441"/>
    </row>
    <row r="1442" spans="6:15">
      <c r="F1442"/>
      <c r="G1442"/>
      <c r="H1442"/>
      <c r="I1442"/>
      <c r="J1442"/>
      <c r="K1442"/>
      <c r="L1442"/>
      <c r="M1442"/>
      <c r="N1442"/>
      <c r="O1442"/>
    </row>
    <row r="1443" spans="6:15">
      <c r="F1443"/>
      <c r="G1443"/>
      <c r="H1443"/>
      <c r="I1443"/>
      <c r="J1443"/>
      <c r="K1443"/>
      <c r="L1443"/>
      <c r="M1443"/>
      <c r="N1443"/>
      <c r="O1443"/>
    </row>
    <row r="1444" spans="6:15">
      <c r="F1444"/>
      <c r="G1444"/>
      <c r="H1444"/>
      <c r="I1444"/>
      <c r="J1444"/>
      <c r="K1444"/>
      <c r="L1444"/>
      <c r="M1444"/>
      <c r="N1444"/>
      <c r="O1444"/>
    </row>
    <row r="1445" spans="6:15">
      <c r="F1445"/>
      <c r="G1445"/>
      <c r="H1445"/>
      <c r="I1445"/>
      <c r="J1445"/>
      <c r="K1445"/>
      <c r="L1445"/>
      <c r="M1445"/>
      <c r="N1445"/>
      <c r="O1445"/>
    </row>
    <row r="1446" spans="6:15">
      <c r="F1446"/>
      <c r="G1446"/>
      <c r="H1446"/>
      <c r="I1446"/>
      <c r="J1446"/>
      <c r="K1446"/>
      <c r="L1446"/>
      <c r="M1446"/>
      <c r="N1446"/>
      <c r="O1446"/>
    </row>
    <row r="1447" spans="6:15">
      <c r="F1447"/>
      <c r="G1447"/>
      <c r="H1447"/>
      <c r="I1447"/>
      <c r="J1447"/>
      <c r="K1447"/>
      <c r="L1447"/>
      <c r="M1447"/>
      <c r="N1447"/>
      <c r="O1447"/>
    </row>
    <row r="1448" spans="6:15">
      <c r="F1448"/>
      <c r="G1448"/>
      <c r="H1448"/>
      <c r="I1448"/>
      <c r="J1448"/>
      <c r="K1448"/>
      <c r="L1448"/>
      <c r="M1448"/>
      <c r="N1448"/>
      <c r="O1448"/>
    </row>
    <row r="1449" spans="6:15">
      <c r="F1449"/>
      <c r="G1449"/>
      <c r="H1449"/>
      <c r="I1449"/>
      <c r="J1449"/>
      <c r="K1449"/>
      <c r="L1449"/>
      <c r="M1449"/>
      <c r="N1449"/>
      <c r="O1449"/>
    </row>
    <row r="1450" spans="6:15">
      <c r="F1450"/>
      <c r="G1450"/>
      <c r="H1450"/>
      <c r="I1450"/>
      <c r="J1450"/>
      <c r="K1450"/>
      <c r="L1450"/>
      <c r="M1450"/>
      <c r="N1450"/>
      <c r="O1450"/>
    </row>
    <row r="1451" spans="6:15">
      <c r="F1451"/>
      <c r="G1451"/>
      <c r="H1451"/>
      <c r="I1451"/>
      <c r="J1451"/>
      <c r="K1451"/>
      <c r="L1451"/>
      <c r="M1451"/>
      <c r="N1451"/>
      <c r="O1451"/>
    </row>
    <row r="1452" spans="6:15">
      <c r="F1452"/>
      <c r="G1452"/>
      <c r="H1452"/>
      <c r="I1452"/>
      <c r="J1452"/>
      <c r="K1452"/>
      <c r="L1452"/>
      <c r="M1452"/>
      <c r="N1452"/>
      <c r="O1452"/>
    </row>
    <row r="1453" spans="6:15">
      <c r="F1453"/>
      <c r="G1453"/>
      <c r="H1453"/>
      <c r="I1453"/>
      <c r="J1453"/>
      <c r="K1453"/>
      <c r="L1453"/>
      <c r="M1453"/>
      <c r="N1453"/>
      <c r="O1453"/>
    </row>
    <row r="1454" spans="6:15">
      <c r="F1454"/>
      <c r="G1454"/>
      <c r="H1454"/>
      <c r="I1454"/>
      <c r="J1454"/>
      <c r="K1454"/>
      <c r="L1454"/>
      <c r="M1454"/>
      <c r="N1454"/>
      <c r="O1454"/>
    </row>
    <row r="1455" spans="6:15">
      <c r="F1455"/>
      <c r="G1455"/>
      <c r="H1455"/>
      <c r="I1455"/>
      <c r="J1455"/>
      <c r="K1455"/>
      <c r="L1455"/>
      <c r="M1455"/>
      <c r="N1455"/>
      <c r="O1455"/>
    </row>
    <row r="1456" spans="6:15">
      <c r="F1456"/>
      <c r="G1456"/>
      <c r="H1456"/>
      <c r="I1456"/>
      <c r="J1456"/>
      <c r="K1456"/>
      <c r="L1456"/>
      <c r="M1456"/>
      <c r="N1456"/>
      <c r="O1456"/>
    </row>
    <row r="1457" spans="6:15">
      <c r="F1457"/>
      <c r="G1457"/>
      <c r="H1457"/>
      <c r="I1457"/>
      <c r="J1457"/>
      <c r="K1457"/>
      <c r="L1457"/>
      <c r="M1457"/>
      <c r="N1457"/>
      <c r="O1457"/>
    </row>
    <row r="1458" spans="6:15">
      <c r="F1458"/>
      <c r="G1458"/>
      <c r="H1458"/>
      <c r="I1458"/>
      <c r="J1458"/>
      <c r="K1458"/>
      <c r="L1458"/>
      <c r="M1458"/>
      <c r="N1458"/>
      <c r="O1458"/>
    </row>
    <row r="1459" spans="6:15">
      <c r="F1459"/>
      <c r="G1459"/>
      <c r="H1459"/>
      <c r="I1459"/>
      <c r="J1459"/>
      <c r="K1459"/>
      <c r="L1459"/>
      <c r="M1459"/>
      <c r="N1459"/>
      <c r="O1459"/>
    </row>
    <row r="1460" spans="6:15">
      <c r="F1460"/>
      <c r="G1460"/>
      <c r="H1460"/>
      <c r="I1460"/>
      <c r="J1460"/>
      <c r="K1460"/>
      <c r="L1460"/>
      <c r="M1460"/>
      <c r="N1460"/>
      <c r="O1460"/>
    </row>
    <row r="1461" spans="6:15">
      <c r="F1461"/>
      <c r="G1461"/>
      <c r="H1461"/>
      <c r="I1461"/>
      <c r="J1461"/>
      <c r="K1461"/>
      <c r="L1461"/>
      <c r="M1461"/>
      <c r="N1461"/>
      <c r="O1461"/>
    </row>
    <row r="1462" spans="6:15">
      <c r="F1462"/>
      <c r="G1462"/>
      <c r="H1462"/>
      <c r="I1462"/>
      <c r="J1462"/>
      <c r="K1462"/>
      <c r="L1462"/>
      <c r="M1462"/>
      <c r="N1462"/>
      <c r="O1462"/>
    </row>
    <row r="1463" spans="6:15">
      <c r="F1463"/>
      <c r="G1463"/>
      <c r="H1463"/>
      <c r="I1463"/>
      <c r="J1463"/>
      <c r="K1463"/>
      <c r="L1463"/>
      <c r="M1463"/>
      <c r="N1463"/>
      <c r="O1463"/>
    </row>
    <row r="1464" spans="6:15">
      <c r="F1464"/>
      <c r="G1464"/>
      <c r="H1464"/>
      <c r="I1464"/>
      <c r="J1464"/>
      <c r="K1464"/>
      <c r="L1464"/>
      <c r="M1464"/>
      <c r="N1464"/>
      <c r="O1464"/>
    </row>
    <row r="1465" spans="6:15">
      <c r="F1465"/>
      <c r="G1465"/>
      <c r="H1465"/>
      <c r="I1465"/>
      <c r="J1465"/>
      <c r="K1465"/>
      <c r="L1465"/>
      <c r="M1465"/>
      <c r="N1465"/>
      <c r="O1465"/>
    </row>
    <row r="1466" spans="6:15">
      <c r="F1466"/>
      <c r="G1466"/>
      <c r="H1466"/>
      <c r="I1466"/>
      <c r="J1466"/>
      <c r="K1466"/>
      <c r="L1466"/>
      <c r="M1466"/>
      <c r="N1466"/>
      <c r="O1466"/>
    </row>
    <row r="1467" spans="6:15">
      <c r="F1467"/>
      <c r="G1467"/>
      <c r="H1467"/>
      <c r="I1467"/>
      <c r="J1467"/>
      <c r="K1467"/>
      <c r="L1467"/>
      <c r="M1467"/>
      <c r="N1467"/>
      <c r="O1467"/>
    </row>
    <row r="1468" spans="6:15">
      <c r="F1468"/>
      <c r="G1468"/>
      <c r="H1468"/>
      <c r="I1468"/>
      <c r="J1468"/>
      <c r="K1468"/>
      <c r="L1468"/>
      <c r="M1468"/>
      <c r="N1468"/>
      <c r="O1468"/>
    </row>
    <row r="1469" spans="6:15">
      <c r="F1469"/>
      <c r="G1469"/>
      <c r="H1469"/>
      <c r="I1469"/>
      <c r="J1469"/>
      <c r="K1469"/>
      <c r="L1469"/>
      <c r="M1469"/>
      <c r="N1469"/>
      <c r="O1469"/>
    </row>
    <row r="1470" spans="6:15">
      <c r="F1470"/>
      <c r="G1470"/>
      <c r="H1470"/>
      <c r="I1470"/>
      <c r="J1470"/>
      <c r="K1470"/>
      <c r="L1470"/>
      <c r="M1470"/>
      <c r="N1470"/>
      <c r="O1470"/>
    </row>
    <row r="1471" spans="6:15">
      <c r="F1471"/>
      <c r="G1471"/>
      <c r="H1471"/>
      <c r="I1471"/>
      <c r="J1471"/>
      <c r="K1471"/>
      <c r="L1471"/>
      <c r="M1471"/>
      <c r="N1471"/>
      <c r="O1471"/>
    </row>
    <row r="1472" spans="6:15">
      <c r="F1472"/>
      <c r="G1472"/>
      <c r="H1472"/>
      <c r="I1472"/>
      <c r="J1472"/>
      <c r="K1472"/>
      <c r="L1472"/>
      <c r="M1472"/>
      <c r="N1472"/>
      <c r="O1472"/>
    </row>
    <row r="1473" spans="6:15">
      <c r="F1473"/>
      <c r="G1473"/>
      <c r="H1473"/>
      <c r="I1473"/>
      <c r="J1473"/>
      <c r="K1473"/>
      <c r="L1473"/>
      <c r="M1473"/>
      <c r="N1473"/>
      <c r="O1473"/>
    </row>
    <row r="1474" spans="6:15">
      <c r="F1474"/>
      <c r="G1474"/>
      <c r="H1474"/>
      <c r="I1474"/>
      <c r="J1474"/>
      <c r="K1474"/>
      <c r="L1474"/>
      <c r="M1474"/>
      <c r="N1474"/>
      <c r="O1474"/>
    </row>
    <row r="1475" spans="6:15">
      <c r="F1475"/>
      <c r="G1475"/>
      <c r="H1475"/>
      <c r="I1475"/>
      <c r="J1475"/>
      <c r="K1475"/>
      <c r="L1475"/>
      <c r="M1475"/>
      <c r="N1475"/>
      <c r="O1475"/>
    </row>
    <row r="1476" spans="6:15">
      <c r="F1476"/>
      <c r="G1476"/>
      <c r="H1476"/>
      <c r="I1476"/>
      <c r="J1476"/>
      <c r="K1476"/>
      <c r="L1476"/>
      <c r="M1476"/>
      <c r="N1476"/>
      <c r="O1476"/>
    </row>
    <row r="1477" spans="6:15">
      <c r="F1477"/>
      <c r="G1477"/>
      <c r="H1477"/>
      <c r="I1477"/>
      <c r="J1477"/>
      <c r="K1477"/>
      <c r="L1477"/>
      <c r="M1477"/>
      <c r="N1477"/>
      <c r="O1477"/>
    </row>
    <row r="1478" spans="6:15">
      <c r="F1478"/>
      <c r="G1478"/>
      <c r="H1478"/>
      <c r="I1478"/>
      <c r="J1478"/>
      <c r="K1478"/>
      <c r="L1478"/>
      <c r="M1478"/>
      <c r="N1478"/>
      <c r="O1478"/>
    </row>
    <row r="1479" spans="6:15">
      <c r="F1479"/>
      <c r="G1479"/>
      <c r="H1479"/>
      <c r="I1479"/>
      <c r="J1479"/>
      <c r="K1479"/>
      <c r="L1479"/>
      <c r="M1479"/>
      <c r="N1479"/>
      <c r="O1479"/>
    </row>
    <row r="1480" spans="6:15">
      <c r="F1480"/>
      <c r="G1480"/>
      <c r="H1480"/>
      <c r="I1480"/>
      <c r="J1480"/>
      <c r="K1480"/>
      <c r="L1480"/>
      <c r="M1480"/>
      <c r="N1480"/>
      <c r="O1480"/>
    </row>
    <row r="1481" spans="6:15">
      <c r="F1481"/>
      <c r="G1481"/>
      <c r="H1481"/>
      <c r="I1481"/>
      <c r="J1481"/>
      <c r="K1481"/>
      <c r="L1481"/>
      <c r="M1481"/>
      <c r="N1481"/>
      <c r="O1481"/>
    </row>
    <row r="1482" spans="6:15">
      <c r="F1482"/>
      <c r="G1482"/>
      <c r="H1482"/>
      <c r="I1482"/>
      <c r="J1482"/>
      <c r="K1482"/>
      <c r="L1482"/>
      <c r="M1482"/>
      <c r="N1482"/>
      <c r="O1482"/>
    </row>
    <row r="1483" spans="6:15">
      <c r="F1483"/>
      <c r="G1483"/>
      <c r="H1483"/>
      <c r="I1483"/>
      <c r="J1483"/>
      <c r="K1483"/>
      <c r="L1483"/>
      <c r="M1483"/>
      <c r="N1483"/>
      <c r="O1483"/>
    </row>
    <row r="1484" spans="6:15">
      <c r="F1484"/>
      <c r="G1484"/>
      <c r="H1484"/>
      <c r="I1484"/>
      <c r="J1484"/>
      <c r="K1484"/>
      <c r="L1484"/>
      <c r="M1484"/>
      <c r="N1484"/>
      <c r="O1484"/>
    </row>
    <row r="1485" spans="6:15">
      <c r="F1485"/>
      <c r="G1485"/>
      <c r="H1485"/>
      <c r="I1485"/>
      <c r="J1485"/>
      <c r="K1485"/>
      <c r="L1485"/>
      <c r="M1485"/>
      <c r="N1485"/>
      <c r="O1485"/>
    </row>
    <row r="1486" spans="6:15">
      <c r="F1486"/>
      <c r="G1486"/>
      <c r="H1486"/>
      <c r="I1486"/>
      <c r="J1486"/>
      <c r="K1486"/>
      <c r="L1486"/>
      <c r="M1486"/>
      <c r="N1486"/>
      <c r="O1486"/>
    </row>
    <row r="1487" spans="6:15">
      <c r="F1487"/>
      <c r="G1487"/>
      <c r="H1487"/>
      <c r="I1487"/>
      <c r="J1487"/>
      <c r="K1487"/>
      <c r="L1487"/>
      <c r="M1487"/>
      <c r="N1487"/>
      <c r="O1487"/>
    </row>
    <row r="1488" spans="6:15">
      <c r="F1488"/>
      <c r="G1488"/>
      <c r="H1488"/>
      <c r="I1488"/>
      <c r="J1488"/>
      <c r="K1488"/>
      <c r="L1488"/>
      <c r="M1488"/>
      <c r="N1488"/>
      <c r="O1488"/>
    </row>
    <row r="1489" spans="6:15">
      <c r="F1489"/>
      <c r="G1489"/>
      <c r="H1489"/>
      <c r="I1489"/>
      <c r="J1489"/>
      <c r="K1489"/>
      <c r="L1489"/>
      <c r="M1489"/>
      <c r="N1489"/>
      <c r="O1489"/>
    </row>
    <row r="1490" spans="6:15">
      <c r="F1490"/>
      <c r="G1490"/>
      <c r="H1490"/>
      <c r="I1490"/>
      <c r="J1490"/>
      <c r="K1490"/>
      <c r="L1490"/>
      <c r="M1490"/>
      <c r="N1490"/>
      <c r="O1490"/>
    </row>
    <row r="1491" spans="6:15">
      <c r="F1491"/>
      <c r="G1491"/>
      <c r="H1491"/>
      <c r="I1491"/>
      <c r="J1491"/>
      <c r="K1491"/>
      <c r="L1491"/>
      <c r="M1491"/>
      <c r="N1491"/>
      <c r="O1491"/>
    </row>
    <row r="1492" spans="6:15">
      <c r="F1492"/>
      <c r="G1492"/>
      <c r="H1492"/>
      <c r="I1492"/>
      <c r="J1492"/>
      <c r="K1492"/>
      <c r="L1492"/>
      <c r="M1492"/>
      <c r="N1492"/>
      <c r="O1492"/>
    </row>
    <row r="1493" spans="6:15">
      <c r="F1493"/>
      <c r="G1493"/>
      <c r="H1493"/>
      <c r="I1493"/>
      <c r="J1493"/>
      <c r="K1493"/>
      <c r="L1493"/>
      <c r="M1493"/>
      <c r="N1493"/>
      <c r="O1493"/>
    </row>
    <row r="1494" spans="6:15">
      <c r="F1494"/>
      <c r="G1494"/>
      <c r="H1494"/>
      <c r="I1494"/>
      <c r="J1494"/>
      <c r="K1494"/>
      <c r="L1494"/>
      <c r="M1494"/>
      <c r="N1494"/>
      <c r="O1494"/>
    </row>
    <row r="1495" spans="6:15">
      <c r="F1495"/>
      <c r="G1495"/>
      <c r="H1495"/>
      <c r="I1495"/>
      <c r="J1495"/>
      <c r="K1495"/>
      <c r="L1495"/>
      <c r="M1495"/>
      <c r="N1495"/>
      <c r="O1495"/>
    </row>
    <row r="1496" spans="6:15">
      <c r="F1496"/>
      <c r="G1496"/>
      <c r="H1496"/>
      <c r="I1496"/>
      <c r="J1496"/>
      <c r="K1496"/>
      <c r="L1496"/>
      <c r="M1496"/>
      <c r="N1496"/>
      <c r="O1496"/>
    </row>
    <row r="1497" spans="6:15">
      <c r="F1497"/>
      <c r="G1497"/>
      <c r="H1497"/>
      <c r="I1497"/>
      <c r="J1497"/>
      <c r="K1497"/>
      <c r="L1497"/>
      <c r="M1497"/>
      <c r="N1497"/>
      <c r="O1497"/>
    </row>
    <row r="1498" spans="6:15">
      <c r="F1498"/>
      <c r="G1498"/>
      <c r="H1498"/>
      <c r="I1498"/>
      <c r="J1498"/>
      <c r="K1498"/>
      <c r="L1498"/>
      <c r="M1498"/>
      <c r="N1498"/>
      <c r="O1498"/>
    </row>
    <row r="1499" spans="6:15">
      <c r="F1499"/>
      <c r="G1499"/>
      <c r="H1499"/>
      <c r="I1499"/>
      <c r="J1499"/>
      <c r="K1499"/>
      <c r="L1499"/>
      <c r="M1499"/>
      <c r="N1499"/>
      <c r="O1499"/>
    </row>
    <row r="1500" spans="6:15">
      <c r="F1500"/>
      <c r="G1500"/>
      <c r="H1500"/>
      <c r="I1500"/>
      <c r="J1500"/>
      <c r="K1500"/>
      <c r="L1500"/>
      <c r="M1500"/>
      <c r="N1500"/>
      <c r="O1500"/>
    </row>
    <row r="1501" spans="6:15">
      <c r="F1501"/>
      <c r="G1501"/>
      <c r="H1501"/>
      <c r="I1501"/>
      <c r="J1501"/>
      <c r="K1501"/>
      <c r="L1501"/>
      <c r="M1501"/>
      <c r="N1501"/>
      <c r="O1501"/>
    </row>
    <row r="1502" spans="6:15">
      <c r="F1502"/>
      <c r="G1502"/>
      <c r="H1502"/>
      <c r="I1502"/>
      <c r="J1502"/>
      <c r="K1502"/>
      <c r="L1502"/>
      <c r="M1502"/>
      <c r="N1502"/>
      <c r="O1502"/>
    </row>
    <row r="1503" spans="6:15">
      <c r="F1503"/>
      <c r="G1503"/>
      <c r="H1503"/>
      <c r="I1503"/>
      <c r="J1503"/>
      <c r="K1503"/>
      <c r="L1503"/>
      <c r="M1503"/>
      <c r="N1503"/>
      <c r="O1503"/>
    </row>
    <row r="1504" spans="6:15">
      <c r="F1504"/>
      <c r="G1504"/>
      <c r="H1504"/>
      <c r="I1504"/>
      <c r="J1504"/>
      <c r="K1504"/>
      <c r="L1504"/>
      <c r="M1504"/>
      <c r="N1504"/>
      <c r="O1504"/>
    </row>
    <row r="1505" spans="6:15">
      <c r="F1505"/>
      <c r="G1505"/>
      <c r="H1505"/>
      <c r="I1505"/>
      <c r="J1505"/>
      <c r="K1505"/>
      <c r="L1505"/>
      <c r="M1505"/>
      <c r="N1505"/>
      <c r="O1505"/>
    </row>
    <row r="1506" spans="6:15">
      <c r="F1506"/>
      <c r="G1506"/>
      <c r="H1506"/>
      <c r="I1506"/>
      <c r="J1506"/>
      <c r="K1506"/>
      <c r="L1506"/>
      <c r="M1506"/>
      <c r="N1506"/>
      <c r="O1506"/>
    </row>
    <row r="1507" spans="6:15">
      <c r="F1507"/>
      <c r="G1507"/>
      <c r="H1507"/>
      <c r="I1507"/>
      <c r="J1507"/>
      <c r="K1507"/>
      <c r="L1507"/>
      <c r="M1507"/>
      <c r="N1507"/>
      <c r="O1507"/>
    </row>
    <row r="1508" spans="6:15">
      <c r="F1508"/>
      <c r="G1508"/>
      <c r="H1508"/>
      <c r="I1508"/>
      <c r="J1508"/>
      <c r="K1508"/>
      <c r="L1508"/>
      <c r="M1508"/>
      <c r="N1508"/>
      <c r="O1508"/>
    </row>
    <row r="1509" spans="6:15">
      <c r="F1509"/>
      <c r="G1509"/>
      <c r="H1509"/>
      <c r="I1509"/>
      <c r="J1509"/>
      <c r="K1509"/>
      <c r="L1509"/>
      <c r="M1509"/>
      <c r="N1509"/>
      <c r="O1509"/>
    </row>
    <row r="1510" spans="6:15">
      <c r="F1510"/>
      <c r="G1510"/>
      <c r="H1510"/>
      <c r="I1510"/>
      <c r="J1510"/>
      <c r="K1510"/>
      <c r="L1510"/>
      <c r="M1510"/>
      <c r="N1510"/>
      <c r="O1510"/>
    </row>
    <row r="1511" spans="6:15">
      <c r="F1511"/>
      <c r="G1511"/>
      <c r="H1511"/>
      <c r="I1511"/>
      <c r="J1511"/>
      <c r="K1511"/>
      <c r="L1511"/>
      <c r="M1511"/>
      <c r="N1511"/>
      <c r="O1511"/>
    </row>
    <row r="1512" spans="6:15">
      <c r="F1512"/>
      <c r="G1512"/>
      <c r="H1512"/>
      <c r="I1512"/>
      <c r="J1512"/>
      <c r="K1512"/>
      <c r="L1512"/>
      <c r="M1512"/>
      <c r="N1512"/>
      <c r="O1512"/>
    </row>
    <row r="1513" spans="6:15">
      <c r="F1513"/>
      <c r="G1513"/>
      <c r="H1513"/>
      <c r="I1513"/>
      <c r="J1513"/>
      <c r="K1513"/>
      <c r="L1513"/>
      <c r="M1513"/>
      <c r="N1513"/>
      <c r="O1513"/>
    </row>
    <row r="1514" spans="6:15">
      <c r="F1514"/>
      <c r="G1514"/>
      <c r="H1514"/>
      <c r="I1514"/>
      <c r="J1514"/>
      <c r="K1514"/>
      <c r="L1514"/>
      <c r="M1514"/>
      <c r="N1514"/>
      <c r="O1514"/>
    </row>
    <row r="1515" spans="6:15">
      <c r="F1515"/>
      <c r="G1515"/>
      <c r="H1515"/>
      <c r="I1515"/>
      <c r="J1515"/>
      <c r="K1515"/>
      <c r="L1515"/>
      <c r="M1515"/>
      <c r="N1515"/>
      <c r="O1515"/>
    </row>
    <row r="1516" spans="6:15">
      <c r="F1516"/>
      <c r="G1516"/>
      <c r="H1516"/>
      <c r="I1516"/>
      <c r="J1516"/>
      <c r="K1516"/>
      <c r="L1516"/>
      <c r="M1516"/>
      <c r="N1516"/>
      <c r="O1516"/>
    </row>
    <row r="1517" spans="6:15">
      <c r="F1517"/>
      <c r="G1517"/>
      <c r="H1517"/>
      <c r="I1517"/>
      <c r="J1517"/>
      <c r="K1517"/>
      <c r="L1517"/>
      <c r="M1517"/>
      <c r="N1517"/>
      <c r="O1517"/>
    </row>
    <row r="1518" spans="6:15">
      <c r="F1518"/>
      <c r="G1518"/>
      <c r="H1518"/>
      <c r="I1518"/>
      <c r="J1518"/>
      <c r="K1518"/>
      <c r="L1518"/>
      <c r="M1518"/>
      <c r="N1518"/>
      <c r="O1518"/>
    </row>
    <row r="1519" spans="6:15">
      <c r="F1519"/>
      <c r="G1519"/>
      <c r="H1519"/>
      <c r="I1519"/>
      <c r="J1519"/>
      <c r="K1519"/>
      <c r="L1519"/>
      <c r="M1519"/>
      <c r="N1519"/>
      <c r="O1519"/>
    </row>
    <row r="1520" spans="6:15">
      <c r="F1520"/>
      <c r="G1520"/>
      <c r="H1520"/>
      <c r="I1520"/>
      <c r="J1520"/>
      <c r="K1520"/>
      <c r="L1520"/>
      <c r="M1520"/>
      <c r="N1520"/>
      <c r="O1520"/>
    </row>
    <row r="1521" spans="6:15">
      <c r="F1521"/>
      <c r="G1521"/>
      <c r="H1521"/>
      <c r="I1521"/>
      <c r="J1521"/>
      <c r="K1521"/>
      <c r="L1521"/>
      <c r="M1521"/>
      <c r="N1521"/>
      <c r="O1521"/>
    </row>
    <row r="1522" spans="6:15">
      <c r="F1522"/>
      <c r="G1522"/>
      <c r="H1522"/>
      <c r="I1522"/>
      <c r="J1522"/>
      <c r="K1522"/>
      <c r="L1522"/>
      <c r="M1522"/>
      <c r="N1522"/>
      <c r="O1522"/>
    </row>
    <row r="1523" spans="6:15">
      <c r="F1523"/>
      <c r="G1523"/>
      <c r="H1523"/>
      <c r="I1523"/>
      <c r="J1523"/>
      <c r="K1523"/>
      <c r="L1523"/>
      <c r="M1523"/>
      <c r="N1523"/>
      <c r="O1523"/>
    </row>
    <row r="1524" spans="6:15">
      <c r="F1524"/>
      <c r="G1524"/>
      <c r="H1524"/>
      <c r="I1524"/>
      <c r="J1524"/>
      <c r="K1524"/>
      <c r="L1524"/>
      <c r="M1524"/>
      <c r="N1524"/>
      <c r="O1524"/>
    </row>
    <row r="1525" spans="6:15">
      <c r="F1525"/>
      <c r="G1525"/>
      <c r="H1525"/>
      <c r="I1525"/>
      <c r="J1525"/>
      <c r="K1525"/>
      <c r="L1525"/>
      <c r="M1525"/>
      <c r="N1525"/>
      <c r="O1525"/>
    </row>
    <row r="1526" spans="6:15">
      <c r="F1526"/>
      <c r="G1526"/>
      <c r="H1526"/>
      <c r="I1526"/>
      <c r="J1526"/>
      <c r="K1526"/>
      <c r="L1526"/>
      <c r="M1526"/>
      <c r="N1526"/>
      <c r="O1526"/>
    </row>
    <row r="1527" spans="6:15">
      <c r="F1527"/>
      <c r="G1527"/>
      <c r="H1527"/>
      <c r="I1527"/>
      <c r="J1527"/>
      <c r="K1527"/>
      <c r="L1527"/>
      <c r="M1527"/>
      <c r="N1527"/>
      <c r="O1527"/>
    </row>
    <row r="1528" spans="6:15">
      <c r="F1528"/>
      <c r="G1528"/>
      <c r="H1528"/>
      <c r="I1528"/>
      <c r="J1528"/>
      <c r="K1528"/>
      <c r="L1528"/>
      <c r="M1528"/>
      <c r="N1528"/>
      <c r="O1528"/>
    </row>
    <row r="1529" spans="6:15">
      <c r="F1529"/>
      <c r="G1529"/>
      <c r="H1529"/>
      <c r="I1529"/>
      <c r="J1529"/>
      <c r="K1529"/>
      <c r="L1529"/>
      <c r="M1529"/>
      <c r="N1529"/>
      <c r="O1529"/>
    </row>
    <row r="1530" spans="6:15">
      <c r="F1530"/>
      <c r="G1530"/>
      <c r="H1530"/>
      <c r="I1530"/>
      <c r="J1530"/>
      <c r="K1530"/>
      <c r="L1530"/>
      <c r="M1530"/>
      <c r="N1530"/>
      <c r="O1530"/>
    </row>
    <row r="1531" spans="6:15">
      <c r="F1531"/>
      <c r="G1531"/>
      <c r="H1531"/>
      <c r="I1531"/>
      <c r="J1531"/>
      <c r="K1531"/>
      <c r="L1531"/>
      <c r="M1531"/>
      <c r="N1531"/>
      <c r="O1531"/>
    </row>
    <row r="1532" spans="6:15">
      <c r="F1532"/>
      <c r="G1532"/>
      <c r="H1532"/>
      <c r="I1532"/>
      <c r="J1532"/>
      <c r="K1532"/>
      <c r="L1532"/>
      <c r="M1532"/>
      <c r="N1532"/>
      <c r="O1532"/>
    </row>
    <row r="1533" spans="6:15">
      <c r="F1533"/>
      <c r="G1533"/>
      <c r="H1533"/>
      <c r="I1533"/>
      <c r="J1533"/>
      <c r="K1533"/>
      <c r="L1533"/>
      <c r="M1533"/>
      <c r="N1533"/>
      <c r="O1533"/>
    </row>
    <row r="1534" spans="6:15">
      <c r="F1534"/>
      <c r="G1534"/>
      <c r="H1534"/>
      <c r="I1534"/>
      <c r="J1534"/>
      <c r="K1534"/>
      <c r="L1534"/>
      <c r="M1534"/>
      <c r="N1534"/>
      <c r="O1534"/>
    </row>
    <row r="1535" spans="6:15">
      <c r="F1535"/>
      <c r="G1535"/>
      <c r="H1535"/>
      <c r="I1535"/>
      <c r="J1535"/>
      <c r="K1535"/>
      <c r="L1535"/>
      <c r="M1535"/>
      <c r="N1535"/>
      <c r="O1535"/>
    </row>
    <row r="1536" spans="6:15">
      <c r="F1536"/>
      <c r="G1536"/>
      <c r="H1536"/>
      <c r="I1536"/>
      <c r="J1536"/>
      <c r="K1536"/>
      <c r="L1536"/>
      <c r="M1536"/>
      <c r="N1536"/>
      <c r="O1536"/>
    </row>
    <row r="1537" spans="6:15">
      <c r="F1537"/>
      <c r="G1537"/>
      <c r="H1537"/>
      <c r="I1537"/>
      <c r="J1537"/>
      <c r="K1537"/>
      <c r="L1537"/>
      <c r="M1537"/>
      <c r="N1537"/>
      <c r="O1537"/>
    </row>
    <row r="1538" spans="6:15">
      <c r="F1538"/>
      <c r="G1538"/>
      <c r="H1538"/>
      <c r="I1538"/>
      <c r="J1538"/>
      <c r="K1538"/>
      <c r="L1538"/>
      <c r="M1538"/>
      <c r="N1538"/>
      <c r="O1538"/>
    </row>
    <row r="1539" spans="6:15">
      <c r="F1539"/>
      <c r="G1539"/>
      <c r="H1539"/>
      <c r="I1539"/>
      <c r="J1539"/>
      <c r="K1539"/>
      <c r="L1539"/>
      <c r="M1539"/>
      <c r="N1539"/>
      <c r="O1539"/>
    </row>
    <row r="1540" spans="6:15">
      <c r="F1540"/>
      <c r="G1540"/>
      <c r="H1540"/>
      <c r="I1540"/>
      <c r="J1540"/>
      <c r="K1540"/>
      <c r="L1540"/>
      <c r="M1540"/>
      <c r="N1540"/>
      <c r="O1540"/>
    </row>
    <row r="1541" spans="6:15">
      <c r="F1541"/>
      <c r="G1541"/>
      <c r="H1541"/>
      <c r="I1541"/>
      <c r="J1541"/>
      <c r="K1541"/>
      <c r="L1541"/>
      <c r="M1541"/>
      <c r="N1541"/>
      <c r="O1541"/>
    </row>
    <row r="1542" spans="6:15">
      <c r="F1542"/>
      <c r="G1542"/>
      <c r="H1542"/>
      <c r="I1542"/>
      <c r="J1542"/>
      <c r="K1542"/>
      <c r="L1542"/>
      <c r="M1542"/>
      <c r="N1542"/>
      <c r="O1542"/>
    </row>
    <row r="1543" spans="6:15">
      <c r="F1543"/>
      <c r="G1543"/>
      <c r="H1543"/>
      <c r="I1543"/>
      <c r="J1543"/>
      <c r="K1543"/>
      <c r="L1543"/>
      <c r="M1543"/>
      <c r="N1543"/>
      <c r="O1543"/>
    </row>
    <row r="1544" spans="6:15">
      <c r="F1544"/>
      <c r="G1544"/>
      <c r="H1544"/>
      <c r="I1544"/>
      <c r="J1544"/>
      <c r="K1544"/>
      <c r="L1544"/>
      <c r="M1544"/>
      <c r="N1544"/>
      <c r="O1544"/>
    </row>
    <row r="1545" spans="6:15">
      <c r="F1545"/>
      <c r="G1545"/>
      <c r="H1545"/>
      <c r="I1545"/>
      <c r="J1545"/>
      <c r="K1545"/>
      <c r="L1545"/>
      <c r="M1545"/>
      <c r="N1545"/>
      <c r="O1545"/>
    </row>
    <row r="1546" spans="6:15">
      <c r="F1546"/>
      <c r="G1546"/>
      <c r="H1546"/>
      <c r="I1546"/>
      <c r="J1546"/>
      <c r="K1546"/>
      <c r="L1546"/>
      <c r="M1546"/>
      <c r="N1546"/>
      <c r="O1546"/>
    </row>
    <row r="1547" spans="6:15">
      <c r="F1547"/>
      <c r="G1547"/>
      <c r="H1547"/>
      <c r="I1547"/>
      <c r="J1547"/>
      <c r="K1547"/>
      <c r="L1547"/>
      <c r="M1547"/>
      <c r="N1547"/>
      <c r="O1547"/>
    </row>
    <row r="1548" spans="6:15">
      <c r="F1548"/>
      <c r="G1548"/>
      <c r="H1548"/>
      <c r="I1548"/>
      <c r="J1548"/>
      <c r="K1548"/>
      <c r="L1548"/>
      <c r="M1548"/>
      <c r="N1548"/>
      <c r="O1548"/>
    </row>
    <row r="1549" spans="6:15">
      <c r="F1549"/>
      <c r="G1549"/>
      <c r="H1549"/>
      <c r="I1549"/>
      <c r="J1549"/>
      <c r="K1549"/>
      <c r="L1549"/>
      <c r="M1549"/>
      <c r="N1549"/>
      <c r="O1549"/>
    </row>
    <row r="1550" spans="6:15">
      <c r="F1550"/>
      <c r="G1550"/>
      <c r="H1550"/>
      <c r="I1550"/>
      <c r="J1550"/>
      <c r="K1550"/>
      <c r="L1550"/>
      <c r="M1550"/>
      <c r="N1550"/>
      <c r="O1550"/>
    </row>
    <row r="1551" spans="6:15">
      <c r="F1551"/>
      <c r="G1551"/>
      <c r="H1551"/>
      <c r="I1551"/>
      <c r="J1551"/>
      <c r="K1551"/>
      <c r="L1551"/>
      <c r="M1551"/>
      <c r="N1551"/>
      <c r="O1551"/>
    </row>
    <row r="1552" spans="6:15">
      <c r="F1552"/>
      <c r="G1552"/>
      <c r="H1552"/>
      <c r="I1552"/>
      <c r="J1552"/>
      <c r="K1552"/>
      <c r="L1552"/>
      <c r="M1552"/>
      <c r="N1552"/>
      <c r="O1552"/>
    </row>
    <row r="1553" spans="6:15">
      <c r="F1553"/>
      <c r="G1553"/>
      <c r="H1553"/>
      <c r="I1553"/>
      <c r="J1553"/>
      <c r="K1553"/>
      <c r="L1553"/>
      <c r="M1553"/>
      <c r="N1553"/>
      <c r="O1553"/>
    </row>
    <row r="1554" spans="6:15">
      <c r="F1554"/>
      <c r="G1554"/>
      <c r="H1554"/>
      <c r="I1554"/>
      <c r="J1554"/>
      <c r="K1554"/>
      <c r="L1554"/>
      <c r="M1554"/>
      <c r="N1554"/>
      <c r="O1554"/>
    </row>
    <row r="1555" spans="6:15">
      <c r="F1555"/>
      <c r="G1555"/>
      <c r="H1555"/>
      <c r="I1555"/>
      <c r="J1555"/>
      <c r="K1555"/>
      <c r="L1555"/>
      <c r="M1555"/>
      <c r="N1555"/>
      <c r="O1555"/>
    </row>
    <row r="1556" spans="6:15">
      <c r="F1556"/>
      <c r="G1556"/>
      <c r="H1556"/>
      <c r="I1556"/>
      <c r="J1556"/>
      <c r="K1556"/>
      <c r="L1556"/>
      <c r="M1556"/>
      <c r="N1556"/>
      <c r="O1556"/>
    </row>
    <row r="1557" spans="6:15">
      <c r="F1557"/>
      <c r="G1557"/>
      <c r="H1557"/>
      <c r="I1557"/>
      <c r="J1557"/>
      <c r="K1557"/>
      <c r="L1557"/>
      <c r="M1557"/>
      <c r="N1557"/>
      <c r="O1557"/>
    </row>
    <row r="1558" spans="6:15">
      <c r="F1558"/>
      <c r="G1558"/>
      <c r="H1558"/>
      <c r="I1558"/>
      <c r="J1558"/>
      <c r="K1558"/>
      <c r="L1558"/>
      <c r="M1558"/>
      <c r="N1558"/>
      <c r="O1558"/>
    </row>
    <row r="1559" spans="6:15">
      <c r="F1559"/>
      <c r="G1559"/>
      <c r="H1559"/>
      <c r="I1559"/>
      <c r="J1559"/>
      <c r="K1559"/>
      <c r="L1559"/>
      <c r="M1559"/>
      <c r="N1559"/>
      <c r="O1559"/>
    </row>
    <row r="1560" spans="6:15">
      <c r="F1560"/>
      <c r="G1560"/>
      <c r="H1560"/>
      <c r="I1560"/>
      <c r="J1560"/>
      <c r="K1560"/>
      <c r="L1560"/>
      <c r="M1560"/>
      <c r="N1560"/>
      <c r="O1560"/>
    </row>
    <row r="1561" spans="6:15">
      <c r="F1561"/>
      <c r="G1561"/>
      <c r="H1561"/>
      <c r="I1561"/>
      <c r="J1561"/>
      <c r="K1561"/>
      <c r="L1561"/>
      <c r="M1561"/>
      <c r="N1561"/>
      <c r="O1561"/>
    </row>
    <row r="1562" spans="6:15">
      <c r="F1562"/>
      <c r="G1562"/>
      <c r="H1562"/>
      <c r="I1562"/>
      <c r="J1562"/>
      <c r="K1562"/>
      <c r="L1562"/>
      <c r="M1562"/>
      <c r="N1562"/>
      <c r="O1562"/>
    </row>
    <row r="1563" spans="6:15">
      <c r="F1563"/>
      <c r="G1563"/>
      <c r="H1563"/>
      <c r="I1563"/>
      <c r="J1563"/>
      <c r="K1563"/>
      <c r="L1563"/>
      <c r="M1563"/>
      <c r="N1563"/>
      <c r="O1563"/>
    </row>
    <row r="1564" spans="6:15">
      <c r="F1564"/>
      <c r="G1564"/>
      <c r="H1564"/>
      <c r="I1564"/>
      <c r="J1564"/>
      <c r="K1564"/>
      <c r="L1564"/>
      <c r="M1564"/>
      <c r="N1564"/>
      <c r="O1564"/>
    </row>
    <row r="1565" spans="6:15">
      <c r="F1565"/>
      <c r="G1565"/>
      <c r="H1565"/>
      <c r="I1565"/>
      <c r="J1565"/>
      <c r="K1565"/>
      <c r="L1565"/>
      <c r="M1565"/>
      <c r="N1565"/>
      <c r="O1565"/>
    </row>
    <row r="1566" spans="6:15">
      <c r="F1566"/>
      <c r="G1566"/>
      <c r="H1566"/>
      <c r="I1566"/>
      <c r="J1566"/>
      <c r="K1566"/>
      <c r="L1566"/>
      <c r="M1566"/>
      <c r="N1566"/>
      <c r="O1566"/>
    </row>
    <row r="1567" spans="6:15">
      <c r="F1567"/>
      <c r="G1567"/>
      <c r="H1567"/>
      <c r="I1567"/>
      <c r="J1567"/>
      <c r="K1567"/>
      <c r="L1567"/>
      <c r="M1567"/>
      <c r="N1567"/>
      <c r="O1567"/>
    </row>
    <row r="1568" spans="6:15">
      <c r="F1568"/>
      <c r="G1568"/>
      <c r="H1568"/>
      <c r="I1568"/>
      <c r="J1568"/>
      <c r="K1568"/>
      <c r="L1568"/>
      <c r="M1568"/>
      <c r="N1568"/>
      <c r="O1568"/>
    </row>
    <row r="1569" spans="6:15">
      <c r="F1569"/>
      <c r="G1569"/>
      <c r="H1569"/>
      <c r="I1569"/>
      <c r="J1569"/>
      <c r="K1569"/>
      <c r="L1569"/>
      <c r="M1569"/>
      <c r="N1569"/>
      <c r="O1569"/>
    </row>
    <row r="1570" spans="6:15">
      <c r="F1570"/>
      <c r="G1570"/>
      <c r="H1570"/>
      <c r="I1570"/>
      <c r="J1570"/>
      <c r="K1570"/>
      <c r="L1570"/>
      <c r="M1570"/>
      <c r="N1570"/>
      <c r="O1570"/>
    </row>
    <row r="1571" spans="6:15">
      <c r="F1571"/>
      <c r="G1571"/>
      <c r="H1571"/>
      <c r="I1571"/>
      <c r="J1571"/>
      <c r="K1571"/>
      <c r="L1571"/>
      <c r="M1571"/>
      <c r="N1571"/>
      <c r="O1571"/>
    </row>
    <row r="1572" spans="6:15">
      <c r="F1572"/>
      <c r="G1572"/>
      <c r="H1572"/>
      <c r="I1572"/>
      <c r="J1572"/>
      <c r="K1572"/>
      <c r="L1572"/>
      <c r="M1572"/>
      <c r="N1572"/>
      <c r="O1572"/>
    </row>
    <row r="1573" spans="6:15">
      <c r="F1573"/>
      <c r="G1573"/>
      <c r="H1573"/>
      <c r="I1573"/>
      <c r="J1573"/>
      <c r="K1573"/>
      <c r="L1573"/>
      <c r="M1573"/>
      <c r="N1573"/>
      <c r="O1573"/>
    </row>
    <row r="1574" spans="6:15">
      <c r="F1574"/>
      <c r="G1574"/>
      <c r="H1574"/>
      <c r="I1574"/>
      <c r="J1574"/>
      <c r="K1574"/>
      <c r="L1574"/>
      <c r="M1574"/>
      <c r="N1574"/>
      <c r="O1574"/>
    </row>
    <row r="1575" spans="6:15">
      <c r="F1575"/>
      <c r="G1575"/>
      <c r="H1575"/>
      <c r="I1575"/>
      <c r="J1575"/>
      <c r="K1575"/>
      <c r="L1575"/>
      <c r="M1575"/>
      <c r="N1575"/>
      <c r="O1575"/>
    </row>
    <row r="1576" spans="6:15">
      <c r="F1576"/>
      <c r="G1576"/>
      <c r="H1576"/>
      <c r="I1576"/>
      <c r="J1576"/>
      <c r="K1576"/>
      <c r="L1576"/>
      <c r="M1576"/>
      <c r="N1576"/>
      <c r="O1576"/>
    </row>
    <row r="1577" spans="6:15">
      <c r="F1577"/>
      <c r="G1577"/>
      <c r="H1577"/>
      <c r="I1577"/>
      <c r="J1577"/>
      <c r="K1577"/>
      <c r="L1577"/>
      <c r="M1577"/>
      <c r="N1577"/>
      <c r="O1577"/>
    </row>
    <row r="1578" spans="6:15">
      <c r="F1578"/>
      <c r="G1578"/>
      <c r="H1578"/>
      <c r="I1578"/>
      <c r="J1578"/>
      <c r="K1578"/>
      <c r="L1578"/>
      <c r="M1578"/>
      <c r="N1578"/>
      <c r="O1578"/>
    </row>
    <row r="1579" spans="6:15">
      <c r="F1579"/>
      <c r="G1579"/>
      <c r="H1579"/>
      <c r="I1579"/>
      <c r="J1579"/>
      <c r="K1579"/>
      <c r="L1579"/>
      <c r="M1579"/>
      <c r="N1579"/>
      <c r="O1579"/>
    </row>
    <row r="1580" spans="6:15">
      <c r="F1580"/>
      <c r="G1580"/>
      <c r="H1580"/>
      <c r="I1580"/>
      <c r="J1580"/>
      <c r="K1580"/>
      <c r="L1580"/>
      <c r="M1580"/>
      <c r="N1580"/>
      <c r="O1580"/>
    </row>
    <row r="1581" spans="6:15">
      <c r="F1581"/>
      <c r="G1581"/>
      <c r="H1581"/>
      <c r="I1581"/>
      <c r="J1581"/>
      <c r="K1581"/>
      <c r="L1581"/>
      <c r="M1581"/>
      <c r="N1581"/>
      <c r="O1581"/>
    </row>
    <row r="1582" spans="6:15">
      <c r="F1582"/>
      <c r="G1582"/>
      <c r="H1582"/>
      <c r="I1582"/>
      <c r="J1582"/>
      <c r="K1582"/>
      <c r="L1582"/>
      <c r="M1582"/>
      <c r="N1582"/>
      <c r="O1582"/>
    </row>
    <row r="1583" spans="6:15">
      <c r="F1583"/>
      <c r="G1583"/>
      <c r="H1583"/>
      <c r="I1583"/>
      <c r="J1583"/>
      <c r="K1583"/>
      <c r="L1583"/>
      <c r="M1583"/>
      <c r="N1583"/>
      <c r="O1583"/>
    </row>
    <row r="1584" spans="6:15">
      <c r="F1584"/>
      <c r="G1584"/>
      <c r="H1584"/>
      <c r="I1584"/>
      <c r="J1584"/>
      <c r="K1584"/>
      <c r="L1584"/>
      <c r="M1584"/>
      <c r="N1584"/>
      <c r="O1584"/>
    </row>
    <row r="1585" spans="6:15">
      <c r="F1585"/>
      <c r="G1585"/>
      <c r="H1585"/>
      <c r="I1585"/>
      <c r="J1585"/>
      <c r="K1585"/>
      <c r="L1585"/>
      <c r="M1585"/>
      <c r="N1585"/>
      <c r="O1585"/>
    </row>
    <row r="1586" spans="6:15">
      <c r="F1586"/>
      <c r="G1586"/>
      <c r="H1586"/>
      <c r="I1586"/>
      <c r="J1586"/>
      <c r="K1586"/>
      <c r="L1586"/>
      <c r="M1586"/>
      <c r="N1586"/>
      <c r="O1586"/>
    </row>
    <row r="1587" spans="6:15">
      <c r="F1587"/>
      <c r="G1587"/>
      <c r="H1587"/>
      <c r="I1587"/>
      <c r="J1587"/>
      <c r="K1587"/>
      <c r="L1587"/>
      <c r="M1587"/>
      <c r="N1587"/>
      <c r="O1587"/>
    </row>
    <row r="1588" spans="6:15">
      <c r="F1588"/>
      <c r="G1588"/>
      <c r="H1588"/>
      <c r="I1588"/>
      <c r="J1588"/>
      <c r="K1588"/>
      <c r="L1588"/>
      <c r="M1588"/>
      <c r="N1588"/>
      <c r="O1588"/>
    </row>
    <row r="1589" spans="6:15">
      <c r="F1589"/>
      <c r="G1589"/>
      <c r="H1589"/>
      <c r="I1589"/>
      <c r="J1589"/>
      <c r="K1589"/>
      <c r="L1589"/>
      <c r="M1589"/>
      <c r="N1589"/>
      <c r="O1589"/>
    </row>
    <row r="1590" spans="6:15">
      <c r="F1590"/>
      <c r="G1590"/>
      <c r="H1590"/>
      <c r="I1590"/>
      <c r="J1590"/>
      <c r="K1590"/>
      <c r="L1590"/>
      <c r="M1590"/>
      <c r="N1590"/>
      <c r="O1590"/>
    </row>
    <row r="1591" spans="6:15">
      <c r="F1591"/>
      <c r="G1591"/>
      <c r="H1591"/>
      <c r="I1591"/>
      <c r="J1591"/>
      <c r="K1591"/>
      <c r="L1591"/>
      <c r="M1591"/>
      <c r="N1591"/>
      <c r="O1591"/>
    </row>
    <row r="1592" spans="6:15">
      <c r="F1592"/>
      <c r="G1592"/>
      <c r="H1592"/>
      <c r="I1592"/>
      <c r="J1592"/>
      <c r="K1592"/>
      <c r="L1592"/>
      <c r="M1592"/>
      <c r="N1592"/>
      <c r="O1592"/>
    </row>
    <row r="1593" spans="6:15">
      <c r="F1593"/>
      <c r="G1593"/>
      <c r="H1593"/>
      <c r="I1593"/>
      <c r="J1593"/>
      <c r="K1593"/>
      <c r="L1593"/>
      <c r="M1593"/>
      <c r="N1593"/>
      <c r="O1593"/>
    </row>
    <row r="1594" spans="6:15">
      <c r="F1594"/>
      <c r="G1594"/>
      <c r="H1594"/>
      <c r="I1594"/>
      <c r="J1594"/>
      <c r="K1594"/>
      <c r="L1594"/>
      <c r="M1594"/>
      <c r="N1594"/>
      <c r="O1594"/>
    </row>
    <row r="1595" spans="6:15">
      <c r="F1595"/>
      <c r="G1595"/>
      <c r="H1595"/>
      <c r="I1595"/>
      <c r="J1595"/>
      <c r="K1595"/>
      <c r="L1595"/>
      <c r="M1595"/>
      <c r="N1595"/>
      <c r="O1595"/>
    </row>
    <row r="1596" spans="6:15">
      <c r="F1596"/>
      <c r="G1596"/>
      <c r="H1596"/>
      <c r="I1596"/>
      <c r="J1596"/>
      <c r="K1596"/>
      <c r="L1596"/>
      <c r="M1596"/>
      <c r="N1596"/>
      <c r="O1596"/>
    </row>
    <row r="1597" spans="6:15">
      <c r="F1597"/>
      <c r="G1597"/>
      <c r="H1597"/>
      <c r="I1597"/>
      <c r="J1597"/>
      <c r="K1597"/>
      <c r="L1597"/>
      <c r="M1597"/>
      <c r="N1597"/>
      <c r="O1597"/>
    </row>
    <row r="1598" spans="6:15">
      <c r="F1598"/>
      <c r="G1598"/>
      <c r="H1598"/>
      <c r="I1598"/>
      <c r="J1598"/>
      <c r="K1598"/>
      <c r="L1598"/>
      <c r="M1598"/>
      <c r="N1598"/>
      <c r="O1598"/>
    </row>
    <row r="1599" spans="6:15">
      <c r="F1599"/>
      <c r="G1599"/>
      <c r="H1599"/>
      <c r="I1599"/>
      <c r="J1599"/>
      <c r="K1599"/>
      <c r="L1599"/>
      <c r="M1599"/>
      <c r="N1599"/>
      <c r="O1599"/>
    </row>
    <row r="1600" spans="6:15">
      <c r="F1600"/>
      <c r="G1600"/>
      <c r="H1600"/>
      <c r="I1600"/>
      <c r="J1600"/>
      <c r="K1600"/>
      <c r="L1600"/>
      <c r="M1600"/>
      <c r="N1600"/>
      <c r="O1600"/>
    </row>
    <row r="1601" spans="6:15">
      <c r="F1601"/>
      <c r="G1601"/>
      <c r="H1601"/>
      <c r="I1601"/>
      <c r="J1601"/>
      <c r="K1601"/>
      <c r="L1601"/>
      <c r="M1601"/>
      <c r="N1601"/>
      <c r="O1601"/>
    </row>
    <row r="1602" spans="6:15">
      <c r="F1602"/>
      <c r="G1602"/>
      <c r="H1602"/>
      <c r="I1602"/>
      <c r="J1602"/>
      <c r="K1602"/>
      <c r="L1602"/>
      <c r="M1602"/>
      <c r="N1602"/>
      <c r="O1602"/>
    </row>
    <row r="1603" spans="6:15">
      <c r="F1603"/>
      <c r="G1603"/>
      <c r="H1603"/>
      <c r="I1603"/>
      <c r="J1603"/>
      <c r="K1603"/>
      <c r="L1603"/>
      <c r="M1603"/>
      <c r="N1603"/>
      <c r="O1603"/>
    </row>
    <row r="1604" spans="6:15">
      <c r="F1604"/>
      <c r="G1604"/>
      <c r="H1604"/>
      <c r="I1604"/>
      <c r="J1604"/>
      <c r="K1604"/>
      <c r="L1604"/>
      <c r="M1604"/>
      <c r="N1604"/>
      <c r="O1604"/>
    </row>
    <row r="1605" spans="6:15">
      <c r="F1605"/>
      <c r="G1605"/>
      <c r="H1605"/>
      <c r="I1605"/>
      <c r="J1605"/>
      <c r="K1605"/>
      <c r="L1605"/>
      <c r="M1605"/>
      <c r="N1605"/>
      <c r="O1605"/>
    </row>
    <row r="1606" spans="6:15">
      <c r="F1606"/>
      <c r="G1606"/>
      <c r="H1606"/>
      <c r="I1606"/>
      <c r="J1606"/>
      <c r="K1606"/>
      <c r="L1606"/>
      <c r="M1606"/>
      <c r="N1606"/>
      <c r="O1606"/>
    </row>
    <row r="1607" spans="6:15">
      <c r="F1607"/>
      <c r="G1607"/>
      <c r="H1607"/>
      <c r="I1607"/>
      <c r="J1607"/>
      <c r="K1607"/>
      <c r="L1607"/>
      <c r="M1607"/>
      <c r="N1607"/>
      <c r="O1607"/>
    </row>
    <row r="1608" spans="6:15">
      <c r="F1608"/>
      <c r="G1608"/>
      <c r="H1608"/>
      <c r="I1608"/>
      <c r="J1608"/>
      <c r="K1608"/>
      <c r="L1608"/>
      <c r="M1608"/>
      <c r="N1608"/>
      <c r="O1608"/>
    </row>
    <row r="1609" spans="6:15">
      <c r="F1609"/>
      <c r="G1609"/>
      <c r="H1609"/>
      <c r="I1609"/>
      <c r="J1609"/>
      <c r="K1609"/>
      <c r="L1609"/>
      <c r="M1609"/>
      <c r="N1609"/>
      <c r="O1609"/>
    </row>
    <row r="1610" spans="6:15">
      <c r="F1610"/>
      <c r="G1610"/>
      <c r="H1610"/>
      <c r="I1610"/>
      <c r="J1610"/>
      <c r="K1610"/>
      <c r="L1610"/>
      <c r="M1610"/>
      <c r="N1610"/>
      <c r="O1610"/>
    </row>
    <row r="1611" spans="6:15">
      <c r="F1611"/>
      <c r="G1611"/>
      <c r="H1611"/>
      <c r="I1611"/>
      <c r="J1611"/>
      <c r="K1611"/>
      <c r="L1611"/>
      <c r="M1611"/>
      <c r="N1611"/>
      <c r="O1611"/>
    </row>
    <row r="1612" spans="6:15">
      <c r="F1612"/>
      <c r="G1612"/>
      <c r="H1612"/>
      <c r="I1612"/>
      <c r="J1612"/>
      <c r="K1612"/>
      <c r="L1612"/>
      <c r="M1612"/>
      <c r="N1612"/>
      <c r="O1612"/>
    </row>
    <row r="1613" spans="6:15">
      <c r="F1613"/>
      <c r="G1613"/>
      <c r="H1613"/>
      <c r="I1613"/>
      <c r="J1613"/>
      <c r="K1613"/>
      <c r="L1613"/>
      <c r="M1613"/>
      <c r="N1613"/>
      <c r="O1613"/>
    </row>
    <row r="1614" spans="6:15">
      <c r="F1614"/>
      <c r="G1614"/>
      <c r="H1614"/>
      <c r="I1614"/>
      <c r="J1614"/>
      <c r="K1614"/>
      <c r="L1614"/>
      <c r="M1614"/>
      <c r="N1614"/>
      <c r="O1614"/>
    </row>
    <row r="1615" spans="6:15">
      <c r="F1615"/>
      <c r="G1615"/>
      <c r="H1615"/>
      <c r="I1615"/>
      <c r="J1615"/>
      <c r="K1615"/>
      <c r="L1615"/>
      <c r="M1615"/>
      <c r="N1615"/>
      <c r="O1615"/>
    </row>
    <row r="1616" spans="6:15">
      <c r="F1616"/>
      <c r="G1616"/>
      <c r="H1616"/>
      <c r="I1616"/>
      <c r="J1616"/>
      <c r="K1616"/>
      <c r="L1616"/>
      <c r="M1616"/>
      <c r="N1616"/>
      <c r="O1616"/>
    </row>
    <row r="1617" spans="6:15">
      <c r="F1617"/>
      <c r="G1617"/>
      <c r="H1617"/>
      <c r="I1617"/>
      <c r="J1617"/>
      <c r="K1617"/>
      <c r="L1617"/>
      <c r="M1617"/>
      <c r="N1617"/>
      <c r="O1617"/>
    </row>
    <row r="1618" spans="6:15">
      <c r="F1618"/>
      <c r="G1618"/>
      <c r="H1618"/>
      <c r="I1618"/>
      <c r="J1618"/>
      <c r="K1618"/>
      <c r="L1618"/>
      <c r="M1618"/>
      <c r="N1618"/>
      <c r="O1618"/>
    </row>
    <row r="1619" spans="6:15">
      <c r="F1619"/>
      <c r="G1619"/>
      <c r="H1619"/>
      <c r="I1619"/>
      <c r="J1619"/>
      <c r="K1619"/>
      <c r="L1619"/>
      <c r="M1619"/>
      <c r="N1619"/>
      <c r="O1619"/>
    </row>
    <row r="1620" spans="6:15">
      <c r="F1620"/>
      <c r="G1620"/>
      <c r="H1620"/>
      <c r="I1620"/>
      <c r="J1620"/>
      <c r="K1620"/>
      <c r="L1620"/>
      <c r="M1620"/>
      <c r="N1620"/>
      <c r="O1620"/>
    </row>
    <row r="1621" spans="6:15">
      <c r="F1621"/>
      <c r="G1621"/>
      <c r="H1621"/>
      <c r="I1621"/>
      <c r="J1621"/>
      <c r="K1621"/>
      <c r="L1621"/>
      <c r="M1621"/>
      <c r="N1621"/>
      <c r="O1621"/>
    </row>
    <row r="1622" spans="6:15">
      <c r="F1622"/>
      <c r="G1622"/>
      <c r="H1622"/>
      <c r="I1622"/>
      <c r="J1622"/>
      <c r="K1622"/>
      <c r="L1622"/>
      <c r="M1622"/>
      <c r="N1622"/>
      <c r="O1622"/>
    </row>
    <row r="1623" spans="6:15">
      <c r="F1623"/>
      <c r="G1623"/>
      <c r="H1623"/>
      <c r="I1623"/>
      <c r="J1623"/>
      <c r="K1623"/>
      <c r="L1623"/>
      <c r="M1623"/>
      <c r="N1623"/>
      <c r="O1623"/>
    </row>
    <row r="1624" spans="6:15">
      <c r="F1624"/>
      <c r="G1624"/>
      <c r="H1624"/>
      <c r="I1624"/>
      <c r="J1624"/>
      <c r="K1624"/>
      <c r="L1624"/>
      <c r="M1624"/>
      <c r="N1624"/>
      <c r="O1624"/>
    </row>
    <row r="1625" spans="6:15">
      <c r="F1625"/>
      <c r="G1625"/>
      <c r="H1625"/>
      <c r="I1625"/>
      <c r="J1625"/>
      <c r="K1625"/>
      <c r="L1625"/>
      <c r="M1625"/>
      <c r="N1625"/>
      <c r="O1625"/>
    </row>
    <row r="1626" spans="6:15">
      <c r="F1626"/>
      <c r="G1626"/>
      <c r="H1626"/>
      <c r="I1626"/>
      <c r="J1626"/>
      <c r="K1626"/>
      <c r="L1626"/>
      <c r="M1626"/>
      <c r="N1626"/>
      <c r="O1626"/>
    </row>
    <row r="1627" spans="6:15">
      <c r="F1627"/>
      <c r="G1627"/>
      <c r="H1627"/>
      <c r="I1627"/>
      <c r="J1627"/>
      <c r="K1627"/>
      <c r="L1627"/>
      <c r="M1627"/>
      <c r="N1627"/>
      <c r="O1627"/>
    </row>
    <row r="1628" spans="6:15">
      <c r="F1628"/>
      <c r="G1628"/>
      <c r="H1628"/>
      <c r="I1628"/>
      <c r="J1628"/>
      <c r="K1628"/>
      <c r="L1628"/>
      <c r="M1628"/>
      <c r="N1628"/>
      <c r="O1628"/>
    </row>
    <row r="1629" spans="6:15">
      <c r="F1629"/>
      <c r="G1629"/>
      <c r="H1629"/>
      <c r="I1629"/>
      <c r="J1629"/>
      <c r="K1629"/>
      <c r="L1629"/>
      <c r="M1629"/>
      <c r="N1629"/>
      <c r="O1629"/>
    </row>
    <row r="1630" spans="6:15">
      <c r="F1630"/>
      <c r="G1630"/>
      <c r="H1630"/>
      <c r="I1630"/>
      <c r="J1630"/>
      <c r="K1630"/>
      <c r="L1630"/>
      <c r="M1630"/>
      <c r="N1630"/>
      <c r="O1630"/>
    </row>
    <row r="1631" spans="6:15">
      <c r="F1631"/>
      <c r="G1631"/>
      <c r="H1631"/>
      <c r="I1631"/>
      <c r="J1631"/>
      <c r="K1631"/>
      <c r="L1631"/>
      <c r="M1631"/>
      <c r="N1631"/>
      <c r="O1631"/>
    </row>
    <row r="1632" spans="6:15">
      <c r="F1632"/>
      <c r="G1632"/>
      <c r="H1632"/>
      <c r="I1632"/>
      <c r="J1632"/>
      <c r="K1632"/>
      <c r="L1632"/>
      <c r="M1632"/>
      <c r="N1632"/>
      <c r="O1632"/>
    </row>
    <row r="1633" spans="6:15">
      <c r="F1633"/>
      <c r="G1633"/>
      <c r="H1633"/>
      <c r="I1633"/>
      <c r="J1633"/>
      <c r="K1633"/>
      <c r="L1633"/>
      <c r="M1633"/>
      <c r="N1633"/>
      <c r="O1633"/>
    </row>
    <row r="1634" spans="6:15">
      <c r="F1634"/>
      <c r="G1634"/>
      <c r="H1634"/>
      <c r="I1634"/>
      <c r="J1634"/>
      <c r="K1634"/>
      <c r="L1634"/>
      <c r="M1634"/>
      <c r="N1634"/>
      <c r="O1634"/>
    </row>
    <row r="1635" spans="6:15">
      <c r="F1635"/>
      <c r="G1635"/>
      <c r="H1635"/>
      <c r="I1635"/>
      <c r="J1635"/>
      <c r="K1635"/>
      <c r="L1635"/>
      <c r="M1635"/>
      <c r="N1635"/>
      <c r="O1635"/>
    </row>
    <row r="1636" spans="6:15">
      <c r="F1636"/>
      <c r="G1636"/>
      <c r="H1636"/>
      <c r="I1636"/>
      <c r="J1636"/>
      <c r="K1636"/>
      <c r="L1636"/>
      <c r="M1636"/>
      <c r="N1636"/>
      <c r="O1636"/>
    </row>
    <row r="1637" spans="6:15">
      <c r="F1637"/>
      <c r="G1637"/>
      <c r="H1637"/>
      <c r="I1637"/>
      <c r="J1637"/>
      <c r="K1637"/>
      <c r="L1637"/>
      <c r="M1637"/>
      <c r="N1637"/>
      <c r="O1637"/>
    </row>
    <row r="1638" spans="6:15">
      <c r="F1638"/>
      <c r="G1638"/>
      <c r="H1638"/>
      <c r="I1638"/>
      <c r="J1638"/>
      <c r="K1638"/>
      <c r="L1638"/>
      <c r="M1638"/>
      <c r="N1638"/>
      <c r="O1638"/>
    </row>
    <row r="1639" spans="6:15">
      <c r="F1639"/>
      <c r="G1639"/>
      <c r="H1639"/>
      <c r="I1639"/>
      <c r="J1639"/>
      <c r="K1639"/>
      <c r="L1639"/>
      <c r="M1639"/>
      <c r="N1639"/>
      <c r="O1639"/>
    </row>
    <row r="1640" spans="6:15">
      <c r="F1640"/>
      <c r="G1640"/>
      <c r="H1640"/>
      <c r="I1640"/>
      <c r="J1640"/>
      <c r="K1640"/>
      <c r="L1640"/>
      <c r="M1640"/>
      <c r="N1640"/>
      <c r="O1640"/>
    </row>
    <row r="1641" spans="6:15">
      <c r="F1641"/>
      <c r="G1641"/>
      <c r="H1641"/>
      <c r="I1641"/>
      <c r="J1641"/>
      <c r="K1641"/>
      <c r="L1641"/>
      <c r="M1641"/>
      <c r="N1641"/>
      <c r="O1641"/>
    </row>
    <row r="1642" spans="6:15">
      <c r="F1642"/>
      <c r="G1642"/>
      <c r="H1642"/>
      <c r="I1642"/>
      <c r="J1642"/>
      <c r="K1642"/>
      <c r="L1642"/>
      <c r="M1642"/>
      <c r="N1642"/>
      <c r="O1642"/>
    </row>
    <row r="1643" spans="6:15">
      <c r="F1643"/>
      <c r="G1643"/>
      <c r="H1643"/>
      <c r="I1643"/>
      <c r="J1643"/>
      <c r="K1643"/>
      <c r="L1643"/>
      <c r="M1643"/>
      <c r="N1643"/>
      <c r="O1643"/>
    </row>
    <row r="1644" spans="6:15">
      <c r="F1644"/>
      <c r="G1644"/>
      <c r="H1644"/>
      <c r="I1644"/>
      <c r="J1644"/>
      <c r="K1644"/>
      <c r="L1644"/>
      <c r="M1644"/>
      <c r="N1644"/>
      <c r="O1644"/>
    </row>
    <row r="1645" spans="6:15">
      <c r="F1645"/>
      <c r="G1645"/>
      <c r="H1645"/>
      <c r="I1645"/>
      <c r="J1645"/>
      <c r="K1645"/>
      <c r="L1645"/>
      <c r="M1645"/>
      <c r="N1645"/>
      <c r="O1645"/>
    </row>
    <row r="1646" spans="6:15">
      <c r="F1646"/>
      <c r="G1646"/>
      <c r="H1646"/>
      <c r="I1646"/>
      <c r="J1646"/>
      <c r="K1646"/>
      <c r="L1646"/>
      <c r="M1646"/>
      <c r="N1646"/>
      <c r="O1646"/>
    </row>
    <row r="1647" spans="6:15">
      <c r="F1647"/>
      <c r="G1647"/>
      <c r="H1647"/>
      <c r="I1647"/>
      <c r="J1647"/>
      <c r="K1647"/>
      <c r="L1647"/>
      <c r="M1647"/>
      <c r="N1647"/>
      <c r="O1647"/>
    </row>
    <row r="1648" spans="6:15">
      <c r="F1648"/>
      <c r="G1648"/>
      <c r="H1648"/>
      <c r="I1648"/>
      <c r="J1648"/>
      <c r="K1648"/>
      <c r="L1648"/>
      <c r="M1648"/>
      <c r="N1648"/>
      <c r="O1648"/>
    </row>
    <row r="1649" spans="6:15">
      <c r="F1649"/>
      <c r="G1649"/>
      <c r="H1649"/>
      <c r="I1649"/>
      <c r="J1649"/>
      <c r="K1649"/>
      <c r="L1649"/>
      <c r="M1649"/>
      <c r="N1649"/>
      <c r="O1649"/>
    </row>
    <row r="1650" spans="6:15">
      <c r="F1650"/>
      <c r="G1650"/>
      <c r="H1650"/>
      <c r="I1650"/>
      <c r="J1650"/>
      <c r="K1650"/>
      <c r="L1650"/>
      <c r="M1650"/>
      <c r="N1650"/>
      <c r="O1650"/>
    </row>
    <row r="1651" spans="6:15">
      <c r="F1651"/>
      <c r="G1651"/>
      <c r="H1651"/>
      <c r="I1651"/>
      <c r="J1651"/>
      <c r="K1651"/>
      <c r="L1651"/>
      <c r="M1651"/>
      <c r="N1651"/>
      <c r="O1651"/>
    </row>
    <row r="1652" spans="6:15">
      <c r="F1652"/>
      <c r="G1652"/>
      <c r="H1652"/>
      <c r="I1652"/>
      <c r="J1652"/>
      <c r="K1652"/>
      <c r="L1652"/>
      <c r="M1652"/>
      <c r="N1652"/>
      <c r="O1652"/>
    </row>
    <row r="1653" spans="6:15">
      <c r="F1653"/>
      <c r="G1653"/>
      <c r="H1653"/>
      <c r="I1653"/>
      <c r="J1653"/>
      <c r="K1653"/>
      <c r="L1653"/>
      <c r="M1653"/>
      <c r="N1653"/>
      <c r="O1653"/>
    </row>
    <row r="1654" spans="6:15">
      <c r="F1654"/>
      <c r="G1654"/>
      <c r="H1654"/>
      <c r="I1654"/>
      <c r="J1654"/>
      <c r="K1654"/>
      <c r="L1654"/>
      <c r="M1654"/>
      <c r="N1654"/>
      <c r="O1654"/>
    </row>
    <row r="1655" spans="6:15">
      <c r="F1655"/>
      <c r="G1655"/>
      <c r="H1655"/>
      <c r="I1655"/>
      <c r="J1655"/>
      <c r="K1655"/>
      <c r="L1655"/>
      <c r="M1655"/>
      <c r="N1655"/>
      <c r="O1655"/>
    </row>
    <row r="1656" spans="6:15">
      <c r="F1656"/>
      <c r="G1656"/>
      <c r="H1656"/>
      <c r="I1656"/>
      <c r="J1656"/>
      <c r="K1656"/>
      <c r="L1656"/>
      <c r="M1656"/>
      <c r="N1656"/>
      <c r="O1656"/>
    </row>
    <row r="1657" spans="6:15">
      <c r="F1657"/>
      <c r="G1657"/>
      <c r="H1657"/>
      <c r="I1657"/>
      <c r="J1657"/>
      <c r="K1657"/>
      <c r="L1657"/>
      <c r="M1657"/>
      <c r="N1657"/>
      <c r="O1657"/>
    </row>
    <row r="1658" spans="6:15">
      <c r="F1658"/>
      <c r="G1658"/>
      <c r="H1658"/>
      <c r="I1658"/>
      <c r="J1658"/>
      <c r="K1658"/>
      <c r="L1658"/>
      <c r="M1658"/>
      <c r="N1658"/>
      <c r="O1658"/>
    </row>
    <row r="1659" spans="6:15">
      <c r="F1659"/>
      <c r="G1659"/>
      <c r="H1659"/>
      <c r="I1659"/>
      <c r="J1659"/>
      <c r="K1659"/>
      <c r="L1659"/>
      <c r="M1659"/>
      <c r="N1659"/>
      <c r="O1659"/>
    </row>
    <row r="1660" spans="6:15">
      <c r="F1660"/>
      <c r="G1660"/>
      <c r="H1660"/>
      <c r="I1660"/>
      <c r="J1660"/>
      <c r="K1660"/>
      <c r="L1660"/>
      <c r="M1660"/>
      <c r="N1660"/>
      <c r="O1660"/>
    </row>
    <row r="1661" spans="6:15">
      <c r="F1661"/>
      <c r="G1661"/>
      <c r="H1661"/>
      <c r="I1661"/>
      <c r="J1661"/>
      <c r="K1661"/>
      <c r="L1661"/>
      <c r="M1661"/>
      <c r="N1661"/>
      <c r="O1661"/>
    </row>
    <row r="1662" spans="6:15">
      <c r="F1662"/>
      <c r="G1662"/>
      <c r="H1662"/>
      <c r="I1662"/>
      <c r="J1662"/>
      <c r="K1662"/>
      <c r="L1662"/>
      <c r="M1662"/>
      <c r="N1662"/>
      <c r="O1662"/>
    </row>
    <row r="1663" spans="6:15">
      <c r="F1663"/>
      <c r="G1663"/>
      <c r="H1663"/>
      <c r="I1663"/>
      <c r="J1663"/>
      <c r="K1663"/>
      <c r="L1663"/>
      <c r="M1663"/>
      <c r="N1663"/>
      <c r="O1663"/>
    </row>
    <row r="1664" spans="6:15">
      <c r="F1664"/>
      <c r="G1664"/>
      <c r="H1664"/>
      <c r="I1664"/>
      <c r="J1664"/>
      <c r="K1664"/>
      <c r="L1664"/>
      <c r="M1664"/>
      <c r="N1664"/>
      <c r="O1664"/>
    </row>
    <row r="1665" spans="6:15">
      <c r="F1665"/>
      <c r="G1665"/>
      <c r="H1665"/>
      <c r="I1665"/>
      <c r="J1665"/>
      <c r="K1665"/>
      <c r="L1665"/>
      <c r="M1665"/>
      <c r="N1665"/>
      <c r="O1665"/>
    </row>
    <row r="1666" spans="6:15">
      <c r="F1666"/>
      <c r="G1666"/>
      <c r="H1666"/>
      <c r="I1666"/>
      <c r="J1666"/>
      <c r="K1666"/>
      <c r="L1666"/>
      <c r="M1666"/>
      <c r="N1666"/>
      <c r="O1666"/>
    </row>
    <row r="1667" spans="6:15">
      <c r="F1667"/>
      <c r="G1667"/>
      <c r="H1667"/>
      <c r="I1667"/>
      <c r="J1667"/>
      <c r="K1667"/>
      <c r="L1667"/>
      <c r="M1667"/>
      <c r="N1667"/>
      <c r="O1667"/>
    </row>
    <row r="1668" spans="6:15">
      <c r="F1668"/>
      <c r="G1668"/>
      <c r="H1668"/>
      <c r="I1668"/>
      <c r="J1668"/>
      <c r="K1668"/>
      <c r="L1668"/>
      <c r="M1668"/>
      <c r="N1668"/>
      <c r="O1668"/>
    </row>
    <row r="1669" spans="6:15">
      <c r="F1669"/>
      <c r="G1669"/>
      <c r="H1669"/>
      <c r="I1669"/>
      <c r="J1669"/>
      <c r="K1669"/>
      <c r="L1669"/>
      <c r="M1669"/>
      <c r="N1669"/>
      <c r="O1669"/>
    </row>
    <row r="1670" spans="6:15">
      <c r="F1670"/>
      <c r="G1670"/>
      <c r="H1670"/>
      <c r="I1670"/>
      <c r="J1670"/>
      <c r="K1670"/>
      <c r="L1670"/>
      <c r="M1670"/>
      <c r="N1670"/>
      <c r="O1670"/>
    </row>
    <row r="1671" spans="6:15">
      <c r="F1671"/>
      <c r="G1671"/>
      <c r="H1671"/>
      <c r="I1671"/>
      <c r="J1671"/>
      <c r="K1671"/>
      <c r="L1671"/>
      <c r="M1671"/>
      <c r="N1671"/>
      <c r="O1671"/>
    </row>
    <row r="1672" spans="6:15">
      <c r="F1672"/>
      <c r="G1672"/>
      <c r="H1672"/>
      <c r="I1672"/>
      <c r="J1672"/>
      <c r="K1672"/>
      <c r="L1672"/>
      <c r="M1672"/>
      <c r="N1672"/>
      <c r="O1672"/>
    </row>
    <row r="1673" spans="6:15">
      <c r="F1673"/>
      <c r="G1673"/>
      <c r="H1673"/>
      <c r="I1673"/>
      <c r="J1673"/>
      <c r="K1673"/>
      <c r="L1673"/>
      <c r="M1673"/>
      <c r="N1673"/>
      <c r="O1673"/>
    </row>
    <row r="1674" spans="6:15">
      <c r="F1674"/>
      <c r="G1674"/>
      <c r="H1674"/>
      <c r="I1674"/>
      <c r="J1674"/>
      <c r="K1674"/>
      <c r="L1674"/>
      <c r="M1674"/>
      <c r="N1674"/>
      <c r="O1674"/>
    </row>
    <row r="1675" spans="6:15">
      <c r="F1675"/>
      <c r="G1675"/>
      <c r="H1675"/>
      <c r="I1675"/>
      <c r="J1675"/>
      <c r="K1675"/>
      <c r="L1675"/>
      <c r="M1675"/>
      <c r="N1675"/>
      <c r="O1675"/>
    </row>
    <row r="1676" spans="6:15">
      <c r="F1676"/>
      <c r="G1676"/>
      <c r="H1676"/>
      <c r="I1676"/>
      <c r="J1676"/>
      <c r="K1676"/>
      <c r="L1676"/>
      <c r="M1676"/>
      <c r="N1676"/>
      <c r="O1676"/>
    </row>
    <row r="1677" spans="6:15">
      <c r="F1677"/>
      <c r="G1677"/>
      <c r="H1677"/>
      <c r="I1677"/>
      <c r="J1677"/>
      <c r="K1677"/>
      <c r="L1677"/>
      <c r="M1677"/>
      <c r="N1677"/>
      <c r="O1677"/>
    </row>
    <row r="1678" spans="6:15">
      <c r="F1678"/>
      <c r="G1678"/>
      <c r="H1678"/>
      <c r="I1678"/>
      <c r="J1678"/>
      <c r="K1678"/>
      <c r="L1678"/>
      <c r="M1678"/>
      <c r="N1678"/>
      <c r="O1678"/>
    </row>
    <row r="1679" spans="6:15">
      <c r="F1679"/>
      <c r="G1679"/>
      <c r="H1679"/>
      <c r="I1679"/>
      <c r="J1679"/>
      <c r="K1679"/>
      <c r="L1679"/>
      <c r="M1679"/>
      <c r="N1679"/>
      <c r="O1679"/>
    </row>
    <row r="1680" spans="6:15">
      <c r="F1680"/>
      <c r="G1680"/>
      <c r="H1680"/>
      <c r="I1680"/>
      <c r="J1680"/>
      <c r="K1680"/>
      <c r="L1680"/>
      <c r="M1680"/>
      <c r="N1680"/>
      <c r="O1680"/>
    </row>
    <row r="1681" spans="6:15">
      <c r="F1681"/>
      <c r="G1681"/>
      <c r="H1681"/>
      <c r="I1681"/>
      <c r="J1681"/>
      <c r="K1681"/>
      <c r="L1681"/>
      <c r="M1681"/>
      <c r="N1681"/>
      <c r="O1681"/>
    </row>
    <row r="1682" spans="6:15">
      <c r="F1682"/>
      <c r="G1682"/>
      <c r="H1682"/>
      <c r="I1682"/>
      <c r="J1682"/>
      <c r="K1682"/>
      <c r="L1682"/>
      <c r="M1682"/>
      <c r="N1682"/>
      <c r="O1682"/>
    </row>
    <row r="1683" spans="6:15">
      <c r="F1683"/>
      <c r="G1683"/>
      <c r="H1683"/>
      <c r="I1683"/>
      <c r="J1683"/>
      <c r="K1683"/>
      <c r="L1683"/>
      <c r="M1683"/>
      <c r="N1683"/>
      <c r="O1683"/>
    </row>
    <row r="1684" spans="6:15">
      <c r="F1684"/>
      <c r="G1684"/>
      <c r="H1684"/>
      <c r="I1684"/>
      <c r="J1684"/>
      <c r="K1684"/>
      <c r="L1684"/>
      <c r="M1684"/>
      <c r="N1684"/>
      <c r="O1684"/>
    </row>
    <row r="1685" spans="6:15">
      <c r="F1685"/>
      <c r="G1685"/>
      <c r="H1685"/>
      <c r="I1685"/>
      <c r="J1685"/>
      <c r="K1685"/>
      <c r="L1685"/>
      <c r="M1685"/>
      <c r="N1685"/>
      <c r="O1685"/>
    </row>
    <row r="1686" spans="6:15">
      <c r="F1686"/>
      <c r="G1686"/>
      <c r="H1686"/>
      <c r="I1686"/>
      <c r="J1686"/>
      <c r="K1686"/>
      <c r="L1686"/>
      <c r="M1686"/>
      <c r="N1686"/>
      <c r="O1686"/>
    </row>
    <row r="1687" spans="6:15">
      <c r="F1687"/>
      <c r="G1687"/>
      <c r="H1687"/>
      <c r="I1687"/>
      <c r="J1687"/>
      <c r="K1687"/>
      <c r="L1687"/>
      <c r="M1687"/>
      <c r="N1687"/>
      <c r="O1687"/>
    </row>
    <row r="1688" spans="6:15">
      <c r="F1688"/>
      <c r="G1688"/>
      <c r="H1688"/>
      <c r="I1688"/>
      <c r="J1688"/>
      <c r="K1688"/>
      <c r="L1688"/>
      <c r="M1688"/>
      <c r="N1688"/>
      <c r="O1688"/>
    </row>
    <row r="1689" spans="6:15">
      <c r="F1689"/>
      <c r="G1689"/>
      <c r="H1689"/>
      <c r="I1689"/>
      <c r="J1689"/>
      <c r="K1689"/>
      <c r="L1689"/>
      <c r="M1689"/>
      <c r="N1689"/>
      <c r="O1689"/>
    </row>
    <row r="1690" spans="6:15">
      <c r="F1690"/>
      <c r="G1690"/>
      <c r="H1690"/>
      <c r="I1690"/>
      <c r="J1690"/>
      <c r="K1690"/>
      <c r="L1690"/>
      <c r="M1690"/>
      <c r="N1690"/>
      <c r="O1690"/>
    </row>
    <row r="1691" spans="6:15">
      <c r="F1691"/>
      <c r="G1691"/>
      <c r="H1691"/>
      <c r="I1691"/>
      <c r="J1691"/>
      <c r="K1691"/>
      <c r="L1691"/>
      <c r="M1691"/>
      <c r="N1691"/>
      <c r="O1691"/>
    </row>
    <row r="1692" spans="6:15">
      <c r="F1692"/>
      <c r="G1692"/>
      <c r="H1692"/>
      <c r="I1692"/>
      <c r="J1692"/>
      <c r="K1692"/>
      <c r="L1692"/>
      <c r="M1692"/>
      <c r="N1692"/>
      <c r="O1692"/>
    </row>
    <row r="1693" spans="6:15">
      <c r="F1693"/>
      <c r="G1693"/>
      <c r="H1693"/>
      <c r="I1693"/>
      <c r="J1693"/>
      <c r="K1693"/>
      <c r="L1693"/>
      <c r="M1693"/>
      <c r="N1693"/>
      <c r="O1693"/>
    </row>
    <row r="1694" spans="6:15">
      <c r="F1694"/>
      <c r="G1694"/>
      <c r="H1694"/>
      <c r="I1694"/>
      <c r="J1694"/>
      <c r="K1694"/>
      <c r="L1694"/>
      <c r="M1694"/>
      <c r="N1694"/>
      <c r="O1694"/>
    </row>
    <row r="1695" spans="6:15">
      <c r="F1695"/>
      <c r="G1695"/>
      <c r="H1695"/>
      <c r="I1695"/>
      <c r="J1695"/>
      <c r="K1695"/>
      <c r="L1695"/>
      <c r="M1695"/>
      <c r="N1695"/>
      <c r="O1695"/>
    </row>
    <row r="1696" spans="6:15">
      <c r="F1696"/>
      <c r="G1696"/>
      <c r="H1696"/>
      <c r="I1696"/>
      <c r="J1696"/>
      <c r="K1696"/>
      <c r="L1696"/>
      <c r="M1696"/>
      <c r="N1696"/>
      <c r="O1696"/>
    </row>
    <row r="1697" spans="6:15">
      <c r="F1697"/>
      <c r="G1697"/>
      <c r="H1697"/>
      <c r="I1697"/>
      <c r="J1697"/>
      <c r="K1697"/>
      <c r="L1697"/>
      <c r="M1697"/>
      <c r="N1697"/>
      <c r="O1697"/>
    </row>
    <row r="1698" spans="6:15">
      <c r="F1698"/>
      <c r="G1698"/>
      <c r="H1698"/>
      <c r="I1698"/>
      <c r="J1698"/>
      <c r="K1698"/>
      <c r="L1698"/>
      <c r="M1698"/>
      <c r="N1698"/>
      <c r="O1698"/>
    </row>
    <row r="1699" spans="6:15">
      <c r="F1699"/>
      <c r="G1699"/>
      <c r="H1699"/>
      <c r="I1699"/>
      <c r="J1699"/>
      <c r="K1699"/>
      <c r="L1699"/>
      <c r="M1699"/>
      <c r="N1699"/>
      <c r="O1699"/>
    </row>
    <row r="1700" spans="6:15">
      <c r="F1700"/>
      <c r="G1700"/>
      <c r="H1700"/>
      <c r="I1700"/>
      <c r="J1700"/>
      <c r="K1700"/>
      <c r="L1700"/>
      <c r="M1700"/>
      <c r="N1700"/>
      <c r="O1700"/>
    </row>
    <row r="1701" spans="6:15">
      <c r="F1701"/>
      <c r="G1701"/>
      <c r="H1701"/>
      <c r="I1701"/>
      <c r="J1701"/>
      <c r="K1701"/>
      <c r="L1701"/>
      <c r="M1701"/>
      <c r="N1701"/>
      <c r="O1701"/>
    </row>
    <row r="1702" spans="6:15">
      <c r="F1702"/>
      <c r="G1702"/>
      <c r="H1702"/>
      <c r="I1702"/>
      <c r="J1702"/>
      <c r="K1702"/>
      <c r="L1702"/>
      <c r="M1702"/>
      <c r="N1702"/>
      <c r="O1702"/>
    </row>
    <row r="1703" spans="6:15">
      <c r="F1703"/>
      <c r="G1703"/>
      <c r="H1703"/>
      <c r="I1703"/>
      <c r="J1703"/>
      <c r="K1703"/>
      <c r="L1703"/>
      <c r="M1703"/>
      <c r="N1703"/>
      <c r="O1703"/>
    </row>
    <row r="1704" spans="6:15">
      <c r="F1704"/>
      <c r="G1704"/>
      <c r="H1704"/>
      <c r="I1704"/>
      <c r="J1704"/>
      <c r="K1704"/>
      <c r="L1704"/>
      <c r="M1704"/>
      <c r="N1704"/>
      <c r="O1704"/>
    </row>
    <row r="1705" spans="6:15">
      <c r="F1705"/>
      <c r="G1705"/>
      <c r="H1705"/>
      <c r="I1705"/>
      <c r="J1705"/>
      <c r="K1705"/>
      <c r="L1705"/>
      <c r="M1705"/>
      <c r="N1705"/>
      <c r="O1705"/>
    </row>
    <row r="1706" spans="6:15">
      <c r="F1706"/>
      <c r="G1706"/>
      <c r="H1706"/>
      <c r="I1706"/>
      <c r="J1706"/>
      <c r="K1706"/>
      <c r="L1706"/>
      <c r="M1706"/>
      <c r="N1706"/>
      <c r="O1706"/>
    </row>
    <row r="1707" spans="6:15">
      <c r="F1707"/>
      <c r="G1707"/>
      <c r="H1707"/>
      <c r="I1707"/>
      <c r="J1707"/>
      <c r="K1707"/>
      <c r="L1707"/>
      <c r="M1707"/>
      <c r="N1707"/>
      <c r="O1707"/>
    </row>
    <row r="1708" spans="6:15">
      <c r="F1708"/>
      <c r="G1708"/>
      <c r="H1708"/>
      <c r="I1708"/>
      <c r="J1708"/>
      <c r="K1708"/>
      <c r="L1708"/>
      <c r="M1708"/>
      <c r="N1708"/>
      <c r="O1708"/>
    </row>
    <row r="1709" spans="6:15">
      <c r="F1709"/>
      <c r="G1709"/>
      <c r="H1709"/>
      <c r="I1709"/>
      <c r="J1709"/>
      <c r="K1709"/>
      <c r="L1709"/>
      <c r="M1709"/>
      <c r="N1709"/>
      <c r="O1709"/>
    </row>
    <row r="1710" spans="6:15">
      <c r="F1710"/>
      <c r="G1710"/>
      <c r="H1710"/>
      <c r="I1710"/>
      <c r="J1710"/>
      <c r="K1710"/>
      <c r="L1710"/>
      <c r="M1710"/>
      <c r="N1710"/>
      <c r="O1710"/>
    </row>
    <row r="1711" spans="6:15">
      <c r="F1711"/>
      <c r="G1711"/>
      <c r="H1711"/>
      <c r="I1711"/>
      <c r="J1711"/>
      <c r="K1711"/>
      <c r="L1711"/>
      <c r="M1711"/>
      <c r="N1711"/>
      <c r="O1711"/>
    </row>
    <row r="1712" spans="6:15">
      <c r="F1712"/>
      <c r="G1712"/>
      <c r="H1712"/>
      <c r="I1712"/>
      <c r="J1712"/>
      <c r="K1712"/>
      <c r="L1712"/>
      <c r="M1712"/>
      <c r="N1712"/>
      <c r="O1712"/>
    </row>
    <row r="1713" spans="6:15">
      <c r="F1713"/>
      <c r="G1713"/>
      <c r="H1713"/>
      <c r="I1713"/>
      <c r="J1713"/>
      <c r="K1713"/>
      <c r="L1713"/>
      <c r="M1713"/>
      <c r="N1713"/>
      <c r="O1713"/>
    </row>
    <row r="1714" spans="6:15">
      <c r="F1714"/>
      <c r="G1714"/>
      <c r="H1714"/>
      <c r="I1714"/>
      <c r="J1714"/>
      <c r="K1714"/>
      <c r="L1714"/>
      <c r="M1714"/>
      <c r="N1714"/>
      <c r="O1714"/>
    </row>
    <row r="1715" spans="6:15">
      <c r="F1715"/>
      <c r="G1715"/>
      <c r="H1715"/>
      <c r="I1715"/>
      <c r="J1715"/>
      <c r="K1715"/>
      <c r="L1715"/>
      <c r="M1715"/>
      <c r="N1715"/>
      <c r="O1715"/>
    </row>
    <row r="1716" spans="6:15">
      <c r="F1716"/>
      <c r="G1716"/>
      <c r="H1716"/>
      <c r="I1716"/>
      <c r="J1716"/>
      <c r="K1716"/>
      <c r="L1716"/>
      <c r="M1716"/>
      <c r="N1716"/>
      <c r="O1716"/>
    </row>
    <row r="1717" spans="6:15">
      <c r="F1717"/>
      <c r="G1717"/>
      <c r="H1717"/>
      <c r="I1717"/>
      <c r="J1717"/>
      <c r="K1717"/>
      <c r="L1717"/>
      <c r="M1717"/>
      <c r="N1717"/>
      <c r="O1717"/>
    </row>
    <row r="1718" spans="6:15">
      <c r="F1718"/>
      <c r="G1718"/>
      <c r="H1718"/>
      <c r="I1718"/>
      <c r="J1718"/>
      <c r="K1718"/>
      <c r="L1718"/>
      <c r="M1718"/>
      <c r="N1718"/>
      <c r="O1718"/>
    </row>
    <row r="1719" spans="6:15">
      <c r="F1719"/>
      <c r="G1719"/>
      <c r="H1719"/>
      <c r="I1719"/>
      <c r="J1719"/>
      <c r="K1719"/>
      <c r="L1719"/>
      <c r="M1719"/>
      <c r="N1719"/>
      <c r="O1719"/>
    </row>
    <row r="1720" spans="6:15">
      <c r="F1720"/>
      <c r="G1720"/>
      <c r="H1720"/>
      <c r="I1720"/>
      <c r="J1720"/>
      <c r="K1720"/>
      <c r="L1720"/>
      <c r="M1720"/>
      <c r="N1720"/>
      <c r="O1720"/>
    </row>
    <row r="1721" spans="6:15">
      <c r="F1721"/>
      <c r="G1721"/>
      <c r="H1721"/>
      <c r="I1721"/>
      <c r="J1721"/>
      <c r="K1721"/>
      <c r="L1721"/>
      <c r="M1721"/>
      <c r="N1721"/>
      <c r="O1721"/>
    </row>
    <row r="1722" spans="6:15">
      <c r="F1722"/>
      <c r="G1722"/>
      <c r="H1722"/>
      <c r="I1722"/>
      <c r="J1722"/>
      <c r="K1722"/>
      <c r="L1722"/>
      <c r="M1722"/>
      <c r="N1722"/>
      <c r="O1722"/>
    </row>
    <row r="1723" spans="6:15">
      <c r="F1723"/>
      <c r="G1723"/>
      <c r="H1723"/>
      <c r="I1723"/>
      <c r="J1723"/>
      <c r="K1723"/>
      <c r="L1723"/>
      <c r="M1723"/>
      <c r="N1723"/>
      <c r="O1723"/>
    </row>
    <row r="1724" spans="6:15">
      <c r="F1724"/>
      <c r="G1724"/>
      <c r="H1724"/>
      <c r="I1724"/>
      <c r="J1724"/>
      <c r="K1724"/>
      <c r="L1724"/>
      <c r="M1724"/>
      <c r="N1724"/>
      <c r="O1724"/>
    </row>
    <row r="1725" spans="6:15">
      <c r="F1725"/>
      <c r="G1725"/>
      <c r="H1725"/>
      <c r="I1725"/>
      <c r="J1725"/>
      <c r="K1725"/>
      <c r="L1725"/>
      <c r="M1725"/>
      <c r="N1725"/>
      <c r="O1725"/>
    </row>
    <row r="1726" spans="6:15">
      <c r="F1726"/>
      <c r="G1726"/>
      <c r="H1726"/>
      <c r="I1726"/>
      <c r="J1726"/>
      <c r="K1726"/>
      <c r="L1726"/>
      <c r="M1726"/>
      <c r="N1726"/>
      <c r="O1726"/>
    </row>
    <row r="1727" spans="6:15">
      <c r="F1727"/>
      <c r="G1727"/>
      <c r="H1727"/>
      <c r="I1727"/>
      <c r="J1727"/>
      <c r="K1727"/>
      <c r="L1727"/>
      <c r="M1727"/>
      <c r="N1727"/>
      <c r="O1727"/>
    </row>
    <row r="1728" spans="6:15">
      <c r="F1728"/>
      <c r="G1728"/>
      <c r="H1728"/>
      <c r="I1728"/>
      <c r="J1728"/>
      <c r="K1728"/>
      <c r="L1728"/>
      <c r="M1728"/>
      <c r="N1728"/>
      <c r="O1728"/>
    </row>
    <row r="1729" spans="6:15">
      <c r="F1729"/>
      <c r="G1729"/>
      <c r="H1729"/>
      <c r="I1729"/>
      <c r="J1729"/>
      <c r="K1729"/>
      <c r="L1729"/>
      <c r="M1729"/>
      <c r="N1729"/>
      <c r="O1729"/>
    </row>
    <row r="1730" spans="6:15">
      <c r="F1730"/>
      <c r="G1730"/>
      <c r="H1730"/>
      <c r="I1730"/>
      <c r="J1730"/>
      <c r="K1730"/>
      <c r="L1730"/>
      <c r="M1730"/>
      <c r="N1730"/>
      <c r="O1730"/>
    </row>
    <row r="1731" spans="6:15">
      <c r="F1731"/>
      <c r="G1731"/>
      <c r="H1731"/>
      <c r="I1731"/>
      <c r="J1731"/>
      <c r="K1731"/>
      <c r="L1731"/>
      <c r="M1731"/>
      <c r="N1731"/>
      <c r="O1731"/>
    </row>
    <row r="1732" spans="6:15">
      <c r="F1732"/>
      <c r="G1732"/>
      <c r="H1732"/>
      <c r="I1732"/>
      <c r="J1732"/>
      <c r="K1732"/>
      <c r="L1732"/>
      <c r="M1732"/>
      <c r="N1732"/>
      <c r="O1732"/>
    </row>
    <row r="1733" spans="6:15">
      <c r="F1733"/>
      <c r="G1733"/>
      <c r="H1733"/>
      <c r="I1733"/>
      <c r="J1733"/>
      <c r="K1733"/>
      <c r="L1733"/>
      <c r="M1733"/>
      <c r="N1733"/>
      <c r="O1733"/>
    </row>
    <row r="1734" spans="6:15">
      <c r="F1734"/>
      <c r="G1734"/>
      <c r="H1734"/>
      <c r="I1734"/>
      <c r="J1734"/>
      <c r="K1734"/>
      <c r="L1734"/>
      <c r="M1734"/>
      <c r="N1734"/>
      <c r="O1734"/>
    </row>
    <row r="1735" spans="6:15">
      <c r="F1735"/>
      <c r="G1735"/>
      <c r="H1735"/>
      <c r="I1735"/>
      <c r="J1735"/>
      <c r="K1735"/>
      <c r="L1735"/>
      <c r="M1735"/>
      <c r="N1735"/>
      <c r="O1735"/>
    </row>
    <row r="1736" spans="6:15">
      <c r="F1736"/>
      <c r="G1736"/>
      <c r="H1736"/>
      <c r="I1736"/>
      <c r="J1736"/>
      <c r="K1736"/>
      <c r="L1736"/>
      <c r="M1736"/>
      <c r="N1736"/>
      <c r="O1736"/>
    </row>
    <row r="1737" spans="6:15">
      <c r="F1737"/>
      <c r="G1737"/>
      <c r="H1737"/>
      <c r="I1737"/>
      <c r="J1737"/>
      <c r="K1737"/>
      <c r="L1737"/>
      <c r="M1737"/>
      <c r="N1737"/>
      <c r="O1737"/>
    </row>
    <row r="1738" spans="6:15">
      <c r="F1738"/>
      <c r="G1738"/>
      <c r="H1738"/>
      <c r="I1738"/>
      <c r="J1738"/>
      <c r="K1738"/>
      <c r="L1738"/>
      <c r="M1738"/>
      <c r="N1738"/>
      <c r="O1738"/>
    </row>
    <row r="1739" spans="6:15">
      <c r="F1739"/>
      <c r="G1739"/>
      <c r="H1739"/>
      <c r="I1739"/>
      <c r="J1739"/>
      <c r="K1739"/>
      <c r="L1739"/>
      <c r="M1739"/>
      <c r="N1739"/>
      <c r="O1739"/>
    </row>
    <row r="1740" spans="6:15">
      <c r="F1740"/>
      <c r="G1740"/>
      <c r="H1740"/>
      <c r="I1740"/>
      <c r="J1740"/>
      <c r="K1740"/>
      <c r="L1740"/>
      <c r="M1740"/>
      <c r="N1740"/>
      <c r="O1740"/>
    </row>
    <row r="1741" spans="6:15">
      <c r="F1741"/>
      <c r="G1741"/>
      <c r="H1741"/>
      <c r="I1741"/>
      <c r="J1741"/>
      <c r="K1741"/>
      <c r="L1741"/>
      <c r="M1741"/>
      <c r="N1741"/>
      <c r="O1741"/>
    </row>
    <row r="1742" spans="6:15">
      <c r="F1742"/>
      <c r="G1742"/>
      <c r="H1742"/>
      <c r="I1742"/>
      <c r="J1742"/>
      <c r="K1742"/>
      <c r="L1742"/>
      <c r="M1742"/>
      <c r="N1742"/>
      <c r="O1742"/>
    </row>
    <row r="1743" spans="6:15">
      <c r="F1743"/>
      <c r="G1743"/>
      <c r="H1743"/>
      <c r="I1743"/>
      <c r="J1743"/>
      <c r="K1743"/>
      <c r="L1743"/>
      <c r="M1743"/>
      <c r="N1743"/>
      <c r="O1743"/>
    </row>
    <row r="1744" spans="6:15">
      <c r="F1744"/>
      <c r="G1744"/>
      <c r="H1744"/>
      <c r="I1744"/>
      <c r="J1744"/>
      <c r="K1744"/>
      <c r="L1744"/>
      <c r="M1744"/>
      <c r="N1744"/>
      <c r="O1744"/>
    </row>
    <row r="1745" spans="6:15">
      <c r="F1745"/>
      <c r="G1745"/>
      <c r="H1745"/>
      <c r="I1745"/>
      <c r="J1745"/>
      <c r="K1745"/>
      <c r="L1745"/>
      <c r="M1745"/>
      <c r="N1745"/>
      <c r="O1745"/>
    </row>
    <row r="1746" spans="6:15">
      <c r="F1746"/>
      <c r="G1746"/>
      <c r="H1746"/>
      <c r="I1746"/>
      <c r="J1746"/>
      <c r="K1746"/>
      <c r="L1746"/>
      <c r="M1746"/>
      <c r="N1746"/>
      <c r="O1746"/>
    </row>
    <row r="1747" spans="6:15">
      <c r="F1747"/>
      <c r="G1747"/>
      <c r="H1747"/>
      <c r="I1747"/>
      <c r="J1747"/>
      <c r="K1747"/>
      <c r="L1747"/>
      <c r="M1747"/>
      <c r="N1747"/>
      <c r="O1747"/>
    </row>
    <row r="1748" spans="6:15">
      <c r="F1748"/>
      <c r="G1748"/>
      <c r="H1748"/>
      <c r="I1748"/>
      <c r="J1748"/>
      <c r="K1748"/>
      <c r="L1748"/>
      <c r="M1748"/>
      <c r="N1748"/>
      <c r="O1748"/>
    </row>
    <row r="1749" spans="6:15">
      <c r="F1749"/>
      <c r="G1749"/>
      <c r="H1749"/>
      <c r="I1749"/>
      <c r="J1749"/>
      <c r="K1749"/>
      <c r="L1749"/>
      <c r="M1749"/>
      <c r="N1749"/>
      <c r="O1749"/>
    </row>
    <row r="1750" spans="6:15">
      <c r="F1750"/>
      <c r="G1750"/>
      <c r="H1750"/>
      <c r="I1750"/>
      <c r="J1750"/>
      <c r="K1750"/>
      <c r="L1750"/>
      <c r="M1750"/>
      <c r="N1750"/>
      <c r="O1750"/>
    </row>
    <row r="1751" spans="6:15">
      <c r="F1751"/>
      <c r="G1751"/>
      <c r="H1751"/>
      <c r="I1751"/>
      <c r="J1751"/>
      <c r="K1751"/>
      <c r="L1751"/>
      <c r="M1751"/>
      <c r="N1751"/>
      <c r="O1751"/>
    </row>
    <row r="1752" spans="6:15">
      <c r="F1752"/>
      <c r="G1752"/>
      <c r="H1752"/>
      <c r="I1752"/>
      <c r="J1752"/>
      <c r="K1752"/>
      <c r="L1752"/>
      <c r="M1752"/>
      <c r="N1752"/>
      <c r="O1752"/>
    </row>
    <row r="1753" spans="6:15">
      <c r="F1753"/>
      <c r="G1753"/>
      <c r="H1753"/>
      <c r="I1753"/>
      <c r="J1753"/>
      <c r="K1753"/>
      <c r="L1753"/>
      <c r="M1753"/>
      <c r="N1753"/>
      <c r="O1753"/>
    </row>
    <row r="1754" spans="6:15">
      <c r="F1754"/>
      <c r="G1754"/>
      <c r="H1754"/>
      <c r="I1754"/>
      <c r="J1754"/>
      <c r="K1754"/>
      <c r="L1754"/>
      <c r="M1754"/>
      <c r="N1754"/>
      <c r="O1754"/>
    </row>
    <row r="1755" spans="6:15">
      <c r="F1755"/>
      <c r="G1755"/>
      <c r="H1755"/>
      <c r="I1755"/>
      <c r="J1755"/>
      <c r="K1755"/>
      <c r="L1755"/>
      <c r="M1755"/>
      <c r="N1755"/>
      <c r="O1755"/>
    </row>
    <row r="1756" spans="6:15">
      <c r="F1756"/>
      <c r="G1756"/>
      <c r="H1756"/>
      <c r="I1756"/>
      <c r="J1756"/>
      <c r="K1756"/>
      <c r="L1756"/>
      <c r="M1756"/>
      <c r="N1756"/>
      <c r="O1756"/>
    </row>
    <row r="1757" spans="6:15">
      <c r="F1757"/>
      <c r="G1757"/>
      <c r="H1757"/>
      <c r="I1757"/>
      <c r="J1757"/>
      <c r="K1757"/>
      <c r="L1757"/>
      <c r="M1757"/>
      <c r="N1757"/>
      <c r="O1757"/>
    </row>
    <row r="1758" spans="6:15">
      <c r="F1758"/>
      <c r="G1758"/>
      <c r="H1758"/>
      <c r="I1758"/>
      <c r="J1758"/>
      <c r="K1758"/>
      <c r="L1758"/>
      <c r="M1758"/>
      <c r="N1758"/>
      <c r="O1758"/>
    </row>
    <row r="1759" spans="6:15">
      <c r="F1759"/>
      <c r="G1759"/>
      <c r="H1759"/>
      <c r="I1759"/>
      <c r="J1759"/>
      <c r="K1759"/>
      <c r="L1759"/>
      <c r="M1759"/>
      <c r="N1759"/>
      <c r="O1759"/>
    </row>
    <row r="1760" spans="6:15">
      <c r="F1760"/>
      <c r="G1760"/>
      <c r="H1760"/>
      <c r="I1760"/>
      <c r="J1760"/>
      <c r="K1760"/>
      <c r="L1760"/>
      <c r="M1760"/>
      <c r="N1760"/>
      <c r="O1760"/>
    </row>
    <row r="1761" spans="6:15">
      <c r="F1761"/>
      <c r="G1761"/>
      <c r="H1761"/>
      <c r="I1761"/>
      <c r="J1761"/>
      <c r="K1761"/>
      <c r="L1761"/>
      <c r="M1761"/>
      <c r="N1761"/>
      <c r="O1761"/>
    </row>
    <row r="1762" spans="6:15">
      <c r="F1762"/>
      <c r="G1762"/>
      <c r="H1762"/>
      <c r="I1762"/>
      <c r="J1762"/>
      <c r="K1762"/>
      <c r="L1762"/>
      <c r="M1762"/>
      <c r="N1762"/>
      <c r="O1762"/>
    </row>
    <row r="1763" spans="6:15">
      <c r="F1763"/>
      <c r="G1763"/>
      <c r="H1763"/>
      <c r="I1763"/>
      <c r="J1763"/>
      <c r="K1763"/>
      <c r="L1763"/>
      <c r="M1763"/>
      <c r="N1763"/>
      <c r="O1763"/>
    </row>
    <row r="1764" spans="6:15">
      <c r="F1764"/>
      <c r="G1764"/>
      <c r="H1764"/>
      <c r="I1764"/>
      <c r="J1764"/>
      <c r="K1764"/>
      <c r="L1764"/>
      <c r="M1764"/>
      <c r="N1764"/>
      <c r="O1764"/>
    </row>
    <row r="1765" spans="6:15">
      <c r="F1765"/>
      <c r="G1765"/>
      <c r="H1765"/>
      <c r="I1765"/>
      <c r="J1765"/>
      <c r="K1765"/>
      <c r="L1765"/>
      <c r="M1765"/>
      <c r="N1765"/>
      <c r="O1765"/>
    </row>
    <row r="1766" spans="6:15">
      <c r="F1766"/>
      <c r="G1766"/>
      <c r="H1766"/>
      <c r="I1766"/>
      <c r="J1766"/>
      <c r="K1766"/>
      <c r="L1766"/>
      <c r="M1766"/>
      <c r="N1766"/>
      <c r="O1766"/>
    </row>
    <row r="1767" spans="6:15">
      <c r="F1767"/>
      <c r="G1767"/>
      <c r="H1767"/>
      <c r="I1767"/>
      <c r="J1767"/>
      <c r="K1767"/>
      <c r="L1767"/>
      <c r="M1767"/>
      <c r="N1767"/>
      <c r="O1767"/>
    </row>
    <row r="1768" spans="6:15">
      <c r="F1768"/>
      <c r="G1768"/>
      <c r="H1768"/>
      <c r="I1768"/>
      <c r="J1768"/>
      <c r="K1768"/>
      <c r="L1768"/>
      <c r="M1768"/>
      <c r="N1768"/>
      <c r="O1768"/>
    </row>
    <row r="1769" spans="6:15">
      <c r="F1769"/>
      <c r="G1769"/>
      <c r="H1769"/>
      <c r="I1769"/>
      <c r="J1769"/>
      <c r="K1769"/>
      <c r="L1769"/>
      <c r="M1769"/>
      <c r="N1769"/>
      <c r="O1769"/>
    </row>
    <row r="1770" spans="6:15">
      <c r="F1770"/>
      <c r="G1770"/>
      <c r="H1770"/>
      <c r="I1770"/>
      <c r="J1770"/>
      <c r="K1770"/>
      <c r="L1770"/>
      <c r="M1770"/>
      <c r="N1770"/>
      <c r="O1770"/>
    </row>
    <row r="1771" spans="6:15">
      <c r="F1771"/>
      <c r="G1771"/>
      <c r="H1771"/>
      <c r="I1771"/>
      <c r="J1771"/>
      <c r="K1771"/>
      <c r="L1771"/>
      <c r="M1771"/>
      <c r="N1771"/>
      <c r="O1771"/>
    </row>
    <row r="1772" spans="6:15">
      <c r="F1772"/>
      <c r="G1772"/>
      <c r="H1772"/>
      <c r="I1772"/>
      <c r="J1772"/>
      <c r="K1772"/>
      <c r="L1772"/>
      <c r="M1772"/>
      <c r="N1772"/>
      <c r="O1772"/>
    </row>
    <row r="1773" spans="6:15">
      <c r="F1773"/>
      <c r="G1773"/>
      <c r="H1773"/>
      <c r="I1773"/>
      <c r="J1773"/>
      <c r="K1773"/>
      <c r="L1773"/>
      <c r="M1773"/>
      <c r="N1773"/>
      <c r="O1773"/>
    </row>
    <row r="1774" spans="6:15">
      <c r="F1774"/>
      <c r="G1774"/>
      <c r="H1774"/>
      <c r="I1774"/>
      <c r="J1774"/>
      <c r="K1774"/>
      <c r="L1774"/>
      <c r="M1774"/>
      <c r="N1774"/>
      <c r="O1774"/>
    </row>
    <row r="1775" spans="6:15">
      <c r="F1775"/>
      <c r="G1775"/>
      <c r="H1775"/>
      <c r="I1775"/>
      <c r="J1775"/>
      <c r="K1775"/>
      <c r="L1775"/>
      <c r="M1775"/>
      <c r="N1775"/>
      <c r="O1775"/>
    </row>
    <row r="1776" spans="6:15">
      <c r="F1776"/>
      <c r="G1776"/>
      <c r="H1776"/>
      <c r="I1776"/>
      <c r="J1776"/>
      <c r="K1776"/>
      <c r="L1776"/>
      <c r="M1776"/>
      <c r="N1776"/>
      <c r="O1776"/>
    </row>
    <row r="1777" spans="6:15">
      <c r="F1777"/>
      <c r="G1777"/>
      <c r="H1777"/>
      <c r="I1777"/>
      <c r="J1777"/>
      <c r="K1777"/>
      <c r="L1777"/>
      <c r="M1777"/>
      <c r="N1777"/>
      <c r="O1777"/>
    </row>
    <row r="1778" spans="6:15">
      <c r="F1778"/>
      <c r="G1778"/>
      <c r="H1778"/>
      <c r="I1778"/>
      <c r="J1778"/>
      <c r="K1778"/>
      <c r="L1778"/>
      <c r="M1778"/>
      <c r="N1778"/>
      <c r="O1778"/>
    </row>
    <row r="1779" spans="6:15">
      <c r="F1779"/>
      <c r="G1779"/>
      <c r="H1779"/>
      <c r="I1779"/>
      <c r="J1779"/>
      <c r="K1779"/>
      <c r="L1779"/>
      <c r="M1779"/>
      <c r="N1779"/>
      <c r="O1779"/>
    </row>
    <row r="1780" spans="6:15">
      <c r="F1780"/>
      <c r="G1780"/>
      <c r="H1780"/>
      <c r="I1780"/>
      <c r="J1780"/>
      <c r="K1780"/>
      <c r="L1780"/>
      <c r="M1780"/>
      <c r="N1780"/>
      <c r="O1780"/>
    </row>
    <row r="1781" spans="6:15">
      <c r="F1781"/>
      <c r="G1781"/>
      <c r="H1781"/>
      <c r="I1781"/>
      <c r="J1781"/>
      <c r="K1781"/>
      <c r="L1781"/>
      <c r="M1781"/>
      <c r="N1781"/>
      <c r="O1781"/>
    </row>
    <row r="1782" spans="6:15">
      <c r="F1782"/>
      <c r="G1782"/>
      <c r="H1782"/>
      <c r="I1782"/>
      <c r="J1782"/>
      <c r="K1782"/>
      <c r="L1782"/>
      <c r="M1782"/>
      <c r="N1782"/>
      <c r="O1782"/>
    </row>
    <row r="1783" spans="6:15">
      <c r="F1783"/>
      <c r="G1783"/>
      <c r="H1783"/>
      <c r="I1783"/>
      <c r="J1783"/>
      <c r="K1783"/>
      <c r="L1783"/>
      <c r="M1783"/>
      <c r="N1783"/>
      <c r="O1783"/>
    </row>
    <row r="1784" spans="6:15">
      <c r="F1784"/>
      <c r="G1784"/>
      <c r="H1784"/>
      <c r="I1784"/>
      <c r="J1784"/>
      <c r="K1784"/>
      <c r="L1784"/>
      <c r="M1784"/>
      <c r="N1784"/>
      <c r="O1784"/>
    </row>
    <row r="1785" spans="6:15">
      <c r="F1785"/>
      <c r="G1785"/>
      <c r="H1785"/>
      <c r="I1785"/>
      <c r="J1785"/>
      <c r="K1785"/>
      <c r="L1785"/>
      <c r="M1785"/>
      <c r="N1785"/>
      <c r="O1785"/>
    </row>
    <row r="1786" spans="6:15">
      <c r="F1786"/>
      <c r="G1786"/>
      <c r="H1786"/>
      <c r="I1786"/>
      <c r="J1786"/>
      <c r="K1786"/>
      <c r="L1786"/>
      <c r="M1786"/>
      <c r="N1786"/>
      <c r="O1786"/>
    </row>
    <row r="1787" spans="6:15">
      <c r="F1787"/>
      <c r="G1787"/>
      <c r="H1787"/>
      <c r="I1787"/>
      <c r="J1787"/>
      <c r="K1787"/>
      <c r="L1787"/>
      <c r="M1787"/>
      <c r="N1787"/>
      <c r="O1787"/>
    </row>
    <row r="1788" spans="6:15">
      <c r="F1788"/>
      <c r="G1788"/>
      <c r="H1788"/>
      <c r="I1788"/>
      <c r="J1788"/>
      <c r="K1788"/>
      <c r="L1788"/>
      <c r="M1788"/>
      <c r="N1788"/>
      <c r="O1788"/>
    </row>
    <row r="1789" spans="6:15">
      <c r="F1789"/>
      <c r="G1789"/>
      <c r="H1789"/>
      <c r="I1789"/>
      <c r="J1789"/>
      <c r="K1789"/>
      <c r="L1789"/>
      <c r="M1789"/>
      <c r="N1789"/>
      <c r="O1789"/>
    </row>
    <row r="1790" spans="6:15">
      <c r="F1790"/>
      <c r="G1790"/>
      <c r="H1790"/>
      <c r="I1790"/>
      <c r="J1790"/>
      <c r="K1790"/>
      <c r="L1790"/>
      <c r="M1790"/>
      <c r="N1790"/>
      <c r="O1790"/>
    </row>
    <row r="1791" spans="6:15">
      <c r="F1791"/>
      <c r="G1791"/>
      <c r="H1791"/>
      <c r="I1791"/>
      <c r="J1791"/>
      <c r="K1791"/>
      <c r="L1791"/>
      <c r="M1791"/>
      <c r="N1791"/>
      <c r="O1791"/>
    </row>
    <row r="1792" spans="6:15">
      <c r="F1792"/>
      <c r="G1792"/>
      <c r="H1792"/>
      <c r="I1792"/>
      <c r="J1792"/>
      <c r="K1792"/>
      <c r="L1792"/>
      <c r="M1792"/>
      <c r="N1792"/>
      <c r="O1792"/>
    </row>
    <row r="1793" spans="6:15">
      <c r="F1793"/>
      <c r="G1793"/>
      <c r="H1793"/>
      <c r="I1793"/>
      <c r="J1793"/>
      <c r="K1793"/>
      <c r="L1793"/>
      <c r="M1793"/>
      <c r="N1793"/>
      <c r="O1793"/>
    </row>
    <row r="1794" spans="6:15">
      <c r="F1794"/>
      <c r="G1794"/>
      <c r="H1794"/>
      <c r="I1794"/>
      <c r="J1794"/>
      <c r="K1794"/>
      <c r="L1794"/>
      <c r="M1794"/>
      <c r="N1794"/>
      <c r="O1794"/>
    </row>
    <row r="1795" spans="6:15">
      <c r="F1795"/>
      <c r="G1795"/>
      <c r="H1795"/>
      <c r="I1795"/>
      <c r="J1795"/>
      <c r="K1795"/>
      <c r="L1795"/>
      <c r="M1795"/>
      <c r="N1795"/>
      <c r="O1795"/>
    </row>
    <row r="1796" spans="6:15">
      <c r="F1796"/>
      <c r="G1796"/>
      <c r="H1796"/>
      <c r="I1796"/>
      <c r="J1796"/>
      <c r="K1796"/>
      <c r="L1796"/>
      <c r="M1796"/>
      <c r="N1796"/>
      <c r="O1796"/>
    </row>
    <row r="1797" spans="6:15">
      <c r="F1797"/>
      <c r="G1797"/>
      <c r="H1797"/>
      <c r="I1797"/>
      <c r="J1797"/>
      <c r="K1797"/>
      <c r="L1797"/>
      <c r="M1797"/>
      <c r="N1797"/>
      <c r="O1797"/>
    </row>
    <row r="1798" spans="6:15">
      <c r="F1798"/>
      <c r="G1798"/>
      <c r="H1798"/>
      <c r="I1798"/>
      <c r="J1798"/>
      <c r="K1798"/>
      <c r="L1798"/>
      <c r="M1798"/>
      <c r="N1798"/>
      <c r="O1798"/>
    </row>
    <row r="1799" spans="6:15">
      <c r="F1799"/>
      <c r="G1799"/>
      <c r="H1799"/>
      <c r="I1799"/>
      <c r="J1799"/>
      <c r="K1799"/>
      <c r="L1799"/>
      <c r="M1799"/>
      <c r="N1799"/>
      <c r="O1799"/>
    </row>
    <row r="1800" spans="6:15">
      <c r="F1800"/>
      <c r="G1800"/>
      <c r="H1800"/>
      <c r="I1800"/>
      <c r="J1800"/>
      <c r="K1800"/>
      <c r="L1800"/>
      <c r="M1800"/>
      <c r="N1800"/>
      <c r="O1800"/>
    </row>
    <row r="1801" spans="6:15">
      <c r="F1801"/>
      <c r="G1801"/>
      <c r="H1801"/>
      <c r="I1801"/>
      <c r="J1801"/>
      <c r="K1801"/>
      <c r="L1801"/>
      <c r="M1801"/>
      <c r="N1801"/>
      <c r="O1801"/>
    </row>
    <row r="1802" spans="6:15">
      <c r="F1802"/>
      <c r="G1802"/>
      <c r="H1802"/>
      <c r="I1802"/>
      <c r="J1802"/>
      <c r="K1802"/>
      <c r="L1802"/>
      <c r="M1802"/>
      <c r="N1802"/>
      <c r="O1802"/>
    </row>
    <row r="1803" spans="6:15">
      <c r="F1803"/>
      <c r="G1803"/>
      <c r="H1803"/>
      <c r="I1803"/>
      <c r="J1803"/>
      <c r="K1803"/>
      <c r="L1803"/>
      <c r="M1803"/>
      <c r="N1803"/>
      <c r="O1803"/>
    </row>
    <row r="1804" spans="6:15">
      <c r="F1804"/>
      <c r="G1804"/>
      <c r="H1804"/>
      <c r="I1804"/>
      <c r="J1804"/>
      <c r="K1804"/>
      <c r="L1804"/>
      <c r="M1804"/>
      <c r="N1804"/>
      <c r="O1804"/>
    </row>
    <row r="1805" spans="6:15">
      <c r="F1805"/>
      <c r="G1805"/>
      <c r="H1805"/>
      <c r="I1805"/>
      <c r="J1805"/>
      <c r="K1805"/>
      <c r="L1805"/>
      <c r="M1805"/>
      <c r="N1805"/>
      <c r="O1805"/>
    </row>
    <row r="1806" spans="6:15">
      <c r="F1806"/>
      <c r="G1806"/>
      <c r="H1806"/>
      <c r="I1806"/>
      <c r="J1806"/>
      <c r="K1806"/>
      <c r="L1806"/>
      <c r="M1806"/>
      <c r="N1806"/>
      <c r="O1806"/>
    </row>
    <row r="1807" spans="6:15">
      <c r="F1807"/>
      <c r="G1807"/>
      <c r="H1807"/>
      <c r="I1807"/>
      <c r="J1807"/>
      <c r="K1807"/>
      <c r="L1807"/>
      <c r="M1807"/>
      <c r="N1807"/>
      <c r="O1807"/>
    </row>
    <row r="1808" spans="6:15">
      <c r="F1808"/>
      <c r="G1808"/>
      <c r="H1808"/>
      <c r="I1808"/>
      <c r="J1808"/>
      <c r="K1808"/>
      <c r="L1808"/>
      <c r="M1808"/>
      <c r="N1808"/>
      <c r="O1808"/>
    </row>
    <row r="1809" spans="6:15">
      <c r="F1809"/>
      <c r="G1809"/>
      <c r="H1809"/>
      <c r="I1809"/>
      <c r="J1809"/>
      <c r="K1809"/>
      <c r="L1809"/>
      <c r="M1809"/>
      <c r="N1809"/>
      <c r="O1809"/>
    </row>
    <row r="1810" spans="6:15">
      <c r="F1810"/>
      <c r="G1810"/>
      <c r="H1810"/>
      <c r="I1810"/>
      <c r="J1810"/>
      <c r="K1810"/>
      <c r="L1810"/>
      <c r="M1810"/>
      <c r="N1810"/>
      <c r="O1810"/>
    </row>
    <row r="1811" spans="6:15">
      <c r="F1811"/>
      <c r="G1811"/>
      <c r="H1811"/>
      <c r="I1811"/>
      <c r="J1811"/>
      <c r="K1811"/>
      <c r="L1811"/>
      <c r="M1811"/>
      <c r="N1811"/>
      <c r="O1811"/>
    </row>
    <row r="1812" spans="6:15">
      <c r="F1812"/>
      <c r="G1812"/>
      <c r="H1812"/>
      <c r="I1812"/>
      <c r="J1812"/>
      <c r="K1812"/>
      <c r="L1812"/>
      <c r="M1812"/>
      <c r="N1812"/>
      <c r="O1812"/>
    </row>
    <row r="1813" spans="6:15">
      <c r="F1813"/>
      <c r="G1813"/>
      <c r="H1813"/>
      <c r="I1813"/>
      <c r="J1813"/>
      <c r="K1813"/>
      <c r="L1813"/>
      <c r="M1813"/>
      <c r="N1813"/>
      <c r="O1813"/>
    </row>
    <row r="1814" spans="6:15">
      <c r="F1814"/>
      <c r="G1814"/>
      <c r="H1814"/>
      <c r="I1814"/>
      <c r="J1814"/>
      <c r="K1814"/>
      <c r="L1814"/>
      <c r="M1814"/>
      <c r="N1814"/>
      <c r="O1814"/>
    </row>
    <row r="1815" spans="6:15">
      <c r="F1815"/>
      <c r="G1815"/>
      <c r="H1815"/>
      <c r="I1815"/>
      <c r="J1815"/>
      <c r="K1815"/>
      <c r="L1815"/>
      <c r="M1815"/>
      <c r="N1815"/>
      <c r="O1815"/>
    </row>
    <row r="1816" spans="6:15">
      <c r="F1816"/>
      <c r="G1816"/>
      <c r="H1816"/>
      <c r="I1816"/>
      <c r="J1816"/>
      <c r="K1816"/>
      <c r="L1816"/>
      <c r="M1816"/>
      <c r="N1816"/>
      <c r="O1816"/>
    </row>
    <row r="1817" spans="6:15">
      <c r="F1817"/>
      <c r="G1817"/>
      <c r="H1817"/>
      <c r="I1817"/>
      <c r="J1817"/>
      <c r="K1817"/>
      <c r="L1817"/>
      <c r="M1817"/>
      <c r="N1817"/>
      <c r="O1817"/>
    </row>
    <row r="1818" spans="6:15">
      <c r="F1818"/>
      <c r="G1818"/>
      <c r="H1818"/>
      <c r="I1818"/>
      <c r="J1818"/>
      <c r="K1818"/>
      <c r="L1818"/>
      <c r="M1818"/>
      <c r="N1818"/>
      <c r="O1818"/>
    </row>
    <row r="1819" spans="6:15">
      <c r="F1819"/>
      <c r="G1819"/>
      <c r="H1819"/>
      <c r="I1819"/>
      <c r="J1819"/>
      <c r="K1819"/>
      <c r="L1819"/>
      <c r="M1819"/>
      <c r="N1819"/>
      <c r="O1819"/>
    </row>
    <row r="1820" spans="6:15">
      <c r="F1820"/>
      <c r="G1820"/>
      <c r="H1820"/>
      <c r="I1820"/>
      <c r="J1820"/>
      <c r="K1820"/>
      <c r="L1820"/>
      <c r="M1820"/>
      <c r="N1820"/>
      <c r="O1820"/>
    </row>
    <row r="1821" spans="6:15">
      <c r="F1821"/>
      <c r="G1821"/>
      <c r="H1821"/>
      <c r="I1821"/>
      <c r="J1821"/>
      <c r="K1821"/>
      <c r="L1821"/>
      <c r="M1821"/>
      <c r="N1821"/>
      <c r="O1821"/>
    </row>
    <row r="1822" spans="6:15">
      <c r="F1822"/>
      <c r="G1822"/>
      <c r="H1822"/>
      <c r="I1822"/>
      <c r="J1822"/>
      <c r="K1822"/>
      <c r="L1822"/>
      <c r="M1822"/>
      <c r="N1822"/>
      <c r="O1822"/>
    </row>
    <row r="1823" spans="6:15">
      <c r="F1823"/>
      <c r="G1823"/>
      <c r="H1823"/>
      <c r="I1823"/>
      <c r="J1823"/>
      <c r="K1823"/>
      <c r="L1823"/>
      <c r="M1823"/>
      <c r="N1823"/>
      <c r="O1823"/>
    </row>
    <row r="1824" spans="6:15">
      <c r="F1824"/>
      <c r="G1824"/>
      <c r="H1824"/>
      <c r="I1824"/>
      <c r="J1824"/>
      <c r="K1824"/>
      <c r="L1824"/>
      <c r="M1824"/>
      <c r="N1824"/>
      <c r="O1824"/>
    </row>
    <row r="1825" spans="6:15">
      <c r="F1825"/>
      <c r="G1825"/>
      <c r="H1825"/>
      <c r="I1825"/>
      <c r="J1825"/>
      <c r="K1825"/>
      <c r="L1825"/>
      <c r="M1825"/>
      <c r="N1825"/>
      <c r="O1825"/>
    </row>
    <row r="1826" spans="6:15">
      <c r="F1826"/>
      <c r="G1826"/>
      <c r="H1826"/>
      <c r="I1826"/>
      <c r="J1826"/>
      <c r="K1826"/>
      <c r="L1826"/>
      <c r="M1826"/>
      <c r="N1826"/>
      <c r="O1826"/>
    </row>
    <row r="1827" spans="6:15">
      <c r="F1827"/>
      <c r="G1827"/>
      <c r="H1827"/>
      <c r="I1827"/>
      <c r="J1827"/>
      <c r="K1827"/>
      <c r="L1827"/>
      <c r="M1827"/>
      <c r="N1827"/>
      <c r="O1827"/>
    </row>
    <row r="1828" spans="6:15">
      <c r="F1828"/>
      <c r="G1828"/>
      <c r="H1828"/>
      <c r="I1828"/>
      <c r="J1828"/>
      <c r="K1828"/>
      <c r="L1828"/>
      <c r="M1828"/>
      <c r="N1828"/>
      <c r="O1828"/>
    </row>
    <row r="1829" spans="6:15">
      <c r="F1829"/>
      <c r="G1829"/>
      <c r="H1829"/>
      <c r="I1829"/>
      <c r="J1829"/>
      <c r="K1829"/>
      <c r="L1829"/>
      <c r="M1829"/>
      <c r="N1829"/>
      <c r="O1829"/>
    </row>
    <row r="1830" spans="6:15">
      <c r="F1830"/>
      <c r="G1830"/>
      <c r="H1830"/>
      <c r="I1830"/>
      <c r="J1830"/>
      <c r="K1830"/>
      <c r="L1830"/>
      <c r="M1830"/>
      <c r="N1830"/>
      <c r="O1830"/>
    </row>
    <row r="1831" spans="6:15">
      <c r="F1831"/>
      <c r="G1831"/>
      <c r="H1831"/>
      <c r="I1831"/>
      <c r="J1831"/>
      <c r="K1831"/>
      <c r="L1831"/>
      <c r="M1831"/>
      <c r="N1831"/>
      <c r="O1831"/>
    </row>
    <row r="1832" spans="6:15">
      <c r="F1832"/>
      <c r="G1832"/>
      <c r="H1832"/>
      <c r="I1832"/>
      <c r="J1832"/>
      <c r="K1832"/>
      <c r="L1832"/>
      <c r="M1832"/>
      <c r="N1832"/>
      <c r="O1832"/>
    </row>
    <row r="1833" spans="6:15">
      <c r="F1833"/>
      <c r="G1833"/>
      <c r="H1833"/>
      <c r="I1833"/>
      <c r="J1833"/>
      <c r="K1833"/>
      <c r="L1833"/>
      <c r="M1833"/>
      <c r="N1833"/>
      <c r="O1833"/>
    </row>
    <row r="1834" spans="6:15">
      <c r="F1834"/>
      <c r="G1834"/>
      <c r="H1834"/>
      <c r="I1834"/>
      <c r="J1834"/>
      <c r="K1834"/>
      <c r="L1834"/>
      <c r="M1834"/>
      <c r="N1834"/>
      <c r="O1834"/>
    </row>
    <row r="1835" spans="6:15">
      <c r="F1835"/>
      <c r="G1835"/>
      <c r="H1835"/>
      <c r="I1835"/>
      <c r="J1835"/>
      <c r="K1835"/>
      <c r="L1835"/>
      <c r="M1835"/>
      <c r="N1835"/>
      <c r="O1835"/>
    </row>
    <row r="1836" spans="6:15">
      <c r="F1836"/>
      <c r="G1836"/>
      <c r="H1836"/>
      <c r="I1836"/>
      <c r="J1836"/>
      <c r="K1836"/>
      <c r="L1836"/>
      <c r="M1836"/>
      <c r="N1836"/>
      <c r="O1836"/>
    </row>
    <row r="1837" spans="6:15">
      <c r="F1837"/>
      <c r="G1837"/>
      <c r="H1837"/>
      <c r="I1837"/>
      <c r="J1837"/>
      <c r="K1837"/>
      <c r="L1837"/>
      <c r="M1837"/>
      <c r="N1837"/>
      <c r="O1837"/>
    </row>
    <row r="1838" spans="6:15">
      <c r="F1838"/>
      <c r="G1838"/>
      <c r="H1838"/>
      <c r="I1838"/>
      <c r="J1838"/>
      <c r="K1838"/>
      <c r="L1838"/>
      <c r="M1838"/>
      <c r="N1838"/>
      <c r="O1838"/>
    </row>
    <row r="1839" spans="6:15">
      <c r="F1839"/>
      <c r="G1839"/>
      <c r="H1839"/>
      <c r="I1839"/>
      <c r="J1839"/>
      <c r="K1839"/>
      <c r="L1839"/>
      <c r="M1839"/>
      <c r="N1839"/>
      <c r="O1839"/>
    </row>
    <row r="1840" spans="6:15">
      <c r="F1840"/>
      <c r="G1840"/>
      <c r="H1840"/>
      <c r="I1840"/>
      <c r="J1840"/>
      <c r="K1840"/>
      <c r="L1840"/>
      <c r="M1840"/>
      <c r="N1840"/>
      <c r="O1840"/>
    </row>
    <row r="1841" spans="6:15">
      <c r="F1841"/>
      <c r="G1841"/>
      <c r="H1841"/>
      <c r="I1841"/>
      <c r="J1841"/>
      <c r="K1841"/>
      <c r="L1841"/>
      <c r="M1841"/>
      <c r="N1841"/>
      <c r="O1841"/>
    </row>
    <row r="1842" spans="6:15">
      <c r="F1842"/>
      <c r="G1842"/>
      <c r="H1842"/>
      <c r="I1842"/>
      <c r="J1842"/>
      <c r="K1842"/>
      <c r="L1842"/>
      <c r="M1842"/>
      <c r="N1842"/>
      <c r="O1842"/>
    </row>
    <row r="1843" spans="6:15">
      <c r="F1843"/>
      <c r="G1843"/>
      <c r="H1843"/>
      <c r="I1843"/>
      <c r="J1843"/>
      <c r="K1843"/>
      <c r="L1843"/>
      <c r="M1843"/>
      <c r="N1843"/>
      <c r="O1843"/>
    </row>
    <row r="1844" spans="6:15">
      <c r="F1844"/>
      <c r="G1844"/>
      <c r="H1844"/>
      <c r="I1844"/>
      <c r="J1844"/>
      <c r="K1844"/>
      <c r="L1844"/>
      <c r="M1844"/>
      <c r="N1844"/>
      <c r="O1844"/>
    </row>
    <row r="1845" spans="6:15">
      <c r="F1845"/>
      <c r="G1845"/>
      <c r="H1845"/>
      <c r="I1845"/>
      <c r="J1845"/>
      <c r="K1845"/>
      <c r="L1845"/>
      <c r="M1845"/>
      <c r="N1845"/>
      <c r="O1845"/>
    </row>
    <row r="1846" spans="6:15">
      <c r="F1846"/>
      <c r="G1846"/>
      <c r="H1846"/>
      <c r="I1846"/>
      <c r="J1846"/>
      <c r="K1846"/>
      <c r="L1846"/>
      <c r="M1846"/>
      <c r="N1846"/>
      <c r="O1846"/>
    </row>
    <row r="1847" spans="6:15">
      <c r="F1847"/>
      <c r="G1847"/>
      <c r="H1847"/>
      <c r="I1847"/>
      <c r="J1847"/>
      <c r="K1847"/>
      <c r="L1847"/>
      <c r="M1847"/>
      <c r="N1847"/>
      <c r="O1847"/>
    </row>
    <row r="1848" spans="6:15">
      <c r="F1848"/>
      <c r="G1848"/>
      <c r="H1848"/>
      <c r="I1848"/>
      <c r="J1848"/>
      <c r="K1848"/>
      <c r="L1848"/>
      <c r="M1848"/>
      <c r="N1848"/>
      <c r="O1848"/>
    </row>
    <row r="1849" spans="6:15">
      <c r="F1849"/>
      <c r="G1849"/>
      <c r="H1849"/>
      <c r="I1849"/>
      <c r="J1849"/>
      <c r="K1849"/>
      <c r="L1849"/>
      <c r="M1849"/>
      <c r="N1849"/>
      <c r="O1849"/>
    </row>
    <row r="1850" spans="6:15">
      <c r="F1850"/>
      <c r="G1850"/>
      <c r="H1850"/>
      <c r="I1850"/>
      <c r="J1850"/>
      <c r="K1850"/>
      <c r="L1850"/>
      <c r="M1850"/>
      <c r="N1850"/>
      <c r="O1850"/>
    </row>
    <row r="1851" spans="6:15">
      <c r="F1851"/>
      <c r="G1851"/>
      <c r="H1851"/>
      <c r="I1851"/>
      <c r="J1851"/>
      <c r="K1851"/>
      <c r="L1851"/>
      <c r="M1851"/>
      <c r="N1851"/>
      <c r="O1851"/>
    </row>
    <row r="1852" spans="6:15">
      <c r="F1852"/>
      <c r="G1852"/>
      <c r="H1852"/>
      <c r="I1852"/>
      <c r="J1852"/>
      <c r="K1852"/>
      <c r="L1852"/>
      <c r="M1852"/>
      <c r="N1852"/>
      <c r="O1852"/>
    </row>
    <row r="1853" spans="6:15">
      <c r="F1853"/>
      <c r="G1853"/>
      <c r="H1853"/>
      <c r="I1853"/>
      <c r="J1853"/>
      <c r="K1853"/>
      <c r="L1853"/>
      <c r="M1853"/>
      <c r="N1853"/>
      <c r="O1853"/>
    </row>
    <row r="1854" spans="6:15">
      <c r="F1854"/>
      <c r="G1854"/>
      <c r="H1854"/>
      <c r="I1854"/>
      <c r="J1854"/>
      <c r="K1854"/>
      <c r="L1854"/>
      <c r="M1854"/>
      <c r="N1854"/>
      <c r="O1854"/>
    </row>
    <row r="1855" spans="6:15">
      <c r="F1855"/>
      <c r="G1855"/>
      <c r="H1855"/>
      <c r="I1855"/>
      <c r="J1855"/>
      <c r="K1855"/>
      <c r="L1855"/>
      <c r="M1855"/>
      <c r="N1855"/>
      <c r="O1855"/>
    </row>
    <row r="1856" spans="6:15">
      <c r="F1856"/>
      <c r="G1856"/>
      <c r="H1856"/>
      <c r="I1856"/>
      <c r="J1856"/>
      <c r="K1856"/>
      <c r="L1856"/>
      <c r="M1856"/>
      <c r="N1856"/>
      <c r="O1856"/>
    </row>
    <row r="1857" spans="6:15">
      <c r="F1857"/>
      <c r="G1857"/>
      <c r="H1857"/>
      <c r="I1857"/>
      <c r="J1857"/>
      <c r="K1857"/>
      <c r="L1857"/>
      <c r="M1857"/>
      <c r="N1857"/>
      <c r="O1857"/>
    </row>
    <row r="1858" spans="6:15">
      <c r="F1858"/>
      <c r="G1858"/>
      <c r="H1858"/>
      <c r="I1858"/>
      <c r="J1858"/>
      <c r="K1858"/>
      <c r="L1858"/>
      <c r="M1858"/>
      <c r="N1858"/>
      <c r="O1858"/>
    </row>
    <row r="1859" spans="6:15">
      <c r="F1859"/>
      <c r="G1859"/>
      <c r="H1859"/>
      <c r="I1859"/>
      <c r="J1859"/>
      <c r="K1859"/>
      <c r="L1859"/>
      <c r="M1859"/>
      <c r="N1859"/>
      <c r="O1859"/>
    </row>
    <row r="1860" spans="6:15">
      <c r="F1860"/>
      <c r="G1860"/>
      <c r="H1860"/>
      <c r="I1860"/>
      <c r="J1860"/>
      <c r="K1860"/>
      <c r="L1860"/>
      <c r="M1860"/>
      <c r="N1860"/>
      <c r="O1860"/>
    </row>
    <row r="1861" spans="6:15">
      <c r="F1861"/>
      <c r="G1861"/>
      <c r="H1861"/>
      <c r="I1861"/>
      <c r="J1861"/>
      <c r="K1861"/>
      <c r="L1861"/>
      <c r="M1861"/>
      <c r="N1861"/>
      <c r="O1861"/>
    </row>
    <row r="1862" spans="6:15">
      <c r="F1862"/>
      <c r="G1862"/>
      <c r="H1862"/>
      <c r="I1862"/>
      <c r="J1862"/>
      <c r="K1862"/>
      <c r="L1862"/>
      <c r="M1862"/>
      <c r="N1862"/>
      <c r="O1862"/>
    </row>
    <row r="1863" spans="6:15">
      <c r="F1863"/>
      <c r="G1863"/>
      <c r="H1863"/>
      <c r="I1863"/>
      <c r="J1863"/>
      <c r="K1863"/>
      <c r="L1863"/>
      <c r="M1863"/>
      <c r="N1863"/>
      <c r="O1863"/>
    </row>
    <row r="1864" spans="6:15">
      <c r="F1864"/>
      <c r="G1864"/>
      <c r="H1864"/>
      <c r="I1864"/>
      <c r="J1864"/>
      <c r="K1864"/>
      <c r="L1864"/>
      <c r="M1864"/>
      <c r="N1864"/>
      <c r="O1864"/>
    </row>
    <row r="1865" spans="6:15">
      <c r="F1865"/>
      <c r="G1865"/>
      <c r="H1865"/>
      <c r="I1865"/>
      <c r="J1865"/>
      <c r="K1865"/>
      <c r="L1865"/>
      <c r="M1865"/>
      <c r="N1865"/>
      <c r="O1865"/>
    </row>
    <row r="1866" spans="6:15">
      <c r="F1866"/>
      <c r="G1866"/>
      <c r="H1866"/>
      <c r="I1866"/>
      <c r="J1866"/>
      <c r="K1866"/>
      <c r="L1866"/>
      <c r="M1866"/>
      <c r="N1866"/>
      <c r="O1866"/>
    </row>
    <row r="1867" spans="6:15">
      <c r="F1867"/>
      <c r="G1867"/>
      <c r="H1867"/>
      <c r="I1867"/>
      <c r="J1867"/>
      <c r="K1867"/>
      <c r="L1867"/>
      <c r="M1867"/>
      <c r="N1867"/>
      <c r="O1867"/>
    </row>
    <row r="1868" spans="6:15">
      <c r="F1868"/>
      <c r="G1868"/>
      <c r="H1868"/>
      <c r="I1868"/>
      <c r="J1868"/>
      <c r="K1868"/>
      <c r="L1868"/>
      <c r="M1868"/>
      <c r="N1868"/>
      <c r="O1868"/>
    </row>
    <row r="1869" spans="6:15">
      <c r="F1869"/>
      <c r="G1869"/>
      <c r="H1869"/>
      <c r="I1869"/>
      <c r="J1869"/>
      <c r="K1869"/>
      <c r="L1869"/>
      <c r="M1869"/>
      <c r="N1869"/>
      <c r="O1869"/>
    </row>
    <row r="1870" spans="6:15">
      <c r="F1870"/>
      <c r="G1870"/>
      <c r="H1870"/>
      <c r="I1870"/>
      <c r="J1870"/>
      <c r="K1870"/>
      <c r="L1870"/>
      <c r="M1870"/>
      <c r="N1870"/>
      <c r="O1870"/>
    </row>
    <row r="1871" spans="6:15">
      <c r="F1871"/>
      <c r="G1871"/>
      <c r="H1871"/>
      <c r="I1871"/>
      <c r="J1871"/>
      <c r="K1871"/>
      <c r="L1871"/>
      <c r="M1871"/>
      <c r="N1871"/>
      <c r="O1871"/>
    </row>
    <row r="1872" spans="6:15">
      <c r="F1872"/>
      <c r="G1872"/>
      <c r="H1872"/>
      <c r="I1872"/>
      <c r="J1872"/>
      <c r="K1872"/>
      <c r="L1872"/>
      <c r="M1872"/>
      <c r="N1872"/>
      <c r="O1872"/>
    </row>
    <row r="1873" spans="6:15">
      <c r="F1873"/>
      <c r="G1873"/>
      <c r="H1873"/>
      <c r="I1873"/>
      <c r="J1873"/>
      <c r="K1873"/>
      <c r="L1873"/>
      <c r="M1873"/>
      <c r="N1873"/>
      <c r="O1873"/>
    </row>
    <row r="1874" spans="6:15">
      <c r="F1874"/>
      <c r="G1874"/>
      <c r="H1874"/>
      <c r="I1874"/>
      <c r="J1874"/>
      <c r="K1874"/>
      <c r="L1874"/>
      <c r="M1874"/>
      <c r="N1874"/>
      <c r="O1874"/>
    </row>
    <row r="1875" spans="6:15">
      <c r="F1875"/>
      <c r="G1875"/>
      <c r="H1875"/>
      <c r="I1875"/>
      <c r="J1875"/>
      <c r="K1875"/>
      <c r="L1875"/>
      <c r="M1875"/>
      <c r="N1875"/>
      <c r="O1875"/>
    </row>
    <row r="1876" spans="6:15">
      <c r="F1876"/>
      <c r="G1876"/>
      <c r="H1876"/>
      <c r="I1876"/>
      <c r="J1876"/>
      <c r="K1876"/>
      <c r="L1876"/>
      <c r="M1876"/>
      <c r="N1876"/>
      <c r="O1876"/>
    </row>
    <row r="1877" spans="6:15">
      <c r="F1877"/>
      <c r="G1877"/>
      <c r="H1877"/>
      <c r="I1877"/>
      <c r="J1877"/>
      <c r="K1877"/>
      <c r="L1877"/>
      <c r="M1877"/>
      <c r="N1877"/>
      <c r="O1877"/>
    </row>
    <row r="1878" spans="6:15">
      <c r="F1878"/>
      <c r="G1878"/>
      <c r="H1878"/>
      <c r="I1878"/>
      <c r="J1878"/>
      <c r="K1878"/>
      <c r="L1878"/>
      <c r="M1878"/>
      <c r="N1878"/>
      <c r="O1878"/>
    </row>
    <row r="1879" spans="6:15">
      <c r="F1879"/>
      <c r="G1879"/>
      <c r="H1879"/>
      <c r="I1879"/>
      <c r="J1879"/>
      <c r="K1879"/>
      <c r="L1879"/>
      <c r="M1879"/>
      <c r="N1879"/>
      <c r="O1879"/>
    </row>
    <row r="1880" spans="6:15">
      <c r="F1880"/>
      <c r="G1880"/>
      <c r="H1880"/>
      <c r="I1880"/>
      <c r="J1880"/>
      <c r="K1880"/>
      <c r="L1880"/>
      <c r="M1880"/>
      <c r="N1880"/>
      <c r="O1880"/>
    </row>
    <row r="1881" spans="6:15">
      <c r="F1881"/>
      <c r="G1881"/>
      <c r="H1881"/>
      <c r="I1881"/>
      <c r="J1881"/>
      <c r="K1881"/>
      <c r="L1881"/>
      <c r="M1881"/>
      <c r="N1881"/>
      <c r="O1881"/>
    </row>
    <row r="1882" spans="6:15">
      <c r="F1882"/>
      <c r="G1882"/>
      <c r="H1882"/>
      <c r="I1882"/>
      <c r="J1882"/>
      <c r="K1882"/>
      <c r="L1882"/>
      <c r="M1882"/>
      <c r="N1882"/>
      <c r="O1882"/>
    </row>
    <row r="1883" spans="6:15">
      <c r="F1883"/>
      <c r="G1883"/>
      <c r="H1883"/>
      <c r="I1883"/>
      <c r="J1883"/>
      <c r="K1883"/>
      <c r="L1883"/>
      <c r="M1883"/>
      <c r="N1883"/>
      <c r="O1883"/>
    </row>
    <row r="1884" spans="6:15">
      <c r="F1884"/>
      <c r="G1884"/>
      <c r="H1884"/>
      <c r="I1884"/>
      <c r="J1884"/>
      <c r="K1884"/>
      <c r="L1884"/>
      <c r="M1884"/>
      <c r="N1884"/>
      <c r="O1884"/>
    </row>
    <row r="1885" spans="6:15">
      <c r="F1885"/>
      <c r="G1885"/>
      <c r="H1885"/>
      <c r="I1885"/>
      <c r="J1885"/>
      <c r="K1885"/>
      <c r="L1885"/>
      <c r="M1885"/>
      <c r="N1885"/>
      <c r="O1885"/>
    </row>
    <row r="1886" spans="6:15">
      <c r="F1886"/>
      <c r="G1886"/>
      <c r="H1886"/>
      <c r="I1886"/>
      <c r="J1886"/>
      <c r="K1886"/>
      <c r="L1886"/>
      <c r="M1886"/>
      <c r="N1886"/>
      <c r="O1886"/>
    </row>
    <row r="1887" spans="6:15">
      <c r="F1887"/>
      <c r="G1887"/>
      <c r="H1887"/>
      <c r="I1887"/>
      <c r="J1887"/>
      <c r="K1887"/>
      <c r="L1887"/>
      <c r="M1887"/>
      <c r="N1887"/>
      <c r="O1887"/>
    </row>
    <row r="1888" spans="6:15">
      <c r="F1888"/>
      <c r="G1888"/>
      <c r="H1888"/>
      <c r="I1888"/>
      <c r="J1888"/>
      <c r="K1888"/>
      <c r="L1888"/>
      <c r="M1888"/>
      <c r="N1888"/>
      <c r="O1888"/>
    </row>
    <row r="1889" spans="6:15">
      <c r="F1889"/>
      <c r="G1889"/>
      <c r="H1889"/>
      <c r="I1889"/>
      <c r="J1889"/>
      <c r="K1889"/>
      <c r="L1889"/>
      <c r="M1889"/>
      <c r="N1889"/>
      <c r="O1889"/>
    </row>
    <row r="1890" spans="6:15">
      <c r="F1890"/>
      <c r="G1890"/>
      <c r="H1890"/>
      <c r="I1890"/>
      <c r="J1890"/>
      <c r="K1890"/>
      <c r="L1890"/>
      <c r="M1890"/>
      <c r="N1890"/>
      <c r="O1890"/>
    </row>
    <row r="1891" spans="6:15">
      <c r="F1891"/>
      <c r="G1891"/>
      <c r="H1891"/>
      <c r="I1891"/>
      <c r="J1891"/>
      <c r="K1891"/>
      <c r="L1891"/>
      <c r="M1891"/>
      <c r="N1891"/>
      <c r="O1891"/>
    </row>
    <row r="1892" spans="6:15">
      <c r="F1892"/>
      <c r="G1892"/>
      <c r="H1892"/>
      <c r="I1892"/>
      <c r="J1892"/>
      <c r="K1892"/>
      <c r="L1892"/>
      <c r="M1892"/>
      <c r="N1892"/>
      <c r="O1892"/>
    </row>
    <row r="1893" spans="6:15">
      <c r="F1893"/>
      <c r="G1893"/>
      <c r="H1893"/>
      <c r="I1893"/>
      <c r="J1893"/>
      <c r="K1893"/>
      <c r="L1893"/>
      <c r="M1893"/>
      <c r="N1893"/>
      <c r="O1893"/>
    </row>
    <row r="1894" spans="6:15">
      <c r="F1894"/>
      <c r="G1894"/>
      <c r="H1894"/>
      <c r="I1894"/>
      <c r="J1894"/>
      <c r="K1894"/>
      <c r="L1894"/>
      <c r="M1894"/>
      <c r="N1894"/>
      <c r="O1894"/>
    </row>
    <row r="1895" spans="6:15">
      <c r="F1895"/>
      <c r="G1895"/>
      <c r="H1895"/>
      <c r="I1895"/>
      <c r="J1895"/>
      <c r="K1895"/>
      <c r="L1895"/>
      <c r="M1895"/>
      <c r="N1895"/>
      <c r="O1895"/>
    </row>
    <row r="1896" spans="6:15">
      <c r="F1896"/>
      <c r="G1896"/>
      <c r="H1896"/>
      <c r="I1896"/>
      <c r="J1896"/>
      <c r="K1896"/>
      <c r="L1896"/>
      <c r="M1896"/>
      <c r="N1896"/>
      <c r="O1896"/>
    </row>
    <row r="1897" spans="6:15">
      <c r="F1897"/>
      <c r="G1897"/>
      <c r="H1897"/>
      <c r="I1897"/>
      <c r="J1897"/>
      <c r="K1897"/>
      <c r="L1897"/>
      <c r="M1897"/>
      <c r="N1897"/>
      <c r="O1897"/>
    </row>
    <row r="1898" spans="6:15">
      <c r="F1898"/>
      <c r="G1898"/>
      <c r="H1898"/>
      <c r="I1898"/>
      <c r="J1898"/>
      <c r="K1898"/>
      <c r="L1898"/>
      <c r="M1898"/>
      <c r="N1898"/>
      <c r="O1898"/>
    </row>
    <row r="1899" spans="6:15">
      <c r="F1899"/>
      <c r="G1899"/>
      <c r="H1899"/>
      <c r="I1899"/>
      <c r="J1899"/>
      <c r="K1899"/>
      <c r="L1899"/>
      <c r="M1899"/>
      <c r="N1899"/>
      <c r="O1899"/>
    </row>
    <row r="1900" spans="6:15">
      <c r="F1900"/>
      <c r="G1900"/>
      <c r="H1900"/>
      <c r="I1900"/>
      <c r="J1900"/>
      <c r="K1900"/>
      <c r="L1900"/>
      <c r="M1900"/>
      <c r="N1900"/>
      <c r="O1900"/>
    </row>
    <row r="1901" spans="6:15">
      <c r="F1901"/>
      <c r="G1901"/>
      <c r="H1901"/>
      <c r="I1901"/>
      <c r="J1901"/>
      <c r="K1901"/>
      <c r="L1901"/>
      <c r="M1901"/>
      <c r="N1901"/>
      <c r="O1901"/>
    </row>
    <row r="1902" spans="6:15">
      <c r="F1902"/>
      <c r="G1902"/>
      <c r="H1902"/>
      <c r="I1902"/>
      <c r="J1902"/>
      <c r="K1902"/>
      <c r="L1902"/>
      <c r="M1902"/>
      <c r="N1902"/>
      <c r="O1902"/>
    </row>
    <row r="1903" spans="6:15">
      <c r="F1903"/>
      <c r="G1903"/>
      <c r="H1903"/>
      <c r="I1903"/>
      <c r="J1903"/>
      <c r="K1903"/>
      <c r="L1903"/>
      <c r="M1903"/>
      <c r="N1903"/>
      <c r="O1903"/>
    </row>
    <row r="1904" spans="6:15">
      <c r="F1904"/>
      <c r="G1904"/>
      <c r="H1904"/>
      <c r="I1904"/>
      <c r="J1904"/>
      <c r="K1904"/>
      <c r="L1904"/>
      <c r="M1904"/>
      <c r="N1904"/>
      <c r="O1904"/>
    </row>
    <row r="1905" spans="6:15">
      <c r="F1905"/>
      <c r="G1905"/>
      <c r="H1905"/>
      <c r="I1905"/>
      <c r="J1905"/>
      <c r="K1905"/>
      <c r="L1905"/>
      <c r="M1905"/>
      <c r="N1905"/>
      <c r="O1905"/>
    </row>
    <row r="1906" spans="6:15">
      <c r="F1906"/>
      <c r="G1906"/>
      <c r="H1906"/>
      <c r="I1906"/>
      <c r="J1906"/>
      <c r="K1906"/>
      <c r="L1906"/>
      <c r="M1906"/>
      <c r="N1906"/>
      <c r="O1906"/>
    </row>
    <row r="1907" spans="6:15">
      <c r="F1907"/>
      <c r="G1907"/>
      <c r="H1907"/>
      <c r="I1907"/>
      <c r="J1907"/>
      <c r="K1907"/>
      <c r="L1907"/>
      <c r="M1907"/>
      <c r="N1907"/>
      <c r="O1907"/>
    </row>
    <row r="1908" spans="6:15">
      <c r="F1908"/>
      <c r="G1908"/>
      <c r="H1908"/>
      <c r="I1908"/>
      <c r="J1908"/>
      <c r="K1908"/>
      <c r="L1908"/>
      <c r="M1908"/>
      <c r="N1908"/>
      <c r="O1908"/>
    </row>
    <row r="1909" spans="6:15">
      <c r="F1909"/>
      <c r="G1909"/>
      <c r="H1909"/>
      <c r="I1909"/>
      <c r="J1909"/>
      <c r="K1909"/>
      <c r="L1909"/>
      <c r="M1909"/>
      <c r="N1909"/>
      <c r="O1909"/>
    </row>
    <row r="1910" spans="6:15">
      <c r="F1910"/>
      <c r="G1910"/>
      <c r="H1910"/>
      <c r="I1910"/>
      <c r="J1910"/>
      <c r="K1910"/>
      <c r="L1910"/>
      <c r="M1910"/>
      <c r="N1910"/>
      <c r="O1910"/>
    </row>
    <row r="1911" spans="6:15">
      <c r="F1911"/>
      <c r="G1911"/>
      <c r="H1911"/>
      <c r="I1911"/>
      <c r="J1911"/>
      <c r="K1911"/>
      <c r="L1911"/>
      <c r="M1911"/>
      <c r="N1911"/>
      <c r="O1911"/>
    </row>
    <row r="1912" spans="6:15">
      <c r="F1912"/>
      <c r="G1912"/>
      <c r="H1912"/>
      <c r="I1912"/>
      <c r="J1912"/>
      <c r="K1912"/>
      <c r="L1912"/>
      <c r="M1912"/>
      <c r="N1912"/>
      <c r="O1912"/>
    </row>
    <row r="1913" spans="6:15">
      <c r="F1913"/>
      <c r="G1913"/>
      <c r="H1913"/>
      <c r="I1913"/>
      <c r="J1913"/>
      <c r="K1913"/>
      <c r="L1913"/>
      <c r="M1913"/>
      <c r="N1913"/>
      <c r="O1913"/>
    </row>
    <row r="1914" spans="6:15">
      <c r="F1914"/>
      <c r="G1914"/>
      <c r="H1914"/>
      <c r="I1914"/>
      <c r="J1914"/>
      <c r="K1914"/>
      <c r="L1914"/>
      <c r="M1914"/>
      <c r="N1914"/>
      <c r="O1914"/>
    </row>
    <row r="1915" spans="6:15">
      <c r="F1915"/>
      <c r="G1915"/>
      <c r="H1915"/>
      <c r="I1915"/>
      <c r="J1915"/>
      <c r="K1915"/>
      <c r="L1915"/>
      <c r="M1915"/>
      <c r="N1915"/>
      <c r="O1915"/>
    </row>
    <row r="1916" spans="6:15">
      <c r="F1916"/>
      <c r="G1916"/>
      <c r="H1916"/>
      <c r="I1916"/>
      <c r="J1916"/>
      <c r="K1916"/>
      <c r="L1916"/>
      <c r="M1916"/>
      <c r="N1916"/>
      <c r="O1916"/>
    </row>
    <row r="1917" spans="6:15">
      <c r="F1917"/>
      <c r="G1917"/>
      <c r="H1917"/>
      <c r="I1917"/>
      <c r="J1917"/>
      <c r="K1917"/>
      <c r="L1917"/>
      <c r="M1917"/>
      <c r="N1917"/>
      <c r="O1917"/>
    </row>
    <row r="1918" spans="6:15">
      <c r="F1918"/>
      <c r="G1918"/>
      <c r="H1918"/>
      <c r="I1918"/>
      <c r="J1918"/>
      <c r="K1918"/>
      <c r="L1918"/>
      <c r="M1918"/>
      <c r="N1918"/>
      <c r="O1918"/>
    </row>
    <row r="1919" spans="6:15">
      <c r="F1919"/>
      <c r="G1919"/>
      <c r="H1919"/>
      <c r="I1919"/>
      <c r="J1919"/>
      <c r="K1919"/>
      <c r="L1919"/>
      <c r="M1919"/>
      <c r="N1919"/>
      <c r="O1919"/>
    </row>
    <row r="1920" spans="6:15">
      <c r="F1920"/>
      <c r="G1920"/>
      <c r="H1920"/>
      <c r="I1920"/>
      <c r="J1920"/>
      <c r="K1920"/>
      <c r="L1920"/>
      <c r="M1920"/>
      <c r="N1920"/>
      <c r="O1920"/>
    </row>
    <row r="1921" spans="6:15">
      <c r="F1921"/>
      <c r="G1921"/>
      <c r="H1921"/>
      <c r="I1921"/>
      <c r="J1921"/>
      <c r="K1921"/>
      <c r="L1921"/>
      <c r="M1921"/>
      <c r="N1921"/>
      <c r="O1921"/>
    </row>
    <row r="1922" spans="6:15">
      <c r="F1922"/>
      <c r="G1922"/>
      <c r="H1922"/>
      <c r="I1922"/>
      <c r="J1922"/>
      <c r="K1922"/>
      <c r="L1922"/>
      <c r="M1922"/>
      <c r="N1922"/>
      <c r="O1922"/>
    </row>
    <row r="1923" spans="6:15">
      <c r="F1923"/>
      <c r="G1923"/>
      <c r="H1923"/>
      <c r="I1923"/>
      <c r="J1923"/>
      <c r="K1923"/>
      <c r="L1923"/>
      <c r="M1923"/>
      <c r="N1923"/>
      <c r="O1923"/>
    </row>
    <row r="1924" spans="6:15">
      <c r="F1924"/>
      <c r="G1924"/>
      <c r="H1924"/>
      <c r="I1924"/>
      <c r="J1924"/>
      <c r="K1924"/>
      <c r="L1924"/>
      <c r="M1924"/>
      <c r="N1924"/>
      <c r="O1924"/>
    </row>
    <row r="1925" spans="6:15">
      <c r="F1925"/>
      <c r="G1925"/>
      <c r="H1925"/>
      <c r="I1925"/>
      <c r="J1925"/>
      <c r="K1925"/>
      <c r="L1925"/>
      <c r="M1925"/>
      <c r="N1925"/>
      <c r="O1925"/>
    </row>
    <row r="1926" spans="6:15">
      <c r="F1926"/>
      <c r="G1926"/>
      <c r="H1926"/>
      <c r="I1926"/>
      <c r="J1926"/>
      <c r="K1926"/>
      <c r="L1926"/>
      <c r="M1926"/>
      <c r="N1926"/>
      <c r="O1926"/>
    </row>
    <row r="1927" spans="6:15">
      <c r="F1927"/>
      <c r="G1927"/>
      <c r="H1927"/>
      <c r="I1927"/>
      <c r="J1927"/>
      <c r="K1927"/>
      <c r="L1927"/>
      <c r="M1927"/>
      <c r="N1927"/>
      <c r="O1927"/>
    </row>
    <row r="1928" spans="6:15">
      <c r="F1928"/>
      <c r="G1928"/>
      <c r="H1928"/>
      <c r="I1928"/>
      <c r="J1928"/>
      <c r="K1928"/>
      <c r="L1928"/>
      <c r="M1928"/>
      <c r="N1928"/>
      <c r="O1928"/>
    </row>
    <row r="1929" spans="6:15">
      <c r="F1929"/>
      <c r="G1929"/>
      <c r="H1929"/>
      <c r="I1929"/>
      <c r="J1929"/>
      <c r="K1929"/>
      <c r="L1929"/>
      <c r="M1929"/>
      <c r="N1929"/>
      <c r="O1929"/>
    </row>
    <row r="1930" spans="6:15">
      <c r="F1930"/>
      <c r="G1930"/>
      <c r="H1930"/>
      <c r="I1930"/>
      <c r="J1930"/>
      <c r="K1930"/>
      <c r="L1930"/>
      <c r="M1930"/>
      <c r="N1930"/>
      <c r="O1930"/>
    </row>
    <row r="1931" spans="6:15">
      <c r="F1931"/>
      <c r="G1931"/>
      <c r="H1931"/>
      <c r="I1931"/>
      <c r="J1931"/>
      <c r="K1931"/>
      <c r="L1931"/>
      <c r="M1931"/>
      <c r="N1931"/>
      <c r="O1931"/>
    </row>
    <row r="1932" spans="6:15">
      <c r="F1932"/>
      <c r="G1932"/>
      <c r="H1932"/>
      <c r="I1932"/>
      <c r="J1932"/>
      <c r="K1932"/>
      <c r="L1932"/>
      <c r="M1932"/>
      <c r="N1932"/>
      <c r="O1932"/>
    </row>
    <row r="1933" spans="6:15">
      <c r="F1933"/>
      <c r="G1933"/>
      <c r="H1933"/>
      <c r="I1933"/>
      <c r="J1933"/>
      <c r="K1933"/>
      <c r="L1933"/>
      <c r="M1933"/>
      <c r="N1933"/>
      <c r="O1933"/>
    </row>
    <row r="1934" spans="6:15">
      <c r="F1934"/>
      <c r="G1934"/>
      <c r="H1934"/>
      <c r="I1934"/>
      <c r="J1934"/>
      <c r="K1934"/>
      <c r="L1934"/>
      <c r="M1934"/>
      <c r="N1934"/>
      <c r="O1934"/>
    </row>
    <row r="1935" spans="6:15">
      <c r="F1935"/>
      <c r="G1935"/>
      <c r="H1935"/>
      <c r="I1935"/>
      <c r="J1935"/>
      <c r="K1935"/>
      <c r="L1935"/>
      <c r="M1935"/>
      <c r="N1935"/>
      <c r="O1935"/>
    </row>
    <row r="1936" spans="6:15">
      <c r="F1936"/>
      <c r="G1936"/>
      <c r="H1936"/>
      <c r="I1936"/>
      <c r="J1936"/>
      <c r="K1936"/>
      <c r="L1936"/>
      <c r="M1936"/>
      <c r="N1936"/>
      <c r="O1936"/>
    </row>
    <row r="1937" spans="6:15">
      <c r="F1937"/>
      <c r="G1937"/>
      <c r="H1937"/>
      <c r="I1937"/>
      <c r="J1937"/>
      <c r="K1937"/>
      <c r="L1937"/>
      <c r="M1937"/>
      <c r="N1937"/>
      <c r="O1937"/>
    </row>
    <row r="1938" spans="6:15">
      <c r="F1938"/>
      <c r="G1938"/>
      <c r="H1938"/>
      <c r="I1938"/>
      <c r="J1938"/>
      <c r="K1938"/>
      <c r="L1938"/>
      <c r="M1938"/>
      <c r="N1938"/>
      <c r="O1938"/>
    </row>
    <row r="1939" spans="6:15">
      <c r="F1939"/>
      <c r="G1939"/>
      <c r="H1939"/>
      <c r="I1939"/>
      <c r="J1939"/>
      <c r="K1939"/>
      <c r="L1939"/>
      <c r="M1939"/>
      <c r="N1939"/>
      <c r="O1939"/>
    </row>
    <row r="1940" spans="6:15">
      <c r="F1940"/>
      <c r="G1940"/>
      <c r="H1940"/>
      <c r="I1940"/>
      <c r="J1940"/>
      <c r="K1940"/>
      <c r="L1940"/>
      <c r="M1940"/>
      <c r="N1940"/>
      <c r="O1940"/>
    </row>
    <row r="1941" spans="6:15">
      <c r="F1941"/>
      <c r="G1941"/>
      <c r="H1941"/>
      <c r="I1941"/>
      <c r="J1941"/>
      <c r="K1941"/>
      <c r="L1941"/>
      <c r="M1941"/>
      <c r="N1941"/>
      <c r="O1941"/>
    </row>
    <row r="1942" spans="6:15">
      <c r="F1942"/>
      <c r="G1942"/>
      <c r="H1942"/>
      <c r="I1942"/>
      <c r="J1942"/>
      <c r="K1942"/>
      <c r="L1942"/>
      <c r="M1942"/>
      <c r="N1942"/>
      <c r="O1942"/>
    </row>
    <row r="1943" spans="6:15">
      <c r="F1943"/>
      <c r="G1943"/>
      <c r="H1943"/>
      <c r="I1943"/>
      <c r="J1943"/>
      <c r="K1943"/>
      <c r="L1943"/>
      <c r="M1943"/>
      <c r="N1943"/>
      <c r="O1943"/>
    </row>
    <row r="1944" spans="6:15">
      <c r="F1944"/>
      <c r="G1944"/>
      <c r="H1944"/>
      <c r="I1944"/>
      <c r="J1944"/>
      <c r="K1944"/>
      <c r="L1944"/>
      <c r="M1944"/>
      <c r="N1944"/>
      <c r="O1944"/>
    </row>
    <row r="1945" spans="6:15">
      <c r="F1945"/>
      <c r="G1945"/>
      <c r="H1945"/>
      <c r="I1945"/>
      <c r="J1945"/>
      <c r="K1945"/>
      <c r="L1945"/>
      <c r="M1945"/>
      <c r="N1945"/>
      <c r="O1945"/>
    </row>
    <row r="1946" spans="6:15">
      <c r="F1946"/>
      <c r="G1946"/>
      <c r="H1946"/>
      <c r="I1946"/>
      <c r="J1946"/>
      <c r="K1946"/>
      <c r="L1946"/>
      <c r="M1946"/>
      <c r="N1946"/>
      <c r="O1946"/>
    </row>
    <row r="1947" spans="6:15">
      <c r="F1947"/>
      <c r="G1947"/>
      <c r="H1947"/>
      <c r="I1947"/>
      <c r="J1947"/>
      <c r="K1947"/>
      <c r="L1947"/>
      <c r="M1947"/>
      <c r="N1947"/>
      <c r="O1947"/>
    </row>
    <row r="1948" spans="6:15">
      <c r="F1948"/>
      <c r="G1948"/>
      <c r="H1948"/>
      <c r="I1948"/>
      <c r="J1948"/>
      <c r="K1948"/>
      <c r="L1948"/>
      <c r="M1948"/>
      <c r="N1948"/>
      <c r="O1948"/>
    </row>
    <row r="1949" spans="6:15">
      <c r="F1949"/>
      <c r="G1949"/>
      <c r="H1949"/>
      <c r="I1949"/>
      <c r="J1949"/>
      <c r="K1949"/>
      <c r="L1949"/>
      <c r="M1949"/>
      <c r="N1949"/>
      <c r="O1949"/>
    </row>
    <row r="1950" spans="6:15">
      <c r="F1950"/>
      <c r="G1950"/>
      <c r="H1950"/>
      <c r="I1950"/>
      <c r="J1950"/>
      <c r="K1950"/>
      <c r="L1950"/>
      <c r="M1950"/>
      <c r="N1950"/>
      <c r="O1950"/>
    </row>
    <row r="1951" spans="6:15">
      <c r="F1951"/>
      <c r="G1951"/>
      <c r="H1951"/>
      <c r="I1951"/>
      <c r="J1951"/>
      <c r="K1951"/>
      <c r="L1951"/>
      <c r="M1951"/>
      <c r="N1951"/>
      <c r="O1951"/>
    </row>
    <row r="1952" spans="6:15">
      <c r="F1952"/>
      <c r="G1952"/>
      <c r="H1952"/>
      <c r="I1952"/>
      <c r="J1952"/>
      <c r="K1952"/>
      <c r="L1952"/>
      <c r="M1952"/>
      <c r="N1952"/>
      <c r="O1952"/>
    </row>
    <row r="1953" spans="6:15">
      <c r="F1953"/>
      <c r="G1953"/>
      <c r="H1953"/>
      <c r="I1953"/>
      <c r="J1953"/>
      <c r="K1953"/>
      <c r="L1953"/>
      <c r="M1953"/>
      <c r="N1953"/>
      <c r="O1953"/>
    </row>
    <row r="1954" spans="6:15">
      <c r="F1954"/>
      <c r="G1954"/>
      <c r="H1954"/>
      <c r="I1954"/>
      <c r="J1954"/>
      <c r="K1954"/>
      <c r="L1954"/>
      <c r="M1954"/>
      <c r="N1954"/>
      <c r="O1954"/>
    </row>
    <row r="1955" spans="6:15">
      <c r="F1955"/>
      <c r="G1955"/>
      <c r="H1955"/>
      <c r="I1955"/>
      <c r="J1955"/>
      <c r="K1955"/>
      <c r="L1955"/>
      <c r="M1955"/>
      <c r="N1955"/>
      <c r="O1955"/>
    </row>
    <row r="1956" spans="6:15">
      <c r="F1956"/>
      <c r="G1956"/>
      <c r="H1956"/>
      <c r="I1956"/>
      <c r="J1956"/>
      <c r="K1956"/>
      <c r="L1956"/>
      <c r="M1956"/>
      <c r="N1956"/>
      <c r="O1956"/>
    </row>
    <row r="1957" spans="6:15">
      <c r="F1957"/>
      <c r="G1957"/>
      <c r="H1957"/>
      <c r="I1957"/>
      <c r="J1957"/>
      <c r="K1957"/>
      <c r="L1957"/>
      <c r="M1957"/>
      <c r="N1957"/>
      <c r="O1957"/>
    </row>
    <row r="1958" spans="6:15">
      <c r="F1958"/>
      <c r="G1958"/>
      <c r="H1958"/>
      <c r="I1958"/>
      <c r="J1958"/>
      <c r="K1958"/>
      <c r="L1958"/>
      <c r="M1958"/>
      <c r="N1958"/>
      <c r="O1958"/>
    </row>
    <row r="1959" spans="6:15">
      <c r="F1959"/>
      <c r="G1959"/>
      <c r="H1959"/>
      <c r="I1959"/>
      <c r="J1959"/>
      <c r="K1959"/>
      <c r="L1959"/>
      <c r="M1959"/>
      <c r="N1959"/>
      <c r="O1959"/>
    </row>
    <row r="1960" spans="6:15">
      <c r="F1960"/>
      <c r="G1960"/>
      <c r="H1960"/>
      <c r="I1960"/>
      <c r="J1960"/>
      <c r="K1960"/>
      <c r="L1960"/>
      <c r="M1960"/>
      <c r="N1960"/>
      <c r="O1960"/>
    </row>
    <row r="1961" spans="6:15">
      <c r="F1961"/>
      <c r="G1961"/>
      <c r="H1961"/>
      <c r="I1961"/>
      <c r="J1961"/>
      <c r="K1961"/>
      <c r="L1961"/>
      <c r="M1961"/>
      <c r="N1961"/>
      <c r="O1961"/>
    </row>
    <row r="1962" spans="6:15">
      <c r="F1962"/>
      <c r="G1962"/>
      <c r="H1962"/>
      <c r="I1962"/>
      <c r="J1962"/>
      <c r="K1962"/>
      <c r="L1962"/>
      <c r="M1962"/>
      <c r="N1962"/>
      <c r="O1962"/>
    </row>
    <row r="1963" spans="6:15">
      <c r="F1963"/>
      <c r="G1963"/>
      <c r="H1963"/>
      <c r="I1963"/>
      <c r="J1963"/>
      <c r="K1963"/>
      <c r="L1963"/>
      <c r="M1963"/>
      <c r="N1963"/>
      <c r="O1963"/>
    </row>
    <row r="1964" spans="6:15">
      <c r="F1964"/>
      <c r="G1964"/>
      <c r="H1964"/>
      <c r="I1964"/>
      <c r="J1964"/>
      <c r="K1964"/>
      <c r="L1964"/>
      <c r="M1964"/>
      <c r="N1964"/>
      <c r="O1964"/>
    </row>
    <row r="1965" spans="6:15">
      <c r="F1965"/>
      <c r="G1965"/>
      <c r="H1965"/>
      <c r="I1965"/>
      <c r="J1965"/>
      <c r="K1965"/>
      <c r="L1965"/>
      <c r="M1965"/>
      <c r="N1965"/>
      <c r="O1965"/>
    </row>
    <row r="1966" spans="6:15">
      <c r="F1966"/>
      <c r="G1966"/>
      <c r="H1966"/>
      <c r="I1966"/>
      <c r="J1966"/>
      <c r="K1966"/>
      <c r="L1966"/>
      <c r="M1966"/>
      <c r="N1966"/>
      <c r="O1966"/>
    </row>
    <row r="1967" spans="6:15">
      <c r="F1967"/>
      <c r="G1967"/>
      <c r="H1967"/>
      <c r="I1967"/>
      <c r="J1967"/>
      <c r="K1967"/>
      <c r="L1967"/>
      <c r="M1967"/>
      <c r="N1967"/>
      <c r="O1967"/>
    </row>
    <row r="1968" spans="6:15">
      <c r="F1968"/>
      <c r="G1968"/>
      <c r="H1968"/>
      <c r="I1968"/>
      <c r="J1968"/>
      <c r="K1968"/>
      <c r="L1968"/>
      <c r="M1968"/>
      <c r="N1968"/>
      <c r="O1968"/>
    </row>
    <row r="1969" spans="6:15">
      <c r="F1969"/>
      <c r="G1969"/>
      <c r="H1969"/>
      <c r="I1969"/>
      <c r="J1969"/>
      <c r="K1969"/>
      <c r="L1969"/>
      <c r="M1969"/>
      <c r="N1969"/>
      <c r="O1969"/>
    </row>
    <row r="1970" spans="6:15">
      <c r="F1970"/>
      <c r="G1970"/>
      <c r="H1970"/>
      <c r="I1970"/>
      <c r="J1970"/>
      <c r="K1970"/>
      <c r="L1970"/>
      <c r="M1970"/>
      <c r="N1970"/>
      <c r="O1970"/>
    </row>
    <row r="1971" spans="6:15">
      <c r="F1971"/>
      <c r="G1971"/>
      <c r="H1971"/>
      <c r="I1971"/>
      <c r="J1971"/>
      <c r="K1971"/>
      <c r="L1971"/>
      <c r="M1971"/>
      <c r="N1971"/>
      <c r="O1971"/>
    </row>
    <row r="1972" spans="6:15">
      <c r="F1972"/>
      <c r="G1972"/>
      <c r="H1972"/>
      <c r="I1972"/>
      <c r="J1972"/>
      <c r="K1972"/>
      <c r="L1972"/>
      <c r="M1972"/>
      <c r="N1972"/>
      <c r="O1972"/>
    </row>
    <row r="1973" spans="6:15">
      <c r="F1973"/>
      <c r="G1973"/>
      <c r="H1973"/>
      <c r="I1973"/>
      <c r="J1973"/>
      <c r="K1973"/>
      <c r="L1973"/>
      <c r="M1973"/>
      <c r="N1973"/>
      <c r="O1973"/>
    </row>
    <row r="1974" spans="6:15">
      <c r="F1974"/>
      <c r="G1974"/>
      <c r="H1974"/>
      <c r="I1974"/>
      <c r="J1974"/>
      <c r="K1974"/>
      <c r="L1974"/>
      <c r="M1974"/>
      <c r="N1974"/>
      <c r="O1974"/>
    </row>
    <row r="1975" spans="6:15">
      <c r="F1975"/>
      <c r="G1975"/>
      <c r="H1975"/>
      <c r="I1975"/>
      <c r="J1975"/>
      <c r="K1975"/>
      <c r="L1975"/>
      <c r="M1975"/>
      <c r="N1975"/>
      <c r="O1975"/>
    </row>
    <row r="1976" spans="6:15">
      <c r="F1976"/>
      <c r="G1976"/>
      <c r="H1976"/>
      <c r="I1976"/>
      <c r="J1976"/>
      <c r="K1976"/>
      <c r="L1976"/>
      <c r="M1976"/>
      <c r="N1976"/>
      <c r="O1976"/>
    </row>
    <row r="1977" spans="6:15">
      <c r="F1977"/>
      <c r="G1977"/>
      <c r="H1977"/>
      <c r="I1977"/>
      <c r="J1977"/>
      <c r="K1977"/>
      <c r="L1977"/>
      <c r="M1977"/>
      <c r="N1977"/>
      <c r="O1977"/>
    </row>
    <row r="1978" spans="6:15">
      <c r="F1978"/>
      <c r="G1978"/>
      <c r="H1978"/>
      <c r="I1978"/>
      <c r="J1978"/>
      <c r="K1978"/>
      <c r="L1978"/>
      <c r="M1978"/>
      <c r="N1978"/>
      <c r="O1978"/>
    </row>
    <row r="1979" spans="6:15">
      <c r="F1979"/>
      <c r="G1979"/>
      <c r="H1979"/>
      <c r="I1979"/>
      <c r="J1979"/>
      <c r="K1979"/>
      <c r="L1979"/>
      <c r="M1979"/>
      <c r="N1979"/>
      <c r="O1979"/>
    </row>
    <row r="1980" spans="6:15">
      <c r="F1980"/>
      <c r="G1980"/>
      <c r="H1980"/>
      <c r="I1980"/>
      <c r="J1980"/>
      <c r="K1980"/>
      <c r="L1980"/>
      <c r="M1980"/>
      <c r="N1980"/>
      <c r="O1980"/>
    </row>
    <row r="1981" spans="6:15">
      <c r="F1981"/>
      <c r="G1981"/>
      <c r="H1981"/>
      <c r="I1981"/>
      <c r="J1981"/>
      <c r="K1981"/>
      <c r="L1981"/>
      <c r="M1981"/>
      <c r="N1981"/>
      <c r="O1981"/>
    </row>
    <row r="1982" spans="6:15">
      <c r="F1982"/>
      <c r="G1982"/>
      <c r="H1982"/>
      <c r="I1982"/>
      <c r="J1982"/>
      <c r="K1982"/>
      <c r="L1982"/>
      <c r="M1982"/>
      <c r="N1982"/>
      <c r="O1982"/>
    </row>
    <row r="1983" spans="6:15">
      <c r="F1983"/>
      <c r="G1983"/>
      <c r="H1983"/>
      <c r="I1983"/>
      <c r="J1983"/>
      <c r="K1983"/>
      <c r="L1983"/>
      <c r="M1983"/>
      <c r="N1983"/>
      <c r="O1983"/>
    </row>
    <row r="1984" spans="6:15">
      <c r="F1984"/>
      <c r="G1984"/>
      <c r="H1984"/>
      <c r="I1984"/>
      <c r="J1984"/>
      <c r="K1984"/>
      <c r="L1984"/>
      <c r="M1984"/>
      <c r="N1984"/>
      <c r="O1984"/>
    </row>
    <row r="1985" spans="6:15">
      <c r="F1985"/>
      <c r="G1985"/>
      <c r="H1985"/>
      <c r="I1985"/>
      <c r="J1985"/>
      <c r="K1985"/>
      <c r="L1985"/>
      <c r="M1985"/>
      <c r="N1985"/>
      <c r="O1985"/>
    </row>
    <row r="1986" spans="6:15">
      <c r="F1986"/>
      <c r="G1986"/>
      <c r="H1986"/>
      <c r="I1986"/>
      <c r="J1986"/>
      <c r="K1986"/>
      <c r="L1986"/>
      <c r="M1986"/>
      <c r="N1986"/>
      <c r="O1986"/>
    </row>
    <row r="1987" spans="6:15">
      <c r="F1987"/>
      <c r="G1987"/>
      <c r="H1987"/>
      <c r="I1987"/>
      <c r="J1987"/>
      <c r="K1987"/>
      <c r="L1987"/>
      <c r="M1987"/>
      <c r="N1987"/>
      <c r="O1987"/>
    </row>
    <row r="1988" spans="6:15">
      <c r="F1988"/>
      <c r="G1988"/>
      <c r="H1988"/>
      <c r="I1988"/>
      <c r="J1988"/>
      <c r="K1988"/>
      <c r="L1988"/>
      <c r="M1988"/>
      <c r="N1988"/>
      <c r="O1988"/>
    </row>
    <row r="1989" spans="6:15">
      <c r="F1989"/>
      <c r="G1989"/>
      <c r="H1989"/>
      <c r="I1989"/>
      <c r="J1989"/>
      <c r="K1989"/>
      <c r="L1989"/>
      <c r="M1989"/>
      <c r="N1989"/>
      <c r="O1989"/>
    </row>
    <row r="1990" spans="6:15">
      <c r="F1990"/>
      <c r="G1990"/>
      <c r="H1990"/>
      <c r="I1990"/>
      <c r="J1990"/>
      <c r="K1990"/>
      <c r="L1990"/>
      <c r="M1990"/>
      <c r="N1990"/>
      <c r="O1990"/>
    </row>
    <row r="1991" spans="6:15">
      <c r="F1991"/>
      <c r="G1991"/>
      <c r="H1991"/>
      <c r="I1991"/>
      <c r="J1991"/>
      <c r="K1991"/>
      <c r="L1991"/>
      <c r="M1991"/>
      <c r="N1991"/>
      <c r="O1991"/>
    </row>
    <row r="1992" spans="6:15">
      <c r="F1992"/>
      <c r="G1992"/>
      <c r="H1992"/>
      <c r="I1992"/>
      <c r="J1992"/>
      <c r="K1992"/>
      <c r="L1992"/>
      <c r="M1992"/>
      <c r="N1992"/>
      <c r="O1992"/>
    </row>
    <row r="1993" spans="6:15">
      <c r="F1993"/>
      <c r="G1993"/>
      <c r="H1993"/>
      <c r="I1993"/>
      <c r="J1993"/>
      <c r="K1993"/>
      <c r="L1993"/>
      <c r="M1993"/>
      <c r="N1993"/>
      <c r="O1993"/>
    </row>
    <row r="1994" spans="6:15">
      <c r="F1994"/>
      <c r="G1994"/>
      <c r="H1994"/>
      <c r="I1994"/>
      <c r="J1994"/>
      <c r="K1994"/>
      <c r="L1994"/>
      <c r="M1994"/>
      <c r="N1994"/>
      <c r="O1994"/>
    </row>
    <row r="1995" spans="6:15">
      <c r="F1995"/>
      <c r="G1995"/>
      <c r="H1995"/>
      <c r="I1995"/>
      <c r="J1995"/>
      <c r="K1995"/>
      <c r="L1995"/>
      <c r="M1995"/>
      <c r="N1995"/>
      <c r="O1995"/>
    </row>
    <row r="1996" spans="6:15">
      <c r="F1996"/>
      <c r="G1996"/>
      <c r="H1996"/>
      <c r="I1996"/>
      <c r="J1996"/>
      <c r="K1996"/>
      <c r="L1996"/>
      <c r="M1996"/>
      <c r="N1996"/>
      <c r="O1996"/>
    </row>
    <row r="1997" spans="6:15">
      <c r="F1997"/>
      <c r="G1997"/>
      <c r="H1997"/>
      <c r="I1997"/>
      <c r="J1997"/>
      <c r="K1997"/>
      <c r="L1997"/>
      <c r="M1997"/>
      <c r="N1997"/>
      <c r="O1997"/>
    </row>
    <row r="1998" spans="6:15">
      <c r="F1998"/>
      <c r="G1998"/>
      <c r="H1998"/>
      <c r="I1998"/>
      <c r="J1998"/>
      <c r="K1998"/>
      <c r="L1998"/>
      <c r="M1998"/>
      <c r="N1998"/>
      <c r="O1998"/>
    </row>
    <row r="1999" spans="6:15">
      <c r="F1999"/>
      <c r="G1999"/>
      <c r="H1999"/>
      <c r="I1999"/>
      <c r="J1999"/>
      <c r="K1999"/>
      <c r="L1999"/>
      <c r="M1999"/>
      <c r="N1999"/>
      <c r="O1999"/>
    </row>
    <row r="2000" spans="6:15">
      <c r="F2000"/>
      <c r="G2000"/>
      <c r="H2000"/>
      <c r="I2000"/>
      <c r="J2000"/>
      <c r="K2000"/>
      <c r="L2000"/>
      <c r="M2000"/>
      <c r="N2000"/>
      <c r="O2000"/>
    </row>
    <row r="2001" spans="6:15">
      <c r="F2001"/>
      <c r="G2001"/>
      <c r="H2001"/>
      <c r="I2001"/>
      <c r="J2001"/>
      <c r="K2001"/>
      <c r="L2001"/>
      <c r="M2001"/>
      <c r="N2001"/>
      <c r="O2001"/>
    </row>
    <row r="2002" spans="6:15">
      <c r="F2002"/>
      <c r="G2002"/>
      <c r="H2002"/>
      <c r="I2002"/>
      <c r="J2002"/>
      <c r="K2002"/>
      <c r="L2002"/>
      <c r="M2002"/>
      <c r="N2002"/>
      <c r="O2002"/>
    </row>
    <row r="2003" spans="6:15">
      <c r="F2003"/>
      <c r="G2003"/>
      <c r="H2003"/>
      <c r="I2003"/>
      <c r="J2003"/>
      <c r="K2003"/>
      <c r="L2003"/>
      <c r="M2003"/>
      <c r="N2003"/>
      <c r="O2003"/>
    </row>
    <row r="2004" spans="6:15">
      <c r="F2004"/>
      <c r="G2004"/>
      <c r="H2004"/>
      <c r="I2004"/>
      <c r="J2004"/>
      <c r="K2004"/>
      <c r="L2004"/>
      <c r="M2004"/>
      <c r="N2004"/>
      <c r="O2004"/>
    </row>
    <row r="2005" spans="6:15">
      <c r="F2005"/>
      <c r="G2005"/>
      <c r="H2005"/>
      <c r="I2005"/>
      <c r="J2005"/>
      <c r="K2005"/>
      <c r="L2005"/>
      <c r="M2005"/>
      <c r="N2005"/>
      <c r="O2005"/>
    </row>
    <row r="2006" spans="6:15">
      <c r="F2006"/>
      <c r="G2006"/>
      <c r="H2006"/>
      <c r="I2006"/>
      <c r="J2006"/>
      <c r="K2006"/>
      <c r="L2006"/>
      <c r="M2006"/>
      <c r="N2006"/>
      <c r="O2006"/>
    </row>
    <row r="2007" spans="6:15">
      <c r="F2007"/>
      <c r="G2007"/>
      <c r="H2007"/>
      <c r="I2007"/>
      <c r="J2007"/>
      <c r="K2007"/>
      <c r="L2007"/>
      <c r="M2007"/>
      <c r="N2007"/>
      <c r="O2007"/>
    </row>
    <row r="2008" spans="6:15">
      <c r="F2008"/>
      <c r="G2008"/>
      <c r="H2008"/>
      <c r="I2008"/>
      <c r="J2008"/>
      <c r="K2008"/>
      <c r="L2008"/>
      <c r="M2008"/>
      <c r="N2008"/>
      <c r="O2008"/>
    </row>
    <row r="2009" spans="6:15">
      <c r="F2009"/>
      <c r="G2009"/>
      <c r="H2009"/>
      <c r="I2009"/>
      <c r="J2009"/>
      <c r="K2009"/>
      <c r="L2009"/>
      <c r="M2009"/>
      <c r="N2009"/>
      <c r="O2009"/>
    </row>
    <row r="2010" spans="6:15">
      <c r="F2010"/>
      <c r="G2010"/>
      <c r="H2010"/>
      <c r="I2010"/>
      <c r="J2010"/>
      <c r="K2010"/>
      <c r="L2010"/>
      <c r="M2010"/>
      <c r="N2010"/>
      <c r="O2010"/>
    </row>
    <row r="2011" spans="6:15">
      <c r="F2011"/>
      <c r="G2011"/>
      <c r="H2011"/>
      <c r="I2011"/>
      <c r="J2011"/>
      <c r="K2011"/>
      <c r="L2011"/>
      <c r="M2011"/>
      <c r="N2011"/>
      <c r="O2011"/>
    </row>
    <row r="2012" spans="6:15">
      <c r="F2012"/>
      <c r="G2012"/>
      <c r="H2012"/>
      <c r="I2012"/>
      <c r="J2012"/>
      <c r="K2012"/>
      <c r="L2012"/>
      <c r="M2012"/>
      <c r="N2012"/>
      <c r="O2012"/>
    </row>
    <row r="2013" spans="6:15">
      <c r="F2013"/>
      <c r="G2013"/>
      <c r="H2013"/>
      <c r="I2013"/>
      <c r="J2013"/>
      <c r="K2013"/>
      <c r="L2013"/>
      <c r="M2013"/>
      <c r="N2013"/>
      <c r="O2013"/>
    </row>
    <row r="2014" spans="6:15">
      <c r="F2014"/>
      <c r="G2014"/>
      <c r="H2014"/>
      <c r="I2014"/>
      <c r="J2014"/>
      <c r="K2014"/>
      <c r="L2014"/>
      <c r="M2014"/>
      <c r="N2014"/>
      <c r="O2014"/>
    </row>
    <row r="2015" spans="6:15">
      <c r="F2015"/>
      <c r="G2015"/>
      <c r="H2015"/>
      <c r="I2015"/>
      <c r="J2015"/>
      <c r="K2015"/>
      <c r="L2015"/>
      <c r="M2015"/>
      <c r="N2015"/>
      <c r="O2015"/>
    </row>
    <row r="2016" spans="6:15">
      <c r="F2016"/>
      <c r="G2016"/>
      <c r="H2016"/>
      <c r="I2016"/>
      <c r="J2016"/>
      <c r="K2016"/>
      <c r="L2016"/>
      <c r="M2016"/>
      <c r="N2016"/>
      <c r="O2016"/>
    </row>
    <row r="2017" spans="6:15">
      <c r="F2017"/>
      <c r="G2017"/>
      <c r="H2017"/>
      <c r="I2017"/>
      <c r="J2017"/>
      <c r="K2017"/>
      <c r="L2017"/>
      <c r="M2017"/>
      <c r="N2017"/>
      <c r="O2017"/>
    </row>
    <row r="2018" spans="6:15">
      <c r="F2018"/>
      <c r="G2018"/>
      <c r="H2018"/>
      <c r="I2018"/>
      <c r="J2018"/>
      <c r="K2018"/>
      <c r="L2018"/>
      <c r="M2018"/>
      <c r="N2018"/>
      <c r="O2018"/>
    </row>
    <row r="2019" spans="6:15">
      <c r="F2019"/>
      <c r="G2019"/>
      <c r="H2019"/>
      <c r="I2019"/>
      <c r="J2019"/>
      <c r="K2019"/>
      <c r="L2019"/>
      <c r="M2019"/>
      <c r="N2019"/>
      <c r="O2019"/>
    </row>
    <row r="2020" spans="6:15">
      <c r="F2020"/>
      <c r="G2020"/>
      <c r="H2020"/>
      <c r="I2020"/>
      <c r="J2020"/>
      <c r="K2020"/>
      <c r="L2020"/>
      <c r="M2020"/>
      <c r="N2020"/>
      <c r="O2020"/>
    </row>
    <row r="2021" spans="6:15">
      <c r="F2021"/>
      <c r="G2021"/>
      <c r="H2021"/>
      <c r="I2021"/>
      <c r="J2021"/>
      <c r="K2021"/>
      <c r="L2021"/>
      <c r="M2021"/>
      <c r="N2021"/>
      <c r="O2021"/>
    </row>
    <row r="2022" spans="6:15">
      <c r="F2022"/>
      <c r="G2022"/>
      <c r="H2022"/>
      <c r="I2022"/>
      <c r="J2022"/>
      <c r="K2022"/>
      <c r="L2022"/>
      <c r="M2022"/>
      <c r="N2022"/>
      <c r="O2022"/>
    </row>
    <row r="2023" spans="6:15">
      <c r="F2023"/>
      <c r="G2023"/>
      <c r="H2023"/>
      <c r="I2023"/>
      <c r="J2023"/>
      <c r="K2023"/>
      <c r="L2023"/>
      <c r="M2023"/>
      <c r="N2023"/>
      <c r="O2023"/>
    </row>
    <row r="2024" spans="6:15">
      <c r="F2024"/>
      <c r="G2024"/>
      <c r="H2024"/>
      <c r="I2024"/>
      <c r="J2024"/>
      <c r="K2024"/>
      <c r="L2024"/>
      <c r="M2024"/>
      <c r="N2024"/>
      <c r="O2024"/>
    </row>
    <row r="2025" spans="6:15">
      <c r="F2025"/>
      <c r="G2025"/>
      <c r="H2025"/>
      <c r="I2025"/>
      <c r="J2025"/>
      <c r="K2025"/>
      <c r="L2025"/>
      <c r="M2025"/>
      <c r="N2025"/>
      <c r="O2025"/>
    </row>
    <row r="2026" spans="6:15">
      <c r="F2026"/>
      <c r="G2026"/>
      <c r="H2026"/>
      <c r="I2026"/>
      <c r="J2026"/>
      <c r="K2026"/>
      <c r="L2026"/>
      <c r="M2026"/>
      <c r="N2026"/>
      <c r="O2026"/>
    </row>
    <row r="2027" spans="6:15">
      <c r="F2027"/>
      <c r="G2027"/>
      <c r="H2027"/>
      <c r="I2027"/>
      <c r="J2027"/>
      <c r="K2027"/>
      <c r="L2027"/>
      <c r="M2027"/>
      <c r="N2027"/>
      <c r="O2027"/>
    </row>
    <row r="2028" spans="6:15">
      <c r="F2028"/>
      <c r="G2028"/>
      <c r="H2028"/>
      <c r="I2028"/>
      <c r="J2028"/>
      <c r="K2028"/>
      <c r="L2028"/>
      <c r="M2028"/>
      <c r="N2028"/>
      <c r="O2028"/>
    </row>
    <row r="2029" spans="6:15">
      <c r="F2029"/>
      <c r="G2029"/>
      <c r="H2029"/>
      <c r="I2029"/>
      <c r="J2029"/>
      <c r="K2029"/>
      <c r="L2029"/>
      <c r="M2029"/>
      <c r="N2029"/>
      <c r="O2029"/>
    </row>
    <row r="2030" spans="6:15">
      <c r="F2030"/>
      <c r="G2030"/>
      <c r="H2030"/>
      <c r="I2030"/>
      <c r="J2030"/>
      <c r="K2030"/>
      <c r="L2030"/>
      <c r="M2030"/>
      <c r="N2030"/>
      <c r="O2030"/>
    </row>
    <row r="2031" spans="6:15">
      <c r="F2031"/>
      <c r="G2031"/>
      <c r="H2031"/>
      <c r="I2031"/>
      <c r="J2031"/>
      <c r="K2031"/>
      <c r="L2031"/>
      <c r="M2031"/>
      <c r="N2031"/>
      <c r="O2031"/>
    </row>
    <row r="2032" spans="6:15">
      <c r="F2032"/>
      <c r="G2032"/>
      <c r="H2032"/>
      <c r="I2032"/>
      <c r="J2032"/>
      <c r="K2032"/>
      <c r="L2032"/>
      <c r="M2032"/>
      <c r="N2032"/>
      <c r="O2032"/>
    </row>
    <row r="2033" spans="6:15">
      <c r="F2033"/>
      <c r="G2033"/>
      <c r="H2033"/>
      <c r="I2033"/>
      <c r="J2033"/>
      <c r="K2033"/>
      <c r="L2033"/>
      <c r="M2033"/>
      <c r="N2033"/>
      <c r="O2033"/>
    </row>
    <row r="2034" spans="13:15">
      <c r="M2034" s="338">
        <f t="shared" ref="M2034:M2068" si="23">-0.01+M2033</f>
        <v>-0.01</v>
      </c>
      <c r="N2034" s="338"/>
      <c r="O2034" s="338">
        <f t="shared" ref="O2034:O2073" si="24">1*(N2034&lt;$N$79)</f>
        <v>0</v>
      </c>
    </row>
    <row r="2035" spans="13:15">
      <c r="M2035" s="338">
        <f t="shared" si="23"/>
        <v>-0.02</v>
      </c>
      <c r="N2035" s="338"/>
      <c r="O2035" s="338">
        <f t="shared" si="24"/>
        <v>0</v>
      </c>
    </row>
    <row r="2036" spans="13:15">
      <c r="M2036" s="338">
        <f t="shared" si="23"/>
        <v>-0.03</v>
      </c>
      <c r="N2036" s="338"/>
      <c r="O2036" s="338">
        <f t="shared" si="24"/>
        <v>0</v>
      </c>
    </row>
    <row r="2037" spans="13:15">
      <c r="M2037" s="338">
        <f t="shared" si="23"/>
        <v>-0.04</v>
      </c>
      <c r="N2037" s="338"/>
      <c r="O2037" s="338">
        <f t="shared" si="24"/>
        <v>0</v>
      </c>
    </row>
    <row r="2038" spans="13:15">
      <c r="M2038" s="338">
        <f t="shared" si="23"/>
        <v>-0.05</v>
      </c>
      <c r="N2038" s="338"/>
      <c r="O2038" s="338">
        <f t="shared" si="24"/>
        <v>0</v>
      </c>
    </row>
    <row r="2039" spans="13:15">
      <c r="M2039" s="338">
        <f t="shared" si="23"/>
        <v>-0.06</v>
      </c>
      <c r="N2039" s="338"/>
      <c r="O2039" s="338">
        <f t="shared" si="24"/>
        <v>0</v>
      </c>
    </row>
    <row r="2040" spans="13:15">
      <c r="M2040" s="338">
        <f t="shared" si="23"/>
        <v>-0.07</v>
      </c>
      <c r="N2040" s="338"/>
      <c r="O2040" s="338">
        <f t="shared" si="24"/>
        <v>0</v>
      </c>
    </row>
    <row r="2041" spans="13:15">
      <c r="M2041" s="338">
        <f t="shared" si="23"/>
        <v>-0.08</v>
      </c>
      <c r="N2041" s="338"/>
      <c r="O2041" s="338">
        <f t="shared" si="24"/>
        <v>0</v>
      </c>
    </row>
    <row r="2042" spans="13:15">
      <c r="M2042" s="338">
        <f t="shared" si="23"/>
        <v>-0.09</v>
      </c>
      <c r="N2042" s="338"/>
      <c r="O2042" s="338">
        <f t="shared" si="24"/>
        <v>0</v>
      </c>
    </row>
    <row r="2043" spans="13:15">
      <c r="M2043" s="338">
        <f t="shared" si="23"/>
        <v>-0.1</v>
      </c>
      <c r="N2043" s="338"/>
      <c r="O2043" s="338">
        <f t="shared" si="24"/>
        <v>0</v>
      </c>
    </row>
    <row r="2044" spans="13:15">
      <c r="M2044" s="338">
        <f t="shared" si="23"/>
        <v>-0.11</v>
      </c>
      <c r="N2044" s="338"/>
      <c r="O2044" s="338">
        <f t="shared" si="24"/>
        <v>0</v>
      </c>
    </row>
    <row r="2045" spans="13:15">
      <c r="M2045" s="338">
        <f t="shared" si="23"/>
        <v>-0.12</v>
      </c>
      <c r="N2045" s="338"/>
      <c r="O2045" s="338">
        <f t="shared" si="24"/>
        <v>0</v>
      </c>
    </row>
    <row r="2046" spans="13:15">
      <c r="M2046" s="338">
        <f t="shared" si="23"/>
        <v>-0.13</v>
      </c>
      <c r="N2046" s="338"/>
      <c r="O2046" s="338">
        <f t="shared" si="24"/>
        <v>0</v>
      </c>
    </row>
    <row r="2047" spans="13:15">
      <c r="M2047" s="338">
        <f t="shared" si="23"/>
        <v>-0.14</v>
      </c>
      <c r="N2047" s="338"/>
      <c r="O2047" s="338">
        <f t="shared" si="24"/>
        <v>0</v>
      </c>
    </row>
    <row r="2048" spans="13:15">
      <c r="M2048" s="338">
        <f t="shared" si="23"/>
        <v>-0.15</v>
      </c>
      <c r="N2048" s="338"/>
      <c r="O2048" s="338">
        <f t="shared" si="24"/>
        <v>0</v>
      </c>
    </row>
    <row r="2049" spans="13:15">
      <c r="M2049" s="338">
        <f t="shared" si="23"/>
        <v>-0.16</v>
      </c>
      <c r="N2049" s="338"/>
      <c r="O2049" s="338">
        <f t="shared" si="24"/>
        <v>0</v>
      </c>
    </row>
    <row r="2050" spans="13:15">
      <c r="M2050" s="338">
        <f t="shared" si="23"/>
        <v>-0.17</v>
      </c>
      <c r="N2050" s="338"/>
      <c r="O2050" s="338">
        <f t="shared" si="24"/>
        <v>0</v>
      </c>
    </row>
    <row r="2051" spans="13:15">
      <c r="M2051" s="338">
        <f t="shared" si="23"/>
        <v>-0.18</v>
      </c>
      <c r="N2051" s="338"/>
      <c r="O2051" s="338">
        <f t="shared" si="24"/>
        <v>0</v>
      </c>
    </row>
    <row r="2052" spans="13:15">
      <c r="M2052" s="338">
        <f t="shared" si="23"/>
        <v>-0.19</v>
      </c>
      <c r="N2052" s="338"/>
      <c r="O2052" s="338">
        <f t="shared" si="24"/>
        <v>0</v>
      </c>
    </row>
    <row r="2053" spans="13:15">
      <c r="M2053" s="338">
        <f t="shared" si="23"/>
        <v>-0.2</v>
      </c>
      <c r="N2053" s="338"/>
      <c r="O2053" s="338">
        <f t="shared" si="24"/>
        <v>0</v>
      </c>
    </row>
    <row r="2054" spans="13:15">
      <c r="M2054" s="338">
        <f t="shared" si="23"/>
        <v>-0.21</v>
      </c>
      <c r="N2054" s="338"/>
      <c r="O2054" s="338">
        <f t="shared" si="24"/>
        <v>0</v>
      </c>
    </row>
    <row r="2055" spans="13:15">
      <c r="M2055" s="338">
        <f t="shared" si="23"/>
        <v>-0.22</v>
      </c>
      <c r="N2055" s="338"/>
      <c r="O2055" s="338">
        <f t="shared" si="24"/>
        <v>0</v>
      </c>
    </row>
    <row r="2056" spans="13:15">
      <c r="M2056" s="338">
        <f t="shared" si="23"/>
        <v>-0.23</v>
      </c>
      <c r="N2056" s="338"/>
      <c r="O2056" s="338">
        <f t="shared" si="24"/>
        <v>0</v>
      </c>
    </row>
    <row r="2057" spans="13:15">
      <c r="M2057" s="338">
        <f t="shared" si="23"/>
        <v>-0.24</v>
      </c>
      <c r="N2057" s="338"/>
      <c r="O2057" s="338">
        <f t="shared" si="24"/>
        <v>0</v>
      </c>
    </row>
    <row r="2058" spans="13:15">
      <c r="M2058" s="338">
        <f t="shared" si="23"/>
        <v>-0.25</v>
      </c>
      <c r="N2058" s="338"/>
      <c r="O2058" s="338">
        <f t="shared" si="24"/>
        <v>0</v>
      </c>
    </row>
    <row r="2059" spans="13:15">
      <c r="M2059" s="338">
        <f t="shared" si="23"/>
        <v>-0.26</v>
      </c>
      <c r="N2059" s="338"/>
      <c r="O2059" s="338">
        <f t="shared" si="24"/>
        <v>0</v>
      </c>
    </row>
    <row r="2060" spans="13:15">
      <c r="M2060" s="338">
        <f t="shared" si="23"/>
        <v>-0.27</v>
      </c>
      <c r="N2060" s="338"/>
      <c r="O2060" s="338">
        <f t="shared" si="24"/>
        <v>0</v>
      </c>
    </row>
    <row r="2061" spans="13:15">
      <c r="M2061" s="338">
        <f t="shared" si="23"/>
        <v>-0.28</v>
      </c>
      <c r="N2061" s="338"/>
      <c r="O2061" s="338">
        <f t="shared" si="24"/>
        <v>0</v>
      </c>
    </row>
    <row r="2062" spans="13:15">
      <c r="M2062" s="338">
        <f t="shared" si="23"/>
        <v>-0.29</v>
      </c>
      <c r="N2062" s="338"/>
      <c r="O2062" s="338">
        <f t="shared" si="24"/>
        <v>0</v>
      </c>
    </row>
    <row r="2063" spans="13:15">
      <c r="M2063" s="338">
        <f t="shared" si="23"/>
        <v>-0.3</v>
      </c>
      <c r="N2063" s="338"/>
      <c r="O2063" s="338">
        <f t="shared" si="24"/>
        <v>0</v>
      </c>
    </row>
    <row r="2064" spans="13:15">
      <c r="M2064" s="338">
        <f t="shared" si="23"/>
        <v>-0.31</v>
      </c>
      <c r="N2064" s="338"/>
      <c r="O2064" s="338">
        <f t="shared" si="24"/>
        <v>0</v>
      </c>
    </row>
    <row r="2065" spans="13:15">
      <c r="M2065" s="338">
        <f t="shared" si="23"/>
        <v>-0.32</v>
      </c>
      <c r="N2065" s="338"/>
      <c r="O2065" s="338">
        <f t="shared" si="24"/>
        <v>0</v>
      </c>
    </row>
    <row r="2066" spans="13:15">
      <c r="M2066" s="338">
        <f t="shared" si="23"/>
        <v>-0.33</v>
      </c>
      <c r="N2066" s="338"/>
      <c r="O2066" s="338">
        <f t="shared" si="24"/>
        <v>0</v>
      </c>
    </row>
    <row r="2067" spans="13:15">
      <c r="M2067" s="338">
        <f t="shared" si="23"/>
        <v>-0.34</v>
      </c>
      <c r="N2067" s="338"/>
      <c r="O2067" s="338">
        <f t="shared" si="24"/>
        <v>0</v>
      </c>
    </row>
    <row r="2068" spans="13:15">
      <c r="M2068" s="338">
        <f t="shared" si="23"/>
        <v>-0.35</v>
      </c>
      <c r="N2068" s="338"/>
      <c r="O2068" s="338">
        <f t="shared" si="24"/>
        <v>0</v>
      </c>
    </row>
    <row r="2069" spans="13:15">
      <c r="M2069" s="338">
        <f t="shared" ref="M2069:M2132" si="25">-0.01+M2068</f>
        <v>-0.36</v>
      </c>
      <c r="N2069" s="338"/>
      <c r="O2069" s="338">
        <f t="shared" si="24"/>
        <v>0</v>
      </c>
    </row>
    <row r="2070" spans="13:15">
      <c r="M2070" s="338">
        <f t="shared" si="25"/>
        <v>-0.37</v>
      </c>
      <c r="N2070" s="338"/>
      <c r="O2070" s="338">
        <f t="shared" si="24"/>
        <v>0</v>
      </c>
    </row>
    <row r="2071" spans="13:15">
      <c r="M2071" s="338">
        <f t="shared" si="25"/>
        <v>-0.38</v>
      </c>
      <c r="N2071" s="338"/>
      <c r="O2071" s="338">
        <f t="shared" si="24"/>
        <v>0</v>
      </c>
    </row>
    <row r="2072" spans="13:15">
      <c r="M2072" s="338">
        <f t="shared" si="25"/>
        <v>-0.39</v>
      </c>
      <c r="N2072" s="338"/>
      <c r="O2072" s="338">
        <f t="shared" si="24"/>
        <v>0</v>
      </c>
    </row>
    <row r="2073" spans="13:15">
      <c r="M2073" s="338">
        <f t="shared" si="25"/>
        <v>-0.4</v>
      </c>
      <c r="N2073" s="338"/>
      <c r="O2073" s="338">
        <f t="shared" si="24"/>
        <v>0</v>
      </c>
    </row>
    <row r="2074" spans="13:15">
      <c r="M2074" s="338">
        <f t="shared" si="25"/>
        <v>-0.41</v>
      </c>
      <c r="N2074" s="338"/>
      <c r="O2074" s="338">
        <f t="shared" ref="O2074:O2137" si="26">1*(N2074&lt;$N$79)</f>
        <v>0</v>
      </c>
    </row>
    <row r="2075" spans="13:15">
      <c r="M2075" s="338">
        <f t="shared" si="25"/>
        <v>-0.42</v>
      </c>
      <c r="N2075" s="338"/>
      <c r="O2075" s="338">
        <f t="shared" si="26"/>
        <v>0</v>
      </c>
    </row>
    <row r="2076" spans="13:15">
      <c r="M2076" s="338">
        <f t="shared" si="25"/>
        <v>-0.43</v>
      </c>
      <c r="N2076" s="338"/>
      <c r="O2076" s="338">
        <f t="shared" si="26"/>
        <v>0</v>
      </c>
    </row>
    <row r="2077" spans="13:15">
      <c r="M2077" s="338">
        <f t="shared" si="25"/>
        <v>-0.44</v>
      </c>
      <c r="N2077" s="338"/>
      <c r="O2077" s="338">
        <f t="shared" si="26"/>
        <v>0</v>
      </c>
    </row>
    <row r="2078" spans="13:15">
      <c r="M2078" s="338">
        <f t="shared" si="25"/>
        <v>-0.45</v>
      </c>
      <c r="N2078" s="338"/>
      <c r="O2078" s="338">
        <f t="shared" si="26"/>
        <v>0</v>
      </c>
    </row>
    <row r="2079" spans="13:15">
      <c r="M2079" s="338">
        <f t="shared" si="25"/>
        <v>-0.46</v>
      </c>
      <c r="N2079" s="338"/>
      <c r="O2079" s="338">
        <f t="shared" si="26"/>
        <v>0</v>
      </c>
    </row>
    <row r="2080" spans="13:15">
      <c r="M2080" s="338">
        <f t="shared" si="25"/>
        <v>-0.47</v>
      </c>
      <c r="N2080" s="338"/>
      <c r="O2080" s="338">
        <f t="shared" si="26"/>
        <v>0</v>
      </c>
    </row>
    <row r="2081" spans="13:15">
      <c r="M2081" s="338">
        <f t="shared" si="25"/>
        <v>-0.48</v>
      </c>
      <c r="N2081" s="338"/>
      <c r="O2081" s="338">
        <f t="shared" si="26"/>
        <v>0</v>
      </c>
    </row>
    <row r="2082" spans="13:15">
      <c r="M2082" s="338">
        <f t="shared" si="25"/>
        <v>-0.49</v>
      </c>
      <c r="N2082" s="338"/>
      <c r="O2082" s="338">
        <f t="shared" si="26"/>
        <v>0</v>
      </c>
    </row>
    <row r="2083" spans="13:15">
      <c r="M2083" s="338">
        <f t="shared" si="25"/>
        <v>-0.5</v>
      </c>
      <c r="N2083" s="338"/>
      <c r="O2083" s="338">
        <f t="shared" si="26"/>
        <v>0</v>
      </c>
    </row>
    <row r="2084" spans="13:15">
      <c r="M2084" s="338">
        <f t="shared" si="25"/>
        <v>-0.51</v>
      </c>
      <c r="N2084" s="338"/>
      <c r="O2084" s="338">
        <f t="shared" si="26"/>
        <v>0</v>
      </c>
    </row>
    <row r="2085" spans="13:15">
      <c r="M2085" s="338">
        <f t="shared" si="25"/>
        <v>-0.52</v>
      </c>
      <c r="N2085" s="338"/>
      <c r="O2085" s="338">
        <f t="shared" si="26"/>
        <v>0</v>
      </c>
    </row>
    <row r="2086" spans="13:15">
      <c r="M2086" s="338">
        <f t="shared" si="25"/>
        <v>-0.53</v>
      </c>
      <c r="N2086" s="338"/>
      <c r="O2086" s="338">
        <f t="shared" si="26"/>
        <v>0</v>
      </c>
    </row>
    <row r="2087" spans="13:15">
      <c r="M2087" s="338">
        <f t="shared" si="25"/>
        <v>-0.54</v>
      </c>
      <c r="N2087" s="338"/>
      <c r="O2087" s="338">
        <f t="shared" si="26"/>
        <v>0</v>
      </c>
    </row>
    <row r="2088" spans="13:15">
      <c r="M2088" s="338">
        <f t="shared" si="25"/>
        <v>-0.55</v>
      </c>
      <c r="N2088" s="338"/>
      <c r="O2088" s="338">
        <f t="shared" si="26"/>
        <v>0</v>
      </c>
    </row>
    <row r="2089" spans="13:15">
      <c r="M2089" s="338">
        <f t="shared" si="25"/>
        <v>-0.56</v>
      </c>
      <c r="N2089" s="338"/>
      <c r="O2089" s="338">
        <f t="shared" si="26"/>
        <v>0</v>
      </c>
    </row>
    <row r="2090" spans="13:15">
      <c r="M2090" s="338">
        <f t="shared" si="25"/>
        <v>-0.57</v>
      </c>
      <c r="N2090" s="338"/>
      <c r="O2090" s="338">
        <f t="shared" si="26"/>
        <v>0</v>
      </c>
    </row>
    <row r="2091" spans="13:15">
      <c r="M2091" s="338">
        <f t="shared" si="25"/>
        <v>-0.58</v>
      </c>
      <c r="N2091" s="338"/>
      <c r="O2091" s="338">
        <f t="shared" si="26"/>
        <v>0</v>
      </c>
    </row>
    <row r="2092" spans="13:15">
      <c r="M2092" s="338">
        <f t="shared" si="25"/>
        <v>-0.59</v>
      </c>
      <c r="N2092" s="338"/>
      <c r="O2092" s="338">
        <f t="shared" si="26"/>
        <v>0</v>
      </c>
    </row>
    <row r="2093" spans="13:15">
      <c r="M2093" s="338">
        <f t="shared" si="25"/>
        <v>-0.6</v>
      </c>
      <c r="N2093" s="338"/>
      <c r="O2093" s="338">
        <f t="shared" si="26"/>
        <v>0</v>
      </c>
    </row>
    <row r="2094" spans="13:15">
      <c r="M2094" s="338">
        <f t="shared" si="25"/>
        <v>-0.61</v>
      </c>
      <c r="N2094" s="338"/>
      <c r="O2094" s="338">
        <f t="shared" si="26"/>
        <v>0</v>
      </c>
    </row>
    <row r="2095" spans="13:15">
      <c r="M2095" s="338">
        <f t="shared" si="25"/>
        <v>-0.62</v>
      </c>
      <c r="N2095" s="338"/>
      <c r="O2095" s="338">
        <f t="shared" si="26"/>
        <v>0</v>
      </c>
    </row>
    <row r="2096" spans="13:15">
      <c r="M2096" s="338">
        <f t="shared" si="25"/>
        <v>-0.63</v>
      </c>
      <c r="N2096" s="338"/>
      <c r="O2096" s="338">
        <f t="shared" si="26"/>
        <v>0</v>
      </c>
    </row>
    <row r="2097" spans="13:15">
      <c r="M2097" s="338">
        <f t="shared" si="25"/>
        <v>-0.64</v>
      </c>
      <c r="N2097" s="338"/>
      <c r="O2097" s="338">
        <f t="shared" si="26"/>
        <v>0</v>
      </c>
    </row>
    <row r="2098" spans="13:15">
      <c r="M2098" s="338">
        <f t="shared" si="25"/>
        <v>-0.65</v>
      </c>
      <c r="N2098" s="338"/>
      <c r="O2098" s="338">
        <f t="shared" si="26"/>
        <v>0</v>
      </c>
    </row>
    <row r="2099" spans="13:15">
      <c r="M2099" s="338">
        <f t="shared" si="25"/>
        <v>-0.66</v>
      </c>
      <c r="N2099" s="338"/>
      <c r="O2099" s="338">
        <f t="shared" si="26"/>
        <v>0</v>
      </c>
    </row>
    <row r="2100" spans="13:15">
      <c r="M2100" s="338">
        <f t="shared" si="25"/>
        <v>-0.67</v>
      </c>
      <c r="N2100" s="338"/>
      <c r="O2100" s="338">
        <f t="shared" si="26"/>
        <v>0</v>
      </c>
    </row>
    <row r="2101" spans="13:15">
      <c r="M2101" s="338">
        <f t="shared" si="25"/>
        <v>-0.68</v>
      </c>
      <c r="N2101" s="338"/>
      <c r="O2101" s="338">
        <f t="shared" si="26"/>
        <v>0</v>
      </c>
    </row>
    <row r="2102" spans="13:15">
      <c r="M2102" s="338">
        <f t="shared" si="25"/>
        <v>-0.69</v>
      </c>
      <c r="N2102" s="338"/>
      <c r="O2102" s="338">
        <f t="shared" si="26"/>
        <v>0</v>
      </c>
    </row>
    <row r="2103" spans="13:15">
      <c r="M2103" s="338">
        <f t="shared" si="25"/>
        <v>-0.7</v>
      </c>
      <c r="N2103" s="338"/>
      <c r="O2103" s="338">
        <f t="shared" si="26"/>
        <v>0</v>
      </c>
    </row>
    <row r="2104" spans="13:15">
      <c r="M2104" s="338">
        <f t="shared" si="25"/>
        <v>-0.71</v>
      </c>
      <c r="N2104" s="338"/>
      <c r="O2104" s="338">
        <f t="shared" si="26"/>
        <v>0</v>
      </c>
    </row>
    <row r="2105" spans="13:15">
      <c r="M2105" s="338">
        <f t="shared" si="25"/>
        <v>-0.72</v>
      </c>
      <c r="N2105" s="338"/>
      <c r="O2105" s="338">
        <f t="shared" si="26"/>
        <v>0</v>
      </c>
    </row>
    <row r="2106" spans="13:15">
      <c r="M2106" s="338">
        <f t="shared" si="25"/>
        <v>-0.73</v>
      </c>
      <c r="N2106" s="338"/>
      <c r="O2106" s="338">
        <f t="shared" si="26"/>
        <v>0</v>
      </c>
    </row>
    <row r="2107" spans="13:15">
      <c r="M2107" s="338">
        <f t="shared" si="25"/>
        <v>-0.74</v>
      </c>
      <c r="N2107" s="338"/>
      <c r="O2107" s="338">
        <f t="shared" si="26"/>
        <v>0</v>
      </c>
    </row>
    <row r="2108" spans="13:15">
      <c r="M2108" s="338">
        <f t="shared" si="25"/>
        <v>-0.75</v>
      </c>
      <c r="N2108" s="338"/>
      <c r="O2108" s="338">
        <f t="shared" si="26"/>
        <v>0</v>
      </c>
    </row>
    <row r="2109" spans="13:15">
      <c r="M2109" s="338">
        <f t="shared" si="25"/>
        <v>-0.76</v>
      </c>
      <c r="N2109" s="338"/>
      <c r="O2109" s="338">
        <f t="shared" si="26"/>
        <v>0</v>
      </c>
    </row>
    <row r="2110" spans="13:15">
      <c r="M2110" s="338">
        <f t="shared" si="25"/>
        <v>-0.77</v>
      </c>
      <c r="N2110" s="338"/>
      <c r="O2110" s="338">
        <f t="shared" si="26"/>
        <v>0</v>
      </c>
    </row>
    <row r="2111" spans="13:15">
      <c r="M2111" s="338">
        <f t="shared" si="25"/>
        <v>-0.78</v>
      </c>
      <c r="N2111" s="338"/>
      <c r="O2111" s="338">
        <f t="shared" si="26"/>
        <v>0</v>
      </c>
    </row>
    <row r="2112" spans="13:15">
      <c r="M2112" s="338">
        <f t="shared" si="25"/>
        <v>-0.79</v>
      </c>
      <c r="N2112" s="338"/>
      <c r="O2112" s="338">
        <f t="shared" si="26"/>
        <v>0</v>
      </c>
    </row>
    <row r="2113" spans="13:15">
      <c r="M2113" s="338">
        <f t="shared" si="25"/>
        <v>-0.8</v>
      </c>
      <c r="N2113" s="338"/>
      <c r="O2113" s="338">
        <f t="shared" si="26"/>
        <v>0</v>
      </c>
    </row>
    <row r="2114" spans="13:15">
      <c r="M2114" s="338">
        <f t="shared" si="25"/>
        <v>-0.81</v>
      </c>
      <c r="N2114" s="338"/>
      <c r="O2114" s="338">
        <f t="shared" si="26"/>
        <v>0</v>
      </c>
    </row>
    <row r="2115" spans="13:15">
      <c r="M2115" s="338">
        <f t="shared" si="25"/>
        <v>-0.820000000000001</v>
      </c>
      <c r="N2115" s="338"/>
      <c r="O2115" s="338">
        <f t="shared" si="26"/>
        <v>0</v>
      </c>
    </row>
    <row r="2116" spans="13:15">
      <c r="M2116" s="338">
        <f t="shared" si="25"/>
        <v>-0.830000000000001</v>
      </c>
      <c r="N2116" s="338"/>
      <c r="O2116" s="338">
        <f t="shared" si="26"/>
        <v>0</v>
      </c>
    </row>
    <row r="2117" spans="13:15">
      <c r="M2117" s="338">
        <f t="shared" si="25"/>
        <v>-0.840000000000001</v>
      </c>
      <c r="N2117" s="338"/>
      <c r="O2117" s="338">
        <f t="shared" si="26"/>
        <v>0</v>
      </c>
    </row>
    <row r="2118" spans="13:15">
      <c r="M2118" s="338">
        <f t="shared" si="25"/>
        <v>-0.850000000000001</v>
      </c>
      <c r="N2118" s="338"/>
      <c r="O2118" s="338">
        <f t="shared" si="26"/>
        <v>0</v>
      </c>
    </row>
    <row r="2119" spans="13:15">
      <c r="M2119" s="338">
        <f t="shared" si="25"/>
        <v>-0.860000000000001</v>
      </c>
      <c r="N2119" s="338"/>
      <c r="O2119" s="338">
        <f t="shared" si="26"/>
        <v>0</v>
      </c>
    </row>
    <row r="2120" spans="13:15">
      <c r="M2120" s="338">
        <f t="shared" si="25"/>
        <v>-0.870000000000001</v>
      </c>
      <c r="N2120" s="338"/>
      <c r="O2120" s="338">
        <f t="shared" si="26"/>
        <v>0</v>
      </c>
    </row>
    <row r="2121" spans="13:15">
      <c r="M2121" s="338">
        <f t="shared" si="25"/>
        <v>-0.880000000000001</v>
      </c>
      <c r="N2121" s="338"/>
      <c r="O2121" s="338">
        <f t="shared" si="26"/>
        <v>0</v>
      </c>
    </row>
    <row r="2122" spans="13:15">
      <c r="M2122" s="338">
        <f t="shared" si="25"/>
        <v>-0.890000000000001</v>
      </c>
      <c r="N2122" s="338"/>
      <c r="O2122" s="338">
        <f t="shared" si="26"/>
        <v>0</v>
      </c>
    </row>
    <row r="2123" spans="13:15">
      <c r="M2123" s="338">
        <f t="shared" si="25"/>
        <v>-0.900000000000001</v>
      </c>
      <c r="N2123" s="338"/>
      <c r="O2123" s="338">
        <f t="shared" si="26"/>
        <v>0</v>
      </c>
    </row>
    <row r="2124" spans="13:15">
      <c r="M2124" s="338">
        <f t="shared" si="25"/>
        <v>-0.910000000000001</v>
      </c>
      <c r="N2124" s="338"/>
      <c r="O2124" s="338">
        <f t="shared" si="26"/>
        <v>0</v>
      </c>
    </row>
    <row r="2125" spans="13:15">
      <c r="M2125" s="338">
        <f t="shared" si="25"/>
        <v>-0.920000000000001</v>
      </c>
      <c r="N2125" s="338"/>
      <c r="O2125" s="338">
        <f t="shared" si="26"/>
        <v>0</v>
      </c>
    </row>
    <row r="2126" spans="13:15">
      <c r="M2126" s="338">
        <f t="shared" si="25"/>
        <v>-0.930000000000001</v>
      </c>
      <c r="N2126" s="338"/>
      <c r="O2126" s="338">
        <f t="shared" si="26"/>
        <v>0</v>
      </c>
    </row>
    <row r="2127" spans="13:15">
      <c r="M2127" s="338">
        <f t="shared" si="25"/>
        <v>-0.940000000000001</v>
      </c>
      <c r="N2127" s="338"/>
      <c r="O2127" s="338">
        <f t="shared" si="26"/>
        <v>0</v>
      </c>
    </row>
    <row r="2128" spans="13:15">
      <c r="M2128" s="338">
        <f t="shared" si="25"/>
        <v>-0.950000000000001</v>
      </c>
      <c r="N2128" s="338"/>
      <c r="O2128" s="338">
        <f t="shared" si="26"/>
        <v>0</v>
      </c>
    </row>
    <row r="2129" spans="13:15">
      <c r="M2129" s="338">
        <f t="shared" si="25"/>
        <v>-0.960000000000001</v>
      </c>
      <c r="N2129" s="338"/>
      <c r="O2129" s="338">
        <f t="shared" si="26"/>
        <v>0</v>
      </c>
    </row>
    <row r="2130" spans="13:15">
      <c r="M2130" s="338">
        <f t="shared" si="25"/>
        <v>-0.970000000000001</v>
      </c>
      <c r="N2130" s="338"/>
      <c r="O2130" s="338">
        <f t="shared" si="26"/>
        <v>0</v>
      </c>
    </row>
    <row r="2131" spans="13:15">
      <c r="M2131" s="338">
        <f t="shared" si="25"/>
        <v>-0.980000000000001</v>
      </c>
      <c r="N2131" s="338"/>
      <c r="O2131" s="338">
        <f t="shared" si="26"/>
        <v>0</v>
      </c>
    </row>
    <row r="2132" spans="13:15">
      <c r="M2132" s="338">
        <f t="shared" si="25"/>
        <v>-0.990000000000001</v>
      </c>
      <c r="N2132" s="338"/>
      <c r="O2132" s="338">
        <f t="shared" si="26"/>
        <v>0</v>
      </c>
    </row>
    <row r="2133" spans="13:15">
      <c r="M2133" s="338">
        <f t="shared" ref="M2133:M2196" si="27">-0.01+M2132</f>
        <v>-1</v>
      </c>
      <c r="N2133" s="338"/>
      <c r="O2133" s="338">
        <f t="shared" si="26"/>
        <v>0</v>
      </c>
    </row>
    <row r="2134" spans="13:15">
      <c r="M2134" s="338">
        <f t="shared" si="27"/>
        <v>-1.01</v>
      </c>
      <c r="N2134" s="338"/>
      <c r="O2134" s="338">
        <f t="shared" si="26"/>
        <v>0</v>
      </c>
    </row>
    <row r="2135" spans="13:15">
      <c r="M2135" s="338">
        <f t="shared" si="27"/>
        <v>-1.02</v>
      </c>
      <c r="N2135" s="338"/>
      <c r="O2135" s="338">
        <f t="shared" si="26"/>
        <v>0</v>
      </c>
    </row>
    <row r="2136" spans="13:15">
      <c r="M2136" s="338">
        <f t="shared" si="27"/>
        <v>-1.03</v>
      </c>
      <c r="N2136" s="338"/>
      <c r="O2136" s="338">
        <f t="shared" si="26"/>
        <v>0</v>
      </c>
    </row>
    <row r="2137" spans="13:15">
      <c r="M2137" s="338">
        <f t="shared" si="27"/>
        <v>-1.04</v>
      </c>
      <c r="N2137" s="338"/>
      <c r="O2137" s="338">
        <f t="shared" si="26"/>
        <v>0</v>
      </c>
    </row>
    <row r="2138" spans="13:15">
      <c r="M2138" s="338">
        <f t="shared" si="27"/>
        <v>-1.05</v>
      </c>
      <c r="N2138" s="338"/>
      <c r="O2138" s="338">
        <f t="shared" ref="O2138:O2201" si="28">1*(N2138&lt;$N$79)</f>
        <v>0</v>
      </c>
    </row>
    <row r="2139" spans="13:15">
      <c r="M2139" s="338">
        <f t="shared" si="27"/>
        <v>-1.06</v>
      </c>
      <c r="N2139" s="338"/>
      <c r="O2139" s="338">
        <f t="shared" si="28"/>
        <v>0</v>
      </c>
    </row>
    <row r="2140" spans="13:15">
      <c r="M2140" s="338">
        <f t="shared" si="27"/>
        <v>-1.07</v>
      </c>
      <c r="N2140" s="338"/>
      <c r="O2140" s="338">
        <f t="shared" si="28"/>
        <v>0</v>
      </c>
    </row>
    <row r="2141" spans="13:15">
      <c r="M2141" s="338">
        <f t="shared" si="27"/>
        <v>-1.08</v>
      </c>
      <c r="N2141" s="338"/>
      <c r="O2141" s="338">
        <f t="shared" si="28"/>
        <v>0</v>
      </c>
    </row>
    <row r="2142" spans="13:15">
      <c r="M2142" s="338">
        <f t="shared" si="27"/>
        <v>-1.09</v>
      </c>
      <c r="N2142" s="338"/>
      <c r="O2142" s="338">
        <f t="shared" si="28"/>
        <v>0</v>
      </c>
    </row>
    <row r="2143" spans="13:15">
      <c r="M2143" s="338">
        <f t="shared" si="27"/>
        <v>-1.1</v>
      </c>
      <c r="N2143" s="338"/>
      <c r="O2143" s="338">
        <f t="shared" si="28"/>
        <v>0</v>
      </c>
    </row>
    <row r="2144" spans="13:15">
      <c r="M2144" s="338">
        <f t="shared" si="27"/>
        <v>-1.11</v>
      </c>
      <c r="N2144" s="338"/>
      <c r="O2144" s="338">
        <f t="shared" si="28"/>
        <v>0</v>
      </c>
    </row>
    <row r="2145" spans="13:15">
      <c r="M2145" s="338">
        <f t="shared" si="27"/>
        <v>-1.12</v>
      </c>
      <c r="N2145" s="338"/>
      <c r="O2145" s="338">
        <f t="shared" si="28"/>
        <v>0</v>
      </c>
    </row>
    <row r="2146" spans="13:15">
      <c r="M2146" s="338">
        <f t="shared" si="27"/>
        <v>-1.13</v>
      </c>
      <c r="N2146" s="338"/>
      <c r="O2146" s="338">
        <f t="shared" si="28"/>
        <v>0</v>
      </c>
    </row>
    <row r="2147" spans="13:15">
      <c r="M2147" s="338">
        <f t="shared" si="27"/>
        <v>-1.14</v>
      </c>
      <c r="N2147" s="338"/>
      <c r="O2147" s="338">
        <f t="shared" si="28"/>
        <v>0</v>
      </c>
    </row>
    <row r="2148" spans="13:15">
      <c r="M2148" s="338">
        <f t="shared" si="27"/>
        <v>-1.15</v>
      </c>
      <c r="N2148" s="338"/>
      <c r="O2148" s="338">
        <f t="shared" si="28"/>
        <v>0</v>
      </c>
    </row>
    <row r="2149" spans="13:15">
      <c r="M2149" s="338">
        <f t="shared" si="27"/>
        <v>-1.16</v>
      </c>
      <c r="N2149" s="338"/>
      <c r="O2149" s="338">
        <f t="shared" si="28"/>
        <v>0</v>
      </c>
    </row>
    <row r="2150" spans="13:15">
      <c r="M2150" s="338">
        <f t="shared" si="27"/>
        <v>-1.17</v>
      </c>
      <c r="N2150" s="338"/>
      <c r="O2150" s="338">
        <f t="shared" si="28"/>
        <v>0</v>
      </c>
    </row>
    <row r="2151" spans="13:15">
      <c r="M2151" s="338">
        <f t="shared" si="27"/>
        <v>-1.18</v>
      </c>
      <c r="N2151" s="338"/>
      <c r="O2151" s="338">
        <f t="shared" si="28"/>
        <v>0</v>
      </c>
    </row>
    <row r="2152" spans="13:15">
      <c r="M2152" s="338">
        <f t="shared" si="27"/>
        <v>-1.19</v>
      </c>
      <c r="N2152" s="338"/>
      <c r="O2152" s="338">
        <f t="shared" si="28"/>
        <v>0</v>
      </c>
    </row>
    <row r="2153" spans="13:15">
      <c r="M2153" s="338">
        <f t="shared" si="27"/>
        <v>-1.2</v>
      </c>
      <c r="N2153" s="338"/>
      <c r="O2153" s="338">
        <f t="shared" si="28"/>
        <v>0</v>
      </c>
    </row>
    <row r="2154" spans="13:15">
      <c r="M2154" s="338">
        <f t="shared" si="27"/>
        <v>-1.21</v>
      </c>
      <c r="N2154" s="338"/>
      <c r="O2154" s="338">
        <f t="shared" si="28"/>
        <v>0</v>
      </c>
    </row>
    <row r="2155" spans="13:15">
      <c r="M2155" s="338">
        <f t="shared" si="27"/>
        <v>-1.22</v>
      </c>
      <c r="N2155" s="338"/>
      <c r="O2155" s="338">
        <f t="shared" si="28"/>
        <v>0</v>
      </c>
    </row>
    <row r="2156" spans="13:15">
      <c r="M2156" s="338">
        <f t="shared" si="27"/>
        <v>-1.23</v>
      </c>
      <c r="N2156" s="338"/>
      <c r="O2156" s="338">
        <f t="shared" si="28"/>
        <v>0</v>
      </c>
    </row>
    <row r="2157" spans="13:15">
      <c r="M2157" s="338">
        <f t="shared" si="27"/>
        <v>-1.24</v>
      </c>
      <c r="N2157" s="338"/>
      <c r="O2157" s="338">
        <f t="shared" si="28"/>
        <v>0</v>
      </c>
    </row>
    <row r="2158" spans="13:15">
      <c r="M2158" s="338">
        <f t="shared" si="27"/>
        <v>-1.25</v>
      </c>
      <c r="N2158" s="338"/>
      <c r="O2158" s="338">
        <f t="shared" si="28"/>
        <v>0</v>
      </c>
    </row>
    <row r="2159" spans="13:15">
      <c r="M2159" s="338">
        <f t="shared" si="27"/>
        <v>-1.26</v>
      </c>
      <c r="N2159" s="338"/>
      <c r="O2159" s="338">
        <f t="shared" si="28"/>
        <v>0</v>
      </c>
    </row>
    <row r="2160" spans="13:15">
      <c r="M2160" s="338">
        <f t="shared" si="27"/>
        <v>-1.27</v>
      </c>
      <c r="N2160" s="338"/>
      <c r="O2160" s="338">
        <f t="shared" si="28"/>
        <v>0</v>
      </c>
    </row>
    <row r="2161" spans="13:15">
      <c r="M2161" s="338">
        <f t="shared" si="27"/>
        <v>-1.28</v>
      </c>
      <c r="N2161" s="338"/>
      <c r="O2161" s="338">
        <f t="shared" si="28"/>
        <v>0</v>
      </c>
    </row>
    <row r="2162" spans="13:15">
      <c r="M2162" s="338">
        <f t="shared" si="27"/>
        <v>-1.29</v>
      </c>
      <c r="N2162" s="338"/>
      <c r="O2162" s="338">
        <f t="shared" si="28"/>
        <v>0</v>
      </c>
    </row>
    <row r="2163" spans="13:15">
      <c r="M2163" s="338">
        <f t="shared" si="27"/>
        <v>-1.3</v>
      </c>
      <c r="N2163" s="338"/>
      <c r="O2163" s="338">
        <f t="shared" si="28"/>
        <v>0</v>
      </c>
    </row>
    <row r="2164" spans="13:15">
      <c r="M2164" s="338">
        <f t="shared" si="27"/>
        <v>-1.31</v>
      </c>
      <c r="N2164" s="338"/>
      <c r="O2164" s="338">
        <f t="shared" si="28"/>
        <v>0</v>
      </c>
    </row>
    <row r="2165" spans="13:15">
      <c r="M2165" s="338">
        <f t="shared" si="27"/>
        <v>-1.32</v>
      </c>
      <c r="N2165" s="338"/>
      <c r="O2165" s="338">
        <f t="shared" si="28"/>
        <v>0</v>
      </c>
    </row>
    <row r="2166" spans="13:15">
      <c r="M2166" s="338">
        <f t="shared" si="27"/>
        <v>-1.33</v>
      </c>
      <c r="N2166" s="338"/>
      <c r="O2166" s="338">
        <f t="shared" si="28"/>
        <v>0</v>
      </c>
    </row>
    <row r="2167" spans="13:15">
      <c r="M2167" s="338">
        <f t="shared" si="27"/>
        <v>-1.34</v>
      </c>
      <c r="N2167" s="338"/>
      <c r="O2167" s="338">
        <f t="shared" si="28"/>
        <v>0</v>
      </c>
    </row>
    <row r="2168" spans="13:15">
      <c r="M2168" s="338">
        <f t="shared" si="27"/>
        <v>-1.35</v>
      </c>
      <c r="N2168" s="338"/>
      <c r="O2168" s="338">
        <f t="shared" si="28"/>
        <v>0</v>
      </c>
    </row>
    <row r="2169" spans="13:15">
      <c r="M2169" s="338">
        <f t="shared" si="27"/>
        <v>-1.36</v>
      </c>
      <c r="N2169" s="338"/>
      <c r="O2169" s="338">
        <f t="shared" si="28"/>
        <v>0</v>
      </c>
    </row>
    <row r="2170" spans="13:15">
      <c r="M2170" s="338">
        <f t="shared" si="27"/>
        <v>-1.37</v>
      </c>
      <c r="N2170" s="338"/>
      <c r="O2170" s="338">
        <f t="shared" si="28"/>
        <v>0</v>
      </c>
    </row>
    <row r="2171" spans="13:15">
      <c r="M2171" s="338">
        <f t="shared" si="27"/>
        <v>-1.38</v>
      </c>
      <c r="N2171" s="338"/>
      <c r="O2171" s="338">
        <f t="shared" si="28"/>
        <v>0</v>
      </c>
    </row>
    <row r="2172" spans="13:15">
      <c r="M2172" s="338">
        <f t="shared" si="27"/>
        <v>-1.39</v>
      </c>
      <c r="N2172" s="338"/>
      <c r="O2172" s="338">
        <f t="shared" si="28"/>
        <v>0</v>
      </c>
    </row>
    <row r="2173" spans="13:15">
      <c r="M2173" s="338">
        <f t="shared" si="27"/>
        <v>-1.4</v>
      </c>
      <c r="N2173" s="338"/>
      <c r="O2173" s="338">
        <f t="shared" si="28"/>
        <v>0</v>
      </c>
    </row>
    <row r="2174" spans="13:15">
      <c r="M2174" s="338">
        <f t="shared" si="27"/>
        <v>-1.41</v>
      </c>
      <c r="N2174" s="338"/>
      <c r="O2174" s="338">
        <f t="shared" si="28"/>
        <v>0</v>
      </c>
    </row>
    <row r="2175" spans="13:15">
      <c r="M2175" s="338">
        <f t="shared" si="27"/>
        <v>-1.42</v>
      </c>
      <c r="N2175" s="338"/>
      <c r="O2175" s="338">
        <f t="shared" si="28"/>
        <v>0</v>
      </c>
    </row>
    <row r="2176" spans="13:15">
      <c r="M2176" s="338">
        <f t="shared" si="27"/>
        <v>-1.43</v>
      </c>
      <c r="N2176" s="338"/>
      <c r="O2176" s="338">
        <f t="shared" si="28"/>
        <v>0</v>
      </c>
    </row>
    <row r="2177" spans="13:15">
      <c r="M2177" s="338">
        <f t="shared" si="27"/>
        <v>-1.44</v>
      </c>
      <c r="N2177" s="338"/>
      <c r="O2177" s="338">
        <f t="shared" si="28"/>
        <v>0</v>
      </c>
    </row>
    <row r="2178" spans="13:15">
      <c r="M2178" s="338">
        <f t="shared" si="27"/>
        <v>-1.45</v>
      </c>
      <c r="N2178" s="338"/>
      <c r="O2178" s="338">
        <f t="shared" si="28"/>
        <v>0</v>
      </c>
    </row>
    <row r="2179" spans="13:15">
      <c r="M2179" s="338">
        <f t="shared" si="27"/>
        <v>-1.46</v>
      </c>
      <c r="N2179" s="338"/>
      <c r="O2179" s="338">
        <f t="shared" si="28"/>
        <v>0</v>
      </c>
    </row>
    <row r="2180" spans="13:15">
      <c r="M2180" s="338">
        <f t="shared" si="27"/>
        <v>-1.47</v>
      </c>
      <c r="N2180" s="338"/>
      <c r="O2180" s="338">
        <f t="shared" si="28"/>
        <v>0</v>
      </c>
    </row>
    <row r="2181" spans="13:15">
      <c r="M2181" s="338">
        <f t="shared" si="27"/>
        <v>-1.48</v>
      </c>
      <c r="N2181" s="338"/>
      <c r="O2181" s="338">
        <f t="shared" si="28"/>
        <v>0</v>
      </c>
    </row>
    <row r="2182" spans="13:15">
      <c r="M2182" s="338">
        <f t="shared" si="27"/>
        <v>-1.49</v>
      </c>
      <c r="N2182" s="338"/>
      <c r="O2182" s="338">
        <f t="shared" si="28"/>
        <v>0</v>
      </c>
    </row>
    <row r="2183" spans="13:15">
      <c r="M2183" s="338">
        <f t="shared" si="27"/>
        <v>-1.5</v>
      </c>
      <c r="N2183" s="338"/>
      <c r="O2183" s="338">
        <f t="shared" si="28"/>
        <v>0</v>
      </c>
    </row>
    <row r="2184" spans="13:15">
      <c r="M2184" s="338">
        <f t="shared" si="27"/>
        <v>-1.51</v>
      </c>
      <c r="N2184" s="338"/>
      <c r="O2184" s="338">
        <f t="shared" si="28"/>
        <v>0</v>
      </c>
    </row>
    <row r="2185" spans="13:15">
      <c r="M2185" s="338">
        <f t="shared" si="27"/>
        <v>-1.52</v>
      </c>
      <c r="N2185" s="338"/>
      <c r="O2185" s="338">
        <f t="shared" si="28"/>
        <v>0</v>
      </c>
    </row>
    <row r="2186" spans="13:15">
      <c r="M2186" s="338">
        <f t="shared" si="27"/>
        <v>-1.53</v>
      </c>
      <c r="N2186" s="338"/>
      <c r="O2186" s="338">
        <f t="shared" si="28"/>
        <v>0</v>
      </c>
    </row>
    <row r="2187" spans="13:15">
      <c r="M2187" s="338">
        <f t="shared" si="27"/>
        <v>-1.54</v>
      </c>
      <c r="N2187" s="338"/>
      <c r="O2187" s="338">
        <f t="shared" si="28"/>
        <v>0</v>
      </c>
    </row>
    <row r="2188" spans="13:15">
      <c r="M2188" s="338">
        <f t="shared" si="27"/>
        <v>-1.55</v>
      </c>
      <c r="N2188" s="338"/>
      <c r="O2188" s="338">
        <f t="shared" si="28"/>
        <v>0</v>
      </c>
    </row>
    <row r="2189" spans="13:15">
      <c r="M2189" s="338">
        <f t="shared" si="27"/>
        <v>-1.56</v>
      </c>
      <c r="N2189" s="338"/>
      <c r="O2189" s="338">
        <f t="shared" si="28"/>
        <v>0</v>
      </c>
    </row>
    <row r="2190" spans="13:15">
      <c r="M2190" s="338">
        <f t="shared" si="27"/>
        <v>-1.57</v>
      </c>
      <c r="N2190" s="338"/>
      <c r="O2190" s="338">
        <f t="shared" si="28"/>
        <v>0</v>
      </c>
    </row>
    <row r="2191" spans="13:15">
      <c r="M2191" s="338">
        <f t="shared" si="27"/>
        <v>-1.58</v>
      </c>
      <c r="N2191" s="338"/>
      <c r="O2191" s="338">
        <f t="shared" si="28"/>
        <v>0</v>
      </c>
    </row>
    <row r="2192" spans="13:15">
      <c r="M2192" s="338">
        <f t="shared" si="27"/>
        <v>-1.59</v>
      </c>
      <c r="N2192" s="338"/>
      <c r="O2192" s="338">
        <f t="shared" si="28"/>
        <v>0</v>
      </c>
    </row>
    <row r="2193" spans="13:15">
      <c r="M2193" s="338">
        <f t="shared" si="27"/>
        <v>-1.6</v>
      </c>
      <c r="N2193" s="338"/>
      <c r="O2193" s="338">
        <f t="shared" si="28"/>
        <v>0</v>
      </c>
    </row>
    <row r="2194" spans="13:15">
      <c r="M2194" s="338">
        <f t="shared" si="27"/>
        <v>-1.61</v>
      </c>
      <c r="N2194" s="338"/>
      <c r="O2194" s="338">
        <f t="shared" si="28"/>
        <v>0</v>
      </c>
    </row>
    <row r="2195" spans="13:15">
      <c r="M2195" s="338">
        <f t="shared" si="27"/>
        <v>-1.62</v>
      </c>
      <c r="N2195" s="338"/>
      <c r="O2195" s="338">
        <f t="shared" si="28"/>
        <v>0</v>
      </c>
    </row>
    <row r="2196" spans="13:15">
      <c r="M2196" s="338">
        <f t="shared" si="27"/>
        <v>-1.63</v>
      </c>
      <c r="N2196" s="338"/>
      <c r="O2196" s="338">
        <f t="shared" si="28"/>
        <v>0</v>
      </c>
    </row>
    <row r="2197" spans="13:15">
      <c r="M2197" s="338">
        <f t="shared" ref="M2197:M2260" si="29">-0.01+M2196</f>
        <v>-1.64</v>
      </c>
      <c r="N2197" s="338"/>
      <c r="O2197" s="338">
        <f t="shared" si="28"/>
        <v>0</v>
      </c>
    </row>
    <row r="2198" spans="13:15">
      <c r="M2198" s="338">
        <f t="shared" si="29"/>
        <v>-1.65</v>
      </c>
      <c r="N2198" s="338"/>
      <c r="O2198" s="338">
        <f t="shared" si="28"/>
        <v>0</v>
      </c>
    </row>
    <row r="2199" spans="13:15">
      <c r="M2199" s="338">
        <f t="shared" si="29"/>
        <v>-1.66</v>
      </c>
      <c r="N2199" s="338"/>
      <c r="O2199" s="338">
        <f t="shared" si="28"/>
        <v>0</v>
      </c>
    </row>
    <row r="2200" spans="13:15">
      <c r="M2200" s="338">
        <f t="shared" si="29"/>
        <v>-1.67</v>
      </c>
      <c r="N2200" s="338"/>
      <c r="O2200" s="338">
        <f t="shared" si="28"/>
        <v>0</v>
      </c>
    </row>
    <row r="2201" spans="13:15">
      <c r="M2201" s="338">
        <f t="shared" si="29"/>
        <v>-1.68</v>
      </c>
      <c r="N2201" s="338"/>
      <c r="O2201" s="338">
        <f t="shared" si="28"/>
        <v>0</v>
      </c>
    </row>
    <row r="2202" spans="13:15">
      <c r="M2202" s="338">
        <f t="shared" si="29"/>
        <v>-1.69</v>
      </c>
      <c r="N2202" s="338"/>
      <c r="O2202" s="338">
        <f t="shared" ref="O2202:O2265" si="30">1*(N2202&lt;$N$79)</f>
        <v>0</v>
      </c>
    </row>
    <row r="2203" spans="13:15">
      <c r="M2203" s="338">
        <f t="shared" si="29"/>
        <v>-1.7</v>
      </c>
      <c r="N2203" s="338"/>
      <c r="O2203" s="338">
        <f t="shared" si="30"/>
        <v>0</v>
      </c>
    </row>
    <row r="2204" spans="13:15">
      <c r="M2204" s="338">
        <f t="shared" si="29"/>
        <v>-1.71</v>
      </c>
      <c r="N2204" s="338"/>
      <c r="O2204" s="338">
        <f t="shared" si="30"/>
        <v>0</v>
      </c>
    </row>
    <row r="2205" spans="13:15">
      <c r="M2205" s="338">
        <f t="shared" si="29"/>
        <v>-1.72</v>
      </c>
      <c r="N2205" s="338"/>
      <c r="O2205" s="338">
        <f t="shared" si="30"/>
        <v>0</v>
      </c>
    </row>
    <row r="2206" spans="13:15">
      <c r="M2206" s="338">
        <f t="shared" si="29"/>
        <v>-1.73</v>
      </c>
      <c r="N2206" s="338"/>
      <c r="O2206" s="338">
        <f t="shared" si="30"/>
        <v>0</v>
      </c>
    </row>
    <row r="2207" spans="13:15">
      <c r="M2207" s="338">
        <f t="shared" si="29"/>
        <v>-1.74</v>
      </c>
      <c r="N2207" s="338"/>
      <c r="O2207" s="338">
        <f t="shared" si="30"/>
        <v>0</v>
      </c>
    </row>
    <row r="2208" spans="13:15">
      <c r="M2208" s="338">
        <f t="shared" si="29"/>
        <v>-1.75</v>
      </c>
      <c r="N2208" s="338"/>
      <c r="O2208" s="338">
        <f t="shared" si="30"/>
        <v>0</v>
      </c>
    </row>
    <row r="2209" spans="13:15">
      <c r="M2209" s="338">
        <f t="shared" si="29"/>
        <v>-1.76</v>
      </c>
      <c r="N2209" s="338"/>
      <c r="O2209" s="338">
        <f t="shared" si="30"/>
        <v>0</v>
      </c>
    </row>
    <row r="2210" spans="13:15">
      <c r="M2210" s="338">
        <f t="shared" si="29"/>
        <v>-1.77</v>
      </c>
      <c r="N2210" s="338"/>
      <c r="O2210" s="338">
        <f t="shared" si="30"/>
        <v>0</v>
      </c>
    </row>
    <row r="2211" spans="13:15">
      <c r="M2211" s="338">
        <f t="shared" si="29"/>
        <v>-1.78</v>
      </c>
      <c r="N2211" s="338"/>
      <c r="O2211" s="338">
        <f t="shared" si="30"/>
        <v>0</v>
      </c>
    </row>
    <row r="2212" spans="13:15">
      <c r="M2212" s="338">
        <f t="shared" si="29"/>
        <v>-1.79</v>
      </c>
      <c r="N2212" s="338"/>
      <c r="O2212" s="338">
        <f t="shared" si="30"/>
        <v>0</v>
      </c>
    </row>
    <row r="2213" spans="13:15">
      <c r="M2213" s="338">
        <f t="shared" si="29"/>
        <v>-1.8</v>
      </c>
      <c r="N2213" s="338"/>
      <c r="O2213" s="338">
        <f t="shared" si="30"/>
        <v>0</v>
      </c>
    </row>
    <row r="2214" spans="13:15">
      <c r="M2214" s="338">
        <f t="shared" si="29"/>
        <v>-1.81</v>
      </c>
      <c r="N2214" s="338"/>
      <c r="O2214" s="338">
        <f t="shared" si="30"/>
        <v>0</v>
      </c>
    </row>
    <row r="2215" spans="13:15">
      <c r="M2215" s="338">
        <f t="shared" si="29"/>
        <v>-1.82</v>
      </c>
      <c r="N2215" s="338"/>
      <c r="O2215" s="338">
        <f t="shared" si="30"/>
        <v>0</v>
      </c>
    </row>
    <row r="2216" spans="13:15">
      <c r="M2216" s="338">
        <f t="shared" si="29"/>
        <v>-1.83</v>
      </c>
      <c r="N2216" s="338"/>
      <c r="O2216" s="338">
        <f t="shared" si="30"/>
        <v>0</v>
      </c>
    </row>
    <row r="2217" spans="13:15">
      <c r="M2217" s="338">
        <f t="shared" si="29"/>
        <v>-1.84</v>
      </c>
      <c r="N2217" s="338"/>
      <c r="O2217" s="338">
        <f t="shared" si="30"/>
        <v>0</v>
      </c>
    </row>
    <row r="2218" spans="13:15">
      <c r="M2218" s="338">
        <f t="shared" si="29"/>
        <v>-1.85</v>
      </c>
      <c r="N2218" s="338"/>
      <c r="O2218" s="338">
        <f t="shared" si="30"/>
        <v>0</v>
      </c>
    </row>
    <row r="2219" spans="13:15">
      <c r="M2219" s="338">
        <f t="shared" si="29"/>
        <v>-1.86</v>
      </c>
      <c r="N2219" s="338"/>
      <c r="O2219" s="338">
        <f t="shared" si="30"/>
        <v>0</v>
      </c>
    </row>
    <row r="2220" spans="13:15">
      <c r="M2220" s="338">
        <f t="shared" si="29"/>
        <v>-1.87</v>
      </c>
      <c r="N2220" s="338"/>
      <c r="O2220" s="338">
        <f t="shared" si="30"/>
        <v>0</v>
      </c>
    </row>
    <row r="2221" spans="13:15">
      <c r="M2221" s="338">
        <f t="shared" si="29"/>
        <v>-1.88</v>
      </c>
      <c r="N2221" s="338"/>
      <c r="O2221" s="338">
        <f t="shared" si="30"/>
        <v>0</v>
      </c>
    </row>
    <row r="2222" spans="13:15">
      <c r="M2222" s="338">
        <f t="shared" si="29"/>
        <v>-1.89</v>
      </c>
      <c r="N2222" s="338"/>
      <c r="O2222" s="338">
        <f t="shared" si="30"/>
        <v>0</v>
      </c>
    </row>
    <row r="2223" spans="13:15">
      <c r="M2223" s="338">
        <f t="shared" si="29"/>
        <v>-1.9</v>
      </c>
      <c r="N2223" s="338"/>
      <c r="O2223" s="338">
        <f t="shared" si="30"/>
        <v>0</v>
      </c>
    </row>
    <row r="2224" spans="13:15">
      <c r="M2224" s="338">
        <f t="shared" si="29"/>
        <v>-1.91</v>
      </c>
      <c r="N2224" s="338"/>
      <c r="O2224" s="338">
        <f t="shared" si="30"/>
        <v>0</v>
      </c>
    </row>
    <row r="2225" spans="13:15">
      <c r="M2225" s="338">
        <f t="shared" si="29"/>
        <v>-1.92</v>
      </c>
      <c r="N2225" s="338"/>
      <c r="O2225" s="338">
        <f t="shared" si="30"/>
        <v>0</v>
      </c>
    </row>
    <row r="2226" spans="13:15">
      <c r="M2226" s="338">
        <f t="shared" si="29"/>
        <v>-1.93</v>
      </c>
      <c r="N2226" s="338"/>
      <c r="O2226" s="338">
        <f t="shared" si="30"/>
        <v>0</v>
      </c>
    </row>
    <row r="2227" spans="13:15">
      <c r="M2227" s="338">
        <f t="shared" si="29"/>
        <v>-1.94</v>
      </c>
      <c r="N2227" s="338"/>
      <c r="O2227" s="338">
        <f t="shared" si="30"/>
        <v>0</v>
      </c>
    </row>
    <row r="2228" spans="13:15">
      <c r="M2228" s="338">
        <f t="shared" si="29"/>
        <v>-1.95</v>
      </c>
      <c r="N2228" s="338"/>
      <c r="O2228" s="338">
        <f t="shared" si="30"/>
        <v>0</v>
      </c>
    </row>
    <row r="2229" spans="13:15">
      <c r="M2229" s="338">
        <f t="shared" si="29"/>
        <v>-1.96</v>
      </c>
      <c r="N2229" s="338"/>
      <c r="O2229" s="338">
        <f t="shared" si="30"/>
        <v>0</v>
      </c>
    </row>
    <row r="2230" spans="13:15">
      <c r="M2230" s="338">
        <f t="shared" si="29"/>
        <v>-1.97</v>
      </c>
      <c r="N2230" s="338"/>
      <c r="O2230" s="338">
        <f t="shared" si="30"/>
        <v>0</v>
      </c>
    </row>
    <row r="2231" spans="13:15">
      <c r="M2231" s="338">
        <f t="shared" si="29"/>
        <v>-1.98</v>
      </c>
      <c r="N2231" s="338"/>
      <c r="O2231" s="338">
        <f t="shared" si="30"/>
        <v>0</v>
      </c>
    </row>
    <row r="2232" spans="13:15">
      <c r="M2232" s="338">
        <f t="shared" si="29"/>
        <v>-1.99</v>
      </c>
      <c r="N2232" s="338"/>
      <c r="O2232" s="338">
        <f t="shared" si="30"/>
        <v>0</v>
      </c>
    </row>
    <row r="2233" spans="13:15">
      <c r="M2233" s="338">
        <f t="shared" si="29"/>
        <v>-2</v>
      </c>
      <c r="N2233" s="338"/>
      <c r="O2233" s="338">
        <f t="shared" si="30"/>
        <v>0</v>
      </c>
    </row>
    <row r="2234" spans="13:15">
      <c r="M2234" s="338">
        <f t="shared" si="29"/>
        <v>-2.01</v>
      </c>
      <c r="N2234" s="338"/>
      <c r="O2234" s="338">
        <f t="shared" si="30"/>
        <v>0</v>
      </c>
    </row>
    <row r="2235" spans="13:15">
      <c r="M2235" s="338">
        <f t="shared" si="29"/>
        <v>-2.02</v>
      </c>
      <c r="N2235" s="338"/>
      <c r="O2235" s="338">
        <f t="shared" si="30"/>
        <v>0</v>
      </c>
    </row>
    <row r="2236" spans="13:15">
      <c r="M2236" s="338">
        <f t="shared" si="29"/>
        <v>-2.03</v>
      </c>
      <c r="N2236" s="338"/>
      <c r="O2236" s="338">
        <f t="shared" si="30"/>
        <v>0</v>
      </c>
    </row>
    <row r="2237" spans="13:15">
      <c r="M2237" s="338">
        <f t="shared" si="29"/>
        <v>-2.04</v>
      </c>
      <c r="N2237" s="338"/>
      <c r="O2237" s="338">
        <f t="shared" si="30"/>
        <v>0</v>
      </c>
    </row>
    <row r="2238" spans="13:15">
      <c r="M2238" s="338">
        <f t="shared" si="29"/>
        <v>-2.05</v>
      </c>
      <c r="N2238" s="338"/>
      <c r="O2238" s="338">
        <f t="shared" si="30"/>
        <v>0</v>
      </c>
    </row>
    <row r="2239" spans="13:15">
      <c r="M2239" s="338">
        <f t="shared" si="29"/>
        <v>-2.06</v>
      </c>
      <c r="N2239" s="338"/>
      <c r="O2239" s="338">
        <f t="shared" si="30"/>
        <v>0</v>
      </c>
    </row>
    <row r="2240" spans="13:15">
      <c r="M2240" s="338">
        <f t="shared" si="29"/>
        <v>-2.07</v>
      </c>
      <c r="N2240" s="338"/>
      <c r="O2240" s="338">
        <f t="shared" si="30"/>
        <v>0</v>
      </c>
    </row>
    <row r="2241" spans="13:15">
      <c r="M2241" s="338">
        <f t="shared" si="29"/>
        <v>-2.08</v>
      </c>
      <c r="N2241" s="338"/>
      <c r="O2241" s="338">
        <f t="shared" si="30"/>
        <v>0</v>
      </c>
    </row>
    <row r="2242" spans="13:15">
      <c r="M2242" s="338">
        <f t="shared" si="29"/>
        <v>-2.09</v>
      </c>
      <c r="N2242" s="338"/>
      <c r="O2242" s="338">
        <f t="shared" si="30"/>
        <v>0</v>
      </c>
    </row>
    <row r="2243" spans="13:15">
      <c r="M2243" s="338">
        <f t="shared" si="29"/>
        <v>-2.1</v>
      </c>
      <c r="N2243" s="338"/>
      <c r="O2243" s="338">
        <f t="shared" si="30"/>
        <v>0</v>
      </c>
    </row>
    <row r="2244" spans="13:15">
      <c r="M2244" s="338">
        <f t="shared" si="29"/>
        <v>-2.11</v>
      </c>
      <c r="N2244" s="338"/>
      <c r="O2244" s="338">
        <f t="shared" si="30"/>
        <v>0</v>
      </c>
    </row>
    <row r="2245" spans="13:15">
      <c r="M2245" s="338">
        <f t="shared" si="29"/>
        <v>-2.12</v>
      </c>
      <c r="N2245" s="338"/>
      <c r="O2245" s="338">
        <f t="shared" si="30"/>
        <v>0</v>
      </c>
    </row>
    <row r="2246" spans="13:15">
      <c r="M2246" s="338">
        <f t="shared" si="29"/>
        <v>-2.13</v>
      </c>
      <c r="N2246" s="338"/>
      <c r="O2246" s="338">
        <f t="shared" si="30"/>
        <v>0</v>
      </c>
    </row>
    <row r="2247" spans="13:15">
      <c r="M2247" s="338">
        <f t="shared" si="29"/>
        <v>-2.14</v>
      </c>
      <c r="N2247" s="338"/>
      <c r="O2247" s="338">
        <f t="shared" si="30"/>
        <v>0</v>
      </c>
    </row>
    <row r="2248" spans="13:15">
      <c r="M2248" s="338">
        <f t="shared" si="29"/>
        <v>-2.15</v>
      </c>
      <c r="N2248" s="338"/>
      <c r="O2248" s="338">
        <f t="shared" si="30"/>
        <v>0</v>
      </c>
    </row>
    <row r="2249" spans="13:15">
      <c r="M2249" s="338">
        <f t="shared" si="29"/>
        <v>-2.16</v>
      </c>
      <c r="N2249" s="338"/>
      <c r="O2249" s="338">
        <f t="shared" si="30"/>
        <v>0</v>
      </c>
    </row>
    <row r="2250" spans="13:15">
      <c r="M2250" s="338">
        <f t="shared" si="29"/>
        <v>-2.17</v>
      </c>
      <c r="N2250" s="338"/>
      <c r="O2250" s="338">
        <f t="shared" si="30"/>
        <v>0</v>
      </c>
    </row>
    <row r="2251" spans="13:15">
      <c r="M2251" s="338">
        <f t="shared" si="29"/>
        <v>-2.18</v>
      </c>
      <c r="N2251" s="338"/>
      <c r="O2251" s="338">
        <f t="shared" si="30"/>
        <v>0</v>
      </c>
    </row>
    <row r="2252" spans="13:15">
      <c r="M2252" s="338">
        <f t="shared" si="29"/>
        <v>-2.19</v>
      </c>
      <c r="N2252" s="338"/>
      <c r="O2252" s="338">
        <f t="shared" si="30"/>
        <v>0</v>
      </c>
    </row>
    <row r="2253" spans="13:15">
      <c r="M2253" s="338">
        <f t="shared" si="29"/>
        <v>-2.2</v>
      </c>
      <c r="N2253" s="338"/>
      <c r="O2253" s="338">
        <f t="shared" si="30"/>
        <v>0</v>
      </c>
    </row>
    <row r="2254" spans="13:15">
      <c r="M2254" s="338">
        <f t="shared" si="29"/>
        <v>-2.21</v>
      </c>
      <c r="N2254" s="338"/>
      <c r="O2254" s="338">
        <f t="shared" si="30"/>
        <v>0</v>
      </c>
    </row>
    <row r="2255" spans="13:15">
      <c r="M2255" s="338">
        <f t="shared" si="29"/>
        <v>-2.22</v>
      </c>
      <c r="N2255" s="338"/>
      <c r="O2255" s="338">
        <f t="shared" si="30"/>
        <v>0</v>
      </c>
    </row>
    <row r="2256" spans="13:15">
      <c r="M2256" s="338">
        <f t="shared" si="29"/>
        <v>-2.23</v>
      </c>
      <c r="N2256" s="338"/>
      <c r="O2256" s="338">
        <f t="shared" si="30"/>
        <v>0</v>
      </c>
    </row>
    <row r="2257" spans="13:15">
      <c r="M2257" s="338">
        <f t="shared" si="29"/>
        <v>-2.24</v>
      </c>
      <c r="N2257" s="338"/>
      <c r="O2257" s="338">
        <f t="shared" si="30"/>
        <v>0</v>
      </c>
    </row>
    <row r="2258" spans="13:15">
      <c r="M2258" s="338">
        <f t="shared" si="29"/>
        <v>-2.25</v>
      </c>
      <c r="N2258" s="338"/>
      <c r="O2258" s="338">
        <f t="shared" si="30"/>
        <v>0</v>
      </c>
    </row>
    <row r="2259" spans="13:15">
      <c r="M2259" s="338">
        <f t="shared" si="29"/>
        <v>-2.26</v>
      </c>
      <c r="N2259" s="338"/>
      <c r="O2259" s="338">
        <f t="shared" si="30"/>
        <v>0</v>
      </c>
    </row>
    <row r="2260" spans="13:15">
      <c r="M2260" s="338">
        <f t="shared" si="29"/>
        <v>-2.27</v>
      </c>
      <c r="N2260" s="338"/>
      <c r="O2260" s="338">
        <f t="shared" si="30"/>
        <v>0</v>
      </c>
    </row>
    <row r="2261" spans="13:15">
      <c r="M2261" s="338">
        <f t="shared" ref="M2261:M2324" si="31">-0.01+M2260</f>
        <v>-2.28</v>
      </c>
      <c r="N2261" s="338"/>
      <c r="O2261" s="338">
        <f t="shared" si="30"/>
        <v>0</v>
      </c>
    </row>
    <row r="2262" spans="13:15">
      <c r="M2262" s="338">
        <f t="shared" si="31"/>
        <v>-2.29</v>
      </c>
      <c r="N2262" s="338"/>
      <c r="O2262" s="338">
        <f t="shared" si="30"/>
        <v>0</v>
      </c>
    </row>
    <row r="2263" spans="13:15">
      <c r="M2263" s="338">
        <f t="shared" si="31"/>
        <v>-2.29999999999999</v>
      </c>
      <c r="N2263" s="338"/>
      <c r="O2263" s="338">
        <f t="shared" si="30"/>
        <v>0</v>
      </c>
    </row>
    <row r="2264" spans="13:15">
      <c r="M2264" s="338">
        <f t="shared" si="31"/>
        <v>-2.30999999999999</v>
      </c>
      <c r="N2264" s="338"/>
      <c r="O2264" s="338">
        <f t="shared" si="30"/>
        <v>0</v>
      </c>
    </row>
    <row r="2265" spans="13:15">
      <c r="M2265" s="338">
        <f t="shared" si="31"/>
        <v>-2.31999999999999</v>
      </c>
      <c r="N2265" s="338"/>
      <c r="O2265" s="338">
        <f t="shared" si="30"/>
        <v>0</v>
      </c>
    </row>
    <row r="2266" spans="13:15">
      <c r="M2266" s="338">
        <f t="shared" si="31"/>
        <v>-2.32999999999999</v>
      </c>
      <c r="N2266" s="338"/>
      <c r="O2266" s="338">
        <f t="shared" ref="O2266:O2329" si="32">1*(N2266&lt;$N$79)</f>
        <v>0</v>
      </c>
    </row>
    <row r="2267" spans="13:15">
      <c r="M2267" s="338">
        <f t="shared" si="31"/>
        <v>-2.33999999999999</v>
      </c>
      <c r="N2267" s="338"/>
      <c r="O2267" s="338">
        <f t="shared" si="32"/>
        <v>0</v>
      </c>
    </row>
    <row r="2268" spans="13:15">
      <c r="M2268" s="338">
        <f t="shared" si="31"/>
        <v>-2.34999999999999</v>
      </c>
      <c r="N2268" s="338"/>
      <c r="O2268" s="338">
        <f t="shared" si="32"/>
        <v>0</v>
      </c>
    </row>
    <row r="2269" spans="13:15">
      <c r="M2269" s="338">
        <f t="shared" si="31"/>
        <v>-2.35999999999999</v>
      </c>
      <c r="N2269" s="338"/>
      <c r="O2269" s="338">
        <f t="shared" si="32"/>
        <v>0</v>
      </c>
    </row>
    <row r="2270" spans="13:15">
      <c r="M2270" s="338">
        <f t="shared" si="31"/>
        <v>-2.36999999999999</v>
      </c>
      <c r="N2270" s="338"/>
      <c r="O2270" s="338">
        <f t="shared" si="32"/>
        <v>0</v>
      </c>
    </row>
    <row r="2271" spans="13:15">
      <c r="M2271" s="338">
        <f t="shared" si="31"/>
        <v>-2.37999999999999</v>
      </c>
      <c r="N2271" s="338"/>
      <c r="O2271" s="338">
        <f t="shared" si="32"/>
        <v>0</v>
      </c>
    </row>
    <row r="2272" spans="13:15">
      <c r="M2272" s="338">
        <f t="shared" si="31"/>
        <v>-2.38999999999999</v>
      </c>
      <c r="N2272" s="338"/>
      <c r="O2272" s="338">
        <f t="shared" si="32"/>
        <v>0</v>
      </c>
    </row>
    <row r="2273" spans="13:15">
      <c r="M2273" s="338">
        <f t="shared" si="31"/>
        <v>-2.39999999999999</v>
      </c>
      <c r="N2273" s="338"/>
      <c r="O2273" s="338">
        <f t="shared" si="32"/>
        <v>0</v>
      </c>
    </row>
    <row r="2274" spans="13:15">
      <c r="M2274" s="338">
        <f t="shared" si="31"/>
        <v>-2.40999999999999</v>
      </c>
      <c r="N2274" s="338"/>
      <c r="O2274" s="338">
        <f t="shared" si="32"/>
        <v>0</v>
      </c>
    </row>
    <row r="2275" spans="13:15">
      <c r="M2275" s="338">
        <f t="shared" si="31"/>
        <v>-2.41999999999999</v>
      </c>
      <c r="N2275" s="338"/>
      <c r="O2275" s="338">
        <f t="shared" si="32"/>
        <v>0</v>
      </c>
    </row>
    <row r="2276" spans="13:15">
      <c r="M2276" s="338">
        <f t="shared" si="31"/>
        <v>-2.42999999999999</v>
      </c>
      <c r="N2276" s="338"/>
      <c r="O2276" s="338">
        <f t="shared" si="32"/>
        <v>0</v>
      </c>
    </row>
    <row r="2277" spans="13:15">
      <c r="M2277" s="338">
        <f t="shared" si="31"/>
        <v>-2.43999999999999</v>
      </c>
      <c r="N2277" s="338"/>
      <c r="O2277" s="338">
        <f t="shared" si="32"/>
        <v>0</v>
      </c>
    </row>
    <row r="2278" spans="13:15">
      <c r="M2278" s="338">
        <f t="shared" si="31"/>
        <v>-2.44999999999999</v>
      </c>
      <c r="N2278" s="338"/>
      <c r="O2278" s="338">
        <f t="shared" si="32"/>
        <v>0</v>
      </c>
    </row>
    <row r="2279" spans="13:15">
      <c r="M2279" s="338">
        <f t="shared" si="31"/>
        <v>-2.45999999999999</v>
      </c>
      <c r="N2279" s="338"/>
      <c r="O2279" s="338">
        <f t="shared" si="32"/>
        <v>0</v>
      </c>
    </row>
    <row r="2280" spans="13:15">
      <c r="M2280" s="338">
        <f t="shared" si="31"/>
        <v>-2.46999999999999</v>
      </c>
      <c r="N2280" s="338"/>
      <c r="O2280" s="338">
        <f t="shared" si="32"/>
        <v>0</v>
      </c>
    </row>
    <row r="2281" spans="13:15">
      <c r="M2281" s="338">
        <f t="shared" si="31"/>
        <v>-2.47999999999999</v>
      </c>
      <c r="N2281" s="338"/>
      <c r="O2281" s="338">
        <f t="shared" si="32"/>
        <v>0</v>
      </c>
    </row>
    <row r="2282" spans="13:15">
      <c r="M2282" s="338">
        <f t="shared" si="31"/>
        <v>-2.48999999999999</v>
      </c>
      <c r="N2282" s="338"/>
      <c r="O2282" s="338">
        <f t="shared" si="32"/>
        <v>0</v>
      </c>
    </row>
    <row r="2283" spans="13:15">
      <c r="M2283" s="338">
        <f t="shared" si="31"/>
        <v>-2.49999999999999</v>
      </c>
      <c r="N2283" s="338"/>
      <c r="O2283" s="338">
        <f t="shared" si="32"/>
        <v>0</v>
      </c>
    </row>
    <row r="2284" spans="13:15">
      <c r="M2284" s="338">
        <f t="shared" si="31"/>
        <v>-2.50999999999999</v>
      </c>
      <c r="N2284" s="338"/>
      <c r="O2284" s="338">
        <f t="shared" si="32"/>
        <v>0</v>
      </c>
    </row>
    <row r="2285" spans="13:15">
      <c r="M2285" s="338">
        <f t="shared" si="31"/>
        <v>-2.51999999999999</v>
      </c>
      <c r="N2285" s="338"/>
      <c r="O2285" s="338">
        <f t="shared" si="32"/>
        <v>0</v>
      </c>
    </row>
    <row r="2286" spans="13:15">
      <c r="M2286" s="338">
        <f t="shared" si="31"/>
        <v>-2.52999999999999</v>
      </c>
      <c r="N2286" s="338"/>
      <c r="O2286" s="338">
        <f t="shared" si="32"/>
        <v>0</v>
      </c>
    </row>
    <row r="2287" spans="13:15">
      <c r="M2287" s="338">
        <f t="shared" si="31"/>
        <v>-2.53999999999999</v>
      </c>
      <c r="N2287" s="338"/>
      <c r="O2287" s="338">
        <f t="shared" si="32"/>
        <v>0</v>
      </c>
    </row>
    <row r="2288" spans="13:15">
      <c r="M2288" s="338">
        <f t="shared" si="31"/>
        <v>-2.54999999999999</v>
      </c>
      <c r="N2288" s="338"/>
      <c r="O2288" s="338">
        <f t="shared" si="32"/>
        <v>0</v>
      </c>
    </row>
    <row r="2289" spans="13:15">
      <c r="M2289" s="338">
        <f t="shared" si="31"/>
        <v>-2.55999999999999</v>
      </c>
      <c r="N2289" s="338"/>
      <c r="O2289" s="338">
        <f t="shared" si="32"/>
        <v>0</v>
      </c>
    </row>
    <row r="2290" spans="13:15">
      <c r="M2290" s="338">
        <f t="shared" si="31"/>
        <v>-2.56999999999999</v>
      </c>
      <c r="N2290" s="338"/>
      <c r="O2290" s="338">
        <f t="shared" si="32"/>
        <v>0</v>
      </c>
    </row>
    <row r="2291" spans="13:15">
      <c r="M2291" s="338">
        <f t="shared" si="31"/>
        <v>-2.57999999999999</v>
      </c>
      <c r="N2291" s="338"/>
      <c r="O2291" s="338">
        <f t="shared" si="32"/>
        <v>0</v>
      </c>
    </row>
    <row r="2292" spans="13:15">
      <c r="M2292" s="338">
        <f t="shared" si="31"/>
        <v>-2.58999999999999</v>
      </c>
      <c r="N2292" s="338"/>
      <c r="O2292" s="338">
        <f t="shared" si="32"/>
        <v>0</v>
      </c>
    </row>
    <row r="2293" spans="13:15">
      <c r="M2293" s="338">
        <f t="shared" si="31"/>
        <v>-2.59999999999999</v>
      </c>
      <c r="N2293" s="338"/>
      <c r="O2293" s="338">
        <f t="shared" si="32"/>
        <v>0</v>
      </c>
    </row>
    <row r="2294" spans="13:15">
      <c r="M2294" s="338">
        <f t="shared" si="31"/>
        <v>-2.60999999999999</v>
      </c>
      <c r="N2294" s="338"/>
      <c r="O2294" s="338">
        <f t="shared" si="32"/>
        <v>0</v>
      </c>
    </row>
    <row r="2295" spans="13:15">
      <c r="M2295" s="338">
        <f t="shared" si="31"/>
        <v>-2.61999999999999</v>
      </c>
      <c r="N2295" s="338"/>
      <c r="O2295" s="338">
        <f t="shared" si="32"/>
        <v>0</v>
      </c>
    </row>
    <row r="2296" spans="13:15">
      <c r="M2296" s="338">
        <f t="shared" si="31"/>
        <v>-2.62999999999999</v>
      </c>
      <c r="N2296" s="338"/>
      <c r="O2296" s="338">
        <f t="shared" si="32"/>
        <v>0</v>
      </c>
    </row>
    <row r="2297" spans="13:15">
      <c r="M2297" s="338">
        <f t="shared" si="31"/>
        <v>-2.63999999999999</v>
      </c>
      <c r="N2297" s="338"/>
      <c r="O2297" s="338">
        <f t="shared" si="32"/>
        <v>0</v>
      </c>
    </row>
    <row r="2298" spans="13:15">
      <c r="M2298" s="338">
        <f t="shared" si="31"/>
        <v>-2.64999999999999</v>
      </c>
      <c r="N2298" s="338"/>
      <c r="O2298" s="338">
        <f t="shared" si="32"/>
        <v>0</v>
      </c>
    </row>
    <row r="2299" spans="13:15">
      <c r="M2299" s="338">
        <f t="shared" si="31"/>
        <v>-2.65999999999999</v>
      </c>
      <c r="N2299" s="338"/>
      <c r="O2299" s="338">
        <f t="shared" si="32"/>
        <v>0</v>
      </c>
    </row>
    <row r="2300" spans="13:15">
      <c r="M2300" s="338">
        <f t="shared" si="31"/>
        <v>-2.66999999999999</v>
      </c>
      <c r="N2300" s="338"/>
      <c r="O2300" s="338">
        <f t="shared" si="32"/>
        <v>0</v>
      </c>
    </row>
    <row r="2301" spans="13:15">
      <c r="M2301" s="338">
        <f t="shared" si="31"/>
        <v>-2.67999999999999</v>
      </c>
      <c r="N2301" s="338"/>
      <c r="O2301" s="338">
        <f t="shared" si="32"/>
        <v>0</v>
      </c>
    </row>
    <row r="2302" spans="13:15">
      <c r="M2302" s="338">
        <f t="shared" si="31"/>
        <v>-2.68999999999999</v>
      </c>
      <c r="N2302" s="338"/>
      <c r="O2302" s="338">
        <f t="shared" si="32"/>
        <v>0</v>
      </c>
    </row>
    <row r="2303" spans="13:15">
      <c r="M2303" s="338">
        <f t="shared" si="31"/>
        <v>-2.69999999999999</v>
      </c>
      <c r="N2303" s="338"/>
      <c r="O2303" s="338">
        <f t="shared" si="32"/>
        <v>0</v>
      </c>
    </row>
    <row r="2304" spans="13:15">
      <c r="M2304" s="338">
        <f t="shared" si="31"/>
        <v>-2.70999999999999</v>
      </c>
      <c r="N2304" s="338"/>
      <c r="O2304" s="338">
        <f t="shared" si="32"/>
        <v>0</v>
      </c>
    </row>
    <row r="2305" spans="13:15">
      <c r="M2305" s="338">
        <f t="shared" si="31"/>
        <v>-2.71999999999999</v>
      </c>
      <c r="N2305" s="338"/>
      <c r="O2305" s="338">
        <f t="shared" si="32"/>
        <v>0</v>
      </c>
    </row>
    <row r="2306" spans="13:15">
      <c r="M2306" s="338">
        <f t="shared" si="31"/>
        <v>-2.72999999999999</v>
      </c>
      <c r="N2306" s="338"/>
      <c r="O2306" s="338">
        <f t="shared" si="32"/>
        <v>0</v>
      </c>
    </row>
    <row r="2307" spans="13:15">
      <c r="M2307" s="338">
        <f t="shared" si="31"/>
        <v>-2.73999999999999</v>
      </c>
      <c r="N2307" s="338"/>
      <c r="O2307" s="338">
        <f t="shared" si="32"/>
        <v>0</v>
      </c>
    </row>
    <row r="2308" spans="13:15">
      <c r="M2308" s="338">
        <f t="shared" si="31"/>
        <v>-2.74999999999999</v>
      </c>
      <c r="N2308" s="338"/>
      <c r="O2308" s="338">
        <f t="shared" si="32"/>
        <v>0</v>
      </c>
    </row>
    <row r="2309" spans="13:15">
      <c r="M2309" s="338">
        <f t="shared" si="31"/>
        <v>-2.75999999999998</v>
      </c>
      <c r="N2309" s="338"/>
      <c r="O2309" s="338">
        <f t="shared" si="32"/>
        <v>0</v>
      </c>
    </row>
    <row r="2310" spans="13:15">
      <c r="M2310" s="338">
        <f t="shared" si="31"/>
        <v>-2.76999999999998</v>
      </c>
      <c r="N2310" s="338"/>
      <c r="O2310" s="338">
        <f t="shared" si="32"/>
        <v>0</v>
      </c>
    </row>
    <row r="2311" spans="13:15">
      <c r="M2311" s="338">
        <f t="shared" si="31"/>
        <v>-2.77999999999998</v>
      </c>
      <c r="N2311" s="338"/>
      <c r="O2311" s="338">
        <f t="shared" si="32"/>
        <v>0</v>
      </c>
    </row>
    <row r="2312" spans="13:15">
      <c r="M2312" s="338">
        <f t="shared" si="31"/>
        <v>-2.78999999999998</v>
      </c>
      <c r="N2312" s="338"/>
      <c r="O2312" s="338">
        <f t="shared" si="32"/>
        <v>0</v>
      </c>
    </row>
    <row r="2313" spans="13:15">
      <c r="M2313" s="338">
        <f t="shared" si="31"/>
        <v>-2.79999999999998</v>
      </c>
      <c r="N2313" s="338"/>
      <c r="O2313" s="338">
        <f t="shared" si="32"/>
        <v>0</v>
      </c>
    </row>
    <row r="2314" spans="13:15">
      <c r="M2314" s="338">
        <f t="shared" si="31"/>
        <v>-2.80999999999998</v>
      </c>
      <c r="N2314" s="338"/>
      <c r="O2314" s="338">
        <f t="shared" si="32"/>
        <v>0</v>
      </c>
    </row>
    <row r="2315" spans="13:15">
      <c r="M2315" s="338">
        <f t="shared" si="31"/>
        <v>-2.81999999999998</v>
      </c>
      <c r="N2315" s="338"/>
      <c r="O2315" s="338">
        <f t="shared" si="32"/>
        <v>0</v>
      </c>
    </row>
    <row r="2316" spans="13:15">
      <c r="M2316" s="338">
        <f t="shared" si="31"/>
        <v>-2.82999999999998</v>
      </c>
      <c r="N2316" s="338"/>
      <c r="O2316" s="338">
        <f t="shared" si="32"/>
        <v>0</v>
      </c>
    </row>
    <row r="2317" spans="13:15">
      <c r="M2317" s="338">
        <f t="shared" si="31"/>
        <v>-2.83999999999998</v>
      </c>
      <c r="N2317" s="338"/>
      <c r="O2317" s="338">
        <f t="shared" si="32"/>
        <v>0</v>
      </c>
    </row>
    <row r="2318" spans="13:15">
      <c r="M2318" s="338">
        <f t="shared" si="31"/>
        <v>-2.84999999999998</v>
      </c>
      <c r="N2318" s="338"/>
      <c r="O2318" s="338">
        <f t="shared" si="32"/>
        <v>0</v>
      </c>
    </row>
    <row r="2319" spans="13:15">
      <c r="M2319" s="338">
        <f t="shared" si="31"/>
        <v>-2.85999999999998</v>
      </c>
      <c r="N2319" s="338"/>
      <c r="O2319" s="338">
        <f t="shared" si="32"/>
        <v>0</v>
      </c>
    </row>
    <row r="2320" spans="13:15">
      <c r="M2320" s="338">
        <f t="shared" si="31"/>
        <v>-2.86999999999998</v>
      </c>
      <c r="N2320" s="338"/>
      <c r="O2320" s="338">
        <f t="shared" si="32"/>
        <v>0</v>
      </c>
    </row>
    <row r="2321" spans="13:15">
      <c r="M2321" s="338">
        <f t="shared" si="31"/>
        <v>-2.87999999999998</v>
      </c>
      <c r="N2321" s="338"/>
      <c r="O2321" s="338">
        <f t="shared" si="32"/>
        <v>0</v>
      </c>
    </row>
    <row r="2322" spans="13:15">
      <c r="M2322" s="338">
        <f t="shared" si="31"/>
        <v>-2.88999999999998</v>
      </c>
      <c r="N2322" s="338"/>
      <c r="O2322" s="338">
        <f t="shared" si="32"/>
        <v>0</v>
      </c>
    </row>
    <row r="2323" spans="13:15">
      <c r="M2323" s="338">
        <f t="shared" si="31"/>
        <v>-2.89999999999998</v>
      </c>
      <c r="N2323" s="338"/>
      <c r="O2323" s="338">
        <f t="shared" si="32"/>
        <v>0</v>
      </c>
    </row>
    <row r="2324" spans="13:15">
      <c r="M2324" s="338">
        <f t="shared" si="31"/>
        <v>-2.90999999999998</v>
      </c>
      <c r="N2324" s="338"/>
      <c r="O2324" s="338">
        <f t="shared" si="32"/>
        <v>0</v>
      </c>
    </row>
    <row r="2325" spans="13:15">
      <c r="M2325" s="338">
        <f t="shared" ref="M2325:M2388" si="33">-0.01+M2324</f>
        <v>-2.91999999999998</v>
      </c>
      <c r="N2325" s="338"/>
      <c r="O2325" s="338">
        <f t="shared" si="32"/>
        <v>0</v>
      </c>
    </row>
    <row r="2326" spans="13:15">
      <c r="M2326" s="338">
        <f t="shared" si="33"/>
        <v>-2.92999999999998</v>
      </c>
      <c r="N2326" s="338"/>
      <c r="O2326" s="338">
        <f t="shared" si="32"/>
        <v>0</v>
      </c>
    </row>
    <row r="2327" spans="13:15">
      <c r="M2327" s="338">
        <f t="shared" si="33"/>
        <v>-2.93999999999998</v>
      </c>
      <c r="N2327" s="338"/>
      <c r="O2327" s="338">
        <f t="shared" si="32"/>
        <v>0</v>
      </c>
    </row>
    <row r="2328" spans="13:15">
      <c r="M2328" s="338">
        <f t="shared" si="33"/>
        <v>-2.94999999999998</v>
      </c>
      <c r="N2328" s="338"/>
      <c r="O2328" s="338">
        <f t="shared" si="32"/>
        <v>0</v>
      </c>
    </row>
    <row r="2329" spans="13:15">
      <c r="M2329" s="338">
        <f t="shared" si="33"/>
        <v>-2.95999999999998</v>
      </c>
      <c r="N2329" s="338"/>
      <c r="O2329" s="338">
        <f t="shared" si="32"/>
        <v>0</v>
      </c>
    </row>
    <row r="2330" spans="13:15">
      <c r="M2330" s="338">
        <f t="shared" si="33"/>
        <v>-2.96999999999998</v>
      </c>
      <c r="N2330" s="338"/>
      <c r="O2330" s="338">
        <f t="shared" ref="O2330:O2393" si="34">1*(N2330&lt;$N$79)</f>
        <v>0</v>
      </c>
    </row>
    <row r="2331" spans="13:15">
      <c r="M2331" s="338">
        <f t="shared" si="33"/>
        <v>-2.97999999999998</v>
      </c>
      <c r="N2331" s="338"/>
      <c r="O2331" s="338">
        <f t="shared" si="34"/>
        <v>0</v>
      </c>
    </row>
    <row r="2332" spans="13:15">
      <c r="M2332" s="338">
        <f t="shared" si="33"/>
        <v>-2.98999999999998</v>
      </c>
      <c r="N2332" s="338"/>
      <c r="O2332" s="338">
        <f t="shared" si="34"/>
        <v>0</v>
      </c>
    </row>
    <row r="2333" spans="13:15">
      <c r="M2333" s="338">
        <f t="shared" si="33"/>
        <v>-2.99999999999998</v>
      </c>
      <c r="N2333" s="338"/>
      <c r="O2333" s="338">
        <f t="shared" si="34"/>
        <v>0</v>
      </c>
    </row>
    <row r="2334" spans="13:15">
      <c r="M2334" s="338">
        <f t="shared" si="33"/>
        <v>-3.00999999999998</v>
      </c>
      <c r="N2334" s="338"/>
      <c r="O2334" s="338">
        <f t="shared" si="34"/>
        <v>0</v>
      </c>
    </row>
    <row r="2335" spans="13:15">
      <c r="M2335" s="338">
        <f t="shared" si="33"/>
        <v>-3.01999999999998</v>
      </c>
      <c r="N2335" s="338"/>
      <c r="O2335" s="338">
        <f t="shared" si="34"/>
        <v>0</v>
      </c>
    </row>
    <row r="2336" spans="13:15">
      <c r="M2336" s="338">
        <f t="shared" si="33"/>
        <v>-3.02999999999998</v>
      </c>
      <c r="N2336" s="338"/>
      <c r="O2336" s="338">
        <f t="shared" si="34"/>
        <v>0</v>
      </c>
    </row>
    <row r="2337" spans="13:15">
      <c r="M2337" s="338">
        <f t="shared" si="33"/>
        <v>-3.03999999999998</v>
      </c>
      <c r="N2337" s="338"/>
      <c r="O2337" s="338">
        <f t="shared" si="34"/>
        <v>0</v>
      </c>
    </row>
    <row r="2338" spans="13:15">
      <c r="M2338" s="338">
        <f t="shared" si="33"/>
        <v>-3.04999999999998</v>
      </c>
      <c r="N2338" s="338"/>
      <c r="O2338" s="338">
        <f t="shared" si="34"/>
        <v>0</v>
      </c>
    </row>
    <row r="2339" spans="13:15">
      <c r="M2339" s="338">
        <f t="shared" si="33"/>
        <v>-3.05999999999998</v>
      </c>
      <c r="N2339" s="338"/>
      <c r="O2339" s="338">
        <f t="shared" si="34"/>
        <v>0</v>
      </c>
    </row>
    <row r="2340" spans="13:15">
      <c r="M2340" s="338">
        <f t="shared" si="33"/>
        <v>-3.06999999999998</v>
      </c>
      <c r="N2340" s="338"/>
      <c r="O2340" s="338">
        <f t="shared" si="34"/>
        <v>0</v>
      </c>
    </row>
    <row r="2341" spans="13:15">
      <c r="M2341" s="338">
        <f t="shared" si="33"/>
        <v>-3.07999999999998</v>
      </c>
      <c r="N2341" s="338"/>
      <c r="O2341" s="338">
        <f t="shared" si="34"/>
        <v>0</v>
      </c>
    </row>
    <row r="2342" spans="13:15">
      <c r="M2342" s="338">
        <f t="shared" si="33"/>
        <v>-3.08999999999998</v>
      </c>
      <c r="N2342" s="338"/>
      <c r="O2342" s="338">
        <f t="shared" si="34"/>
        <v>0</v>
      </c>
    </row>
    <row r="2343" spans="13:15">
      <c r="M2343" s="338">
        <f t="shared" si="33"/>
        <v>-3.09999999999998</v>
      </c>
      <c r="N2343" s="338"/>
      <c r="O2343" s="338">
        <f t="shared" si="34"/>
        <v>0</v>
      </c>
    </row>
    <row r="2344" spans="13:15">
      <c r="M2344" s="338">
        <f t="shared" si="33"/>
        <v>-3.10999999999998</v>
      </c>
      <c r="N2344" s="338"/>
      <c r="O2344" s="338">
        <f t="shared" si="34"/>
        <v>0</v>
      </c>
    </row>
    <row r="2345" spans="13:15">
      <c r="M2345" s="338">
        <f t="shared" si="33"/>
        <v>-3.11999999999998</v>
      </c>
      <c r="N2345" s="338"/>
      <c r="O2345" s="338">
        <f t="shared" si="34"/>
        <v>0</v>
      </c>
    </row>
    <row r="2346" spans="13:15">
      <c r="M2346" s="338">
        <f t="shared" si="33"/>
        <v>-3.12999999999998</v>
      </c>
      <c r="N2346" s="338"/>
      <c r="O2346" s="338">
        <f t="shared" si="34"/>
        <v>0</v>
      </c>
    </row>
    <row r="2347" spans="13:15">
      <c r="M2347" s="338">
        <f t="shared" si="33"/>
        <v>-3.13999999999998</v>
      </c>
      <c r="N2347" s="338"/>
      <c r="O2347" s="338">
        <f t="shared" si="34"/>
        <v>0</v>
      </c>
    </row>
    <row r="2348" spans="13:15">
      <c r="M2348" s="338">
        <f t="shared" si="33"/>
        <v>-3.14999999999998</v>
      </c>
      <c r="N2348" s="338"/>
      <c r="O2348" s="338">
        <f t="shared" si="34"/>
        <v>0</v>
      </c>
    </row>
    <row r="2349" spans="13:15">
      <c r="M2349" s="338">
        <f t="shared" si="33"/>
        <v>-3.15999999999998</v>
      </c>
      <c r="N2349" s="338"/>
      <c r="O2349" s="338">
        <f t="shared" si="34"/>
        <v>0</v>
      </c>
    </row>
    <row r="2350" spans="13:15">
      <c r="M2350" s="338">
        <f t="shared" si="33"/>
        <v>-3.16999999999998</v>
      </c>
      <c r="N2350" s="338"/>
      <c r="O2350" s="338">
        <f t="shared" si="34"/>
        <v>0</v>
      </c>
    </row>
    <row r="2351" spans="13:15">
      <c r="M2351" s="338">
        <f t="shared" si="33"/>
        <v>-3.17999999999998</v>
      </c>
      <c r="N2351" s="338"/>
      <c r="O2351" s="338">
        <f t="shared" si="34"/>
        <v>0</v>
      </c>
    </row>
    <row r="2352" spans="13:15">
      <c r="M2352" s="338">
        <f t="shared" si="33"/>
        <v>-3.18999999999998</v>
      </c>
      <c r="N2352" s="338"/>
      <c r="O2352" s="338">
        <f t="shared" si="34"/>
        <v>0</v>
      </c>
    </row>
    <row r="2353" spans="13:15">
      <c r="M2353" s="338">
        <f t="shared" si="33"/>
        <v>-3.19999999999998</v>
      </c>
      <c r="N2353" s="338"/>
      <c r="O2353" s="338">
        <f t="shared" si="34"/>
        <v>0</v>
      </c>
    </row>
    <row r="2354" spans="13:15">
      <c r="M2354" s="338">
        <f t="shared" si="33"/>
        <v>-3.20999999999998</v>
      </c>
      <c r="N2354" s="338"/>
      <c r="O2354" s="338">
        <f t="shared" si="34"/>
        <v>0</v>
      </c>
    </row>
    <row r="2355" spans="13:15">
      <c r="M2355" s="338">
        <f t="shared" si="33"/>
        <v>-3.21999999999998</v>
      </c>
      <c r="N2355" s="338"/>
      <c r="O2355" s="338">
        <f t="shared" si="34"/>
        <v>0</v>
      </c>
    </row>
    <row r="2356" spans="13:15">
      <c r="M2356" s="338">
        <f t="shared" si="33"/>
        <v>-3.22999999999997</v>
      </c>
      <c r="N2356" s="338"/>
      <c r="O2356" s="338">
        <f t="shared" si="34"/>
        <v>0</v>
      </c>
    </row>
    <row r="2357" spans="13:15">
      <c r="M2357" s="338">
        <f t="shared" si="33"/>
        <v>-3.23999999999997</v>
      </c>
      <c r="N2357" s="338"/>
      <c r="O2357" s="338">
        <f t="shared" si="34"/>
        <v>0</v>
      </c>
    </row>
    <row r="2358" spans="13:15">
      <c r="M2358" s="338">
        <f t="shared" si="33"/>
        <v>-3.24999999999997</v>
      </c>
      <c r="N2358" s="338"/>
      <c r="O2358" s="338">
        <f t="shared" si="34"/>
        <v>0</v>
      </c>
    </row>
    <row r="2359" spans="13:15">
      <c r="M2359" s="338">
        <f t="shared" si="33"/>
        <v>-3.25999999999997</v>
      </c>
      <c r="N2359" s="338"/>
      <c r="O2359" s="338">
        <f t="shared" si="34"/>
        <v>0</v>
      </c>
    </row>
    <row r="2360" spans="13:15">
      <c r="M2360" s="338">
        <f t="shared" si="33"/>
        <v>-3.26999999999997</v>
      </c>
      <c r="N2360" s="338"/>
      <c r="O2360" s="338">
        <f t="shared" si="34"/>
        <v>0</v>
      </c>
    </row>
    <row r="2361" spans="13:15">
      <c r="M2361" s="338">
        <f t="shared" si="33"/>
        <v>-3.27999999999997</v>
      </c>
      <c r="N2361" s="338"/>
      <c r="O2361" s="338">
        <f t="shared" si="34"/>
        <v>0</v>
      </c>
    </row>
    <row r="2362" spans="13:15">
      <c r="M2362" s="338">
        <f t="shared" si="33"/>
        <v>-3.28999999999997</v>
      </c>
      <c r="N2362" s="338"/>
      <c r="O2362" s="338">
        <f t="shared" si="34"/>
        <v>0</v>
      </c>
    </row>
    <row r="2363" spans="13:15">
      <c r="M2363" s="338">
        <f t="shared" si="33"/>
        <v>-3.29999999999997</v>
      </c>
      <c r="N2363" s="338"/>
      <c r="O2363" s="338">
        <f t="shared" si="34"/>
        <v>0</v>
      </c>
    </row>
    <row r="2364" spans="13:15">
      <c r="M2364" s="338">
        <f t="shared" si="33"/>
        <v>-3.30999999999997</v>
      </c>
      <c r="N2364" s="338"/>
      <c r="O2364" s="338">
        <f t="shared" si="34"/>
        <v>0</v>
      </c>
    </row>
    <row r="2365" spans="13:15">
      <c r="M2365" s="338">
        <f t="shared" si="33"/>
        <v>-3.31999999999997</v>
      </c>
      <c r="N2365" s="338"/>
      <c r="O2365" s="338">
        <f t="shared" si="34"/>
        <v>0</v>
      </c>
    </row>
    <row r="2366" spans="13:15">
      <c r="M2366" s="338">
        <f t="shared" si="33"/>
        <v>-3.32999999999997</v>
      </c>
      <c r="N2366" s="338"/>
      <c r="O2366" s="338">
        <f t="shared" si="34"/>
        <v>0</v>
      </c>
    </row>
    <row r="2367" spans="13:15">
      <c r="M2367" s="338">
        <f t="shared" si="33"/>
        <v>-3.33999999999997</v>
      </c>
      <c r="N2367" s="338"/>
      <c r="O2367" s="338">
        <f t="shared" si="34"/>
        <v>0</v>
      </c>
    </row>
    <row r="2368" spans="13:15">
      <c r="M2368" s="338">
        <f t="shared" si="33"/>
        <v>-3.34999999999997</v>
      </c>
      <c r="N2368" s="338"/>
      <c r="O2368" s="338">
        <f t="shared" si="34"/>
        <v>0</v>
      </c>
    </row>
    <row r="2369" spans="13:15">
      <c r="M2369" s="338">
        <f t="shared" si="33"/>
        <v>-3.35999999999997</v>
      </c>
      <c r="N2369" s="338"/>
      <c r="O2369" s="338">
        <f t="shared" si="34"/>
        <v>0</v>
      </c>
    </row>
    <row r="2370" spans="13:15">
      <c r="M2370" s="338">
        <f t="shared" si="33"/>
        <v>-3.36999999999997</v>
      </c>
      <c r="N2370" s="338"/>
      <c r="O2370" s="338">
        <f t="shared" si="34"/>
        <v>0</v>
      </c>
    </row>
    <row r="2371" spans="13:15">
      <c r="M2371" s="338">
        <f t="shared" si="33"/>
        <v>-3.37999999999997</v>
      </c>
      <c r="N2371" s="338"/>
      <c r="O2371" s="338">
        <f t="shared" si="34"/>
        <v>0</v>
      </c>
    </row>
    <row r="2372" spans="13:15">
      <c r="M2372" s="338">
        <f t="shared" si="33"/>
        <v>-3.38999999999997</v>
      </c>
      <c r="N2372" s="338"/>
      <c r="O2372" s="338">
        <f t="shared" si="34"/>
        <v>0</v>
      </c>
    </row>
    <row r="2373" spans="13:15">
      <c r="M2373" s="338">
        <f t="shared" si="33"/>
        <v>-3.39999999999997</v>
      </c>
      <c r="N2373" s="338"/>
      <c r="O2373" s="338">
        <f t="shared" si="34"/>
        <v>0</v>
      </c>
    </row>
    <row r="2374" spans="13:15">
      <c r="M2374" s="338">
        <f t="shared" si="33"/>
        <v>-3.40999999999997</v>
      </c>
      <c r="N2374" s="338"/>
      <c r="O2374" s="338">
        <f t="shared" si="34"/>
        <v>0</v>
      </c>
    </row>
    <row r="2375" spans="13:15">
      <c r="M2375" s="338">
        <f t="shared" si="33"/>
        <v>-3.41999999999997</v>
      </c>
      <c r="N2375" s="338"/>
      <c r="O2375" s="338">
        <f t="shared" si="34"/>
        <v>0</v>
      </c>
    </row>
    <row r="2376" spans="13:15">
      <c r="M2376" s="338">
        <f t="shared" si="33"/>
        <v>-3.42999999999997</v>
      </c>
      <c r="N2376" s="338"/>
      <c r="O2376" s="338">
        <f t="shared" si="34"/>
        <v>0</v>
      </c>
    </row>
    <row r="2377" spans="13:15">
      <c r="M2377" s="338">
        <f t="shared" si="33"/>
        <v>-3.43999999999997</v>
      </c>
      <c r="N2377" s="338"/>
      <c r="O2377" s="338">
        <f t="shared" si="34"/>
        <v>0</v>
      </c>
    </row>
    <row r="2378" spans="13:15">
      <c r="M2378" s="338">
        <f t="shared" si="33"/>
        <v>-3.44999999999997</v>
      </c>
      <c r="N2378" s="338"/>
      <c r="O2378" s="338">
        <f t="shared" si="34"/>
        <v>0</v>
      </c>
    </row>
    <row r="2379" spans="13:15">
      <c r="M2379" s="338">
        <f t="shared" si="33"/>
        <v>-3.45999999999997</v>
      </c>
      <c r="N2379" s="338"/>
      <c r="O2379" s="338">
        <f t="shared" si="34"/>
        <v>0</v>
      </c>
    </row>
    <row r="2380" spans="13:15">
      <c r="M2380" s="338">
        <f t="shared" si="33"/>
        <v>-3.46999999999997</v>
      </c>
      <c r="N2380" s="338"/>
      <c r="O2380" s="338">
        <f t="shared" si="34"/>
        <v>0</v>
      </c>
    </row>
    <row r="2381" spans="13:15">
      <c r="M2381" s="338">
        <f t="shared" si="33"/>
        <v>-3.47999999999997</v>
      </c>
      <c r="N2381" s="338"/>
      <c r="O2381" s="338">
        <f t="shared" si="34"/>
        <v>0</v>
      </c>
    </row>
    <row r="2382" spans="13:15">
      <c r="M2382" s="338">
        <f t="shared" si="33"/>
        <v>-3.48999999999997</v>
      </c>
      <c r="N2382" s="338"/>
      <c r="O2382" s="338">
        <f t="shared" si="34"/>
        <v>0</v>
      </c>
    </row>
    <row r="2383" spans="13:15">
      <c r="M2383" s="338">
        <f t="shared" si="33"/>
        <v>-3.49999999999997</v>
      </c>
      <c r="N2383" s="338"/>
      <c r="O2383" s="338">
        <f t="shared" si="34"/>
        <v>0</v>
      </c>
    </row>
    <row r="2384" spans="13:15">
      <c r="M2384" s="338">
        <f t="shared" si="33"/>
        <v>-3.50999999999997</v>
      </c>
      <c r="N2384" s="338"/>
      <c r="O2384" s="338">
        <f t="shared" si="34"/>
        <v>0</v>
      </c>
    </row>
    <row r="2385" spans="13:15">
      <c r="M2385" s="338">
        <f t="shared" si="33"/>
        <v>-3.51999999999997</v>
      </c>
      <c r="N2385" s="338"/>
      <c r="O2385" s="338">
        <f t="shared" si="34"/>
        <v>0</v>
      </c>
    </row>
    <row r="2386" spans="13:15">
      <c r="M2386" s="338">
        <f t="shared" si="33"/>
        <v>-3.52999999999997</v>
      </c>
      <c r="N2386" s="338"/>
      <c r="O2386" s="338">
        <f t="shared" si="34"/>
        <v>0</v>
      </c>
    </row>
    <row r="2387" spans="13:15">
      <c r="M2387" s="338">
        <f t="shared" si="33"/>
        <v>-3.53999999999997</v>
      </c>
      <c r="N2387" s="338"/>
      <c r="O2387" s="338">
        <f t="shared" si="34"/>
        <v>0</v>
      </c>
    </row>
    <row r="2388" spans="13:15">
      <c r="M2388" s="338">
        <f t="shared" si="33"/>
        <v>-3.54999999999997</v>
      </c>
      <c r="N2388" s="338"/>
      <c r="O2388" s="338">
        <f t="shared" si="34"/>
        <v>0</v>
      </c>
    </row>
    <row r="2389" spans="13:15">
      <c r="M2389" s="338">
        <f t="shared" ref="M2389:M2452" si="35">-0.01+M2388</f>
        <v>-3.55999999999997</v>
      </c>
      <c r="N2389" s="338"/>
      <c r="O2389" s="338">
        <f t="shared" si="34"/>
        <v>0</v>
      </c>
    </row>
    <row r="2390" spans="13:15">
      <c r="M2390" s="338">
        <f t="shared" si="35"/>
        <v>-3.56999999999997</v>
      </c>
      <c r="N2390" s="338"/>
      <c r="O2390" s="338">
        <f t="shared" si="34"/>
        <v>0</v>
      </c>
    </row>
    <row r="2391" spans="13:15">
      <c r="M2391" s="338">
        <f t="shared" si="35"/>
        <v>-3.57999999999997</v>
      </c>
      <c r="N2391" s="338"/>
      <c r="O2391" s="338">
        <f t="shared" si="34"/>
        <v>0</v>
      </c>
    </row>
    <row r="2392" spans="13:15">
      <c r="M2392" s="338">
        <f t="shared" si="35"/>
        <v>-3.58999999999997</v>
      </c>
      <c r="N2392" s="338"/>
      <c r="O2392" s="338">
        <f t="shared" si="34"/>
        <v>0</v>
      </c>
    </row>
    <row r="2393" spans="13:15">
      <c r="M2393" s="338">
        <f t="shared" si="35"/>
        <v>-3.59999999999997</v>
      </c>
      <c r="N2393" s="338"/>
      <c r="O2393" s="338">
        <f t="shared" si="34"/>
        <v>0</v>
      </c>
    </row>
    <row r="2394" spans="13:15">
      <c r="M2394" s="338">
        <f t="shared" si="35"/>
        <v>-3.60999999999997</v>
      </c>
      <c r="N2394" s="338"/>
      <c r="O2394" s="338">
        <f t="shared" ref="O2394:O2457" si="36">1*(N2394&lt;$N$79)</f>
        <v>0</v>
      </c>
    </row>
    <row r="2395" spans="13:15">
      <c r="M2395" s="338">
        <f t="shared" si="35"/>
        <v>-3.61999999999997</v>
      </c>
      <c r="N2395" s="338"/>
      <c r="O2395" s="338">
        <f t="shared" si="36"/>
        <v>0</v>
      </c>
    </row>
    <row r="2396" spans="13:15">
      <c r="M2396" s="338">
        <f t="shared" si="35"/>
        <v>-3.62999999999997</v>
      </c>
      <c r="N2396" s="338"/>
      <c r="O2396" s="338">
        <f t="shared" si="36"/>
        <v>0</v>
      </c>
    </row>
    <row r="2397" spans="13:15">
      <c r="M2397" s="338">
        <f t="shared" si="35"/>
        <v>-3.63999999999997</v>
      </c>
      <c r="N2397" s="338"/>
      <c r="O2397" s="338">
        <f t="shared" si="36"/>
        <v>0</v>
      </c>
    </row>
    <row r="2398" spans="13:15">
      <c r="M2398" s="338">
        <f t="shared" si="35"/>
        <v>-3.64999999999997</v>
      </c>
      <c r="N2398" s="338"/>
      <c r="O2398" s="338">
        <f t="shared" si="36"/>
        <v>0</v>
      </c>
    </row>
    <row r="2399" spans="13:15">
      <c r="M2399" s="338">
        <f t="shared" si="35"/>
        <v>-3.65999999999997</v>
      </c>
      <c r="N2399" s="338"/>
      <c r="O2399" s="338">
        <f t="shared" si="36"/>
        <v>0</v>
      </c>
    </row>
    <row r="2400" spans="13:15">
      <c r="M2400" s="338">
        <f t="shared" si="35"/>
        <v>-3.66999999999997</v>
      </c>
      <c r="N2400" s="338"/>
      <c r="O2400" s="338">
        <f t="shared" si="36"/>
        <v>0</v>
      </c>
    </row>
    <row r="2401" spans="13:15">
      <c r="M2401" s="338">
        <f t="shared" si="35"/>
        <v>-3.67999999999997</v>
      </c>
      <c r="N2401" s="338"/>
      <c r="O2401" s="338">
        <f t="shared" si="36"/>
        <v>0</v>
      </c>
    </row>
    <row r="2402" spans="13:15">
      <c r="M2402" s="338">
        <f t="shared" si="35"/>
        <v>-3.68999999999997</v>
      </c>
      <c r="N2402" s="338"/>
      <c r="O2402" s="338">
        <f t="shared" si="36"/>
        <v>0</v>
      </c>
    </row>
    <row r="2403" spans="13:15">
      <c r="M2403" s="338">
        <f t="shared" si="35"/>
        <v>-3.69999999999996</v>
      </c>
      <c r="N2403" s="338"/>
      <c r="O2403" s="338">
        <f t="shared" si="36"/>
        <v>0</v>
      </c>
    </row>
    <row r="2404" spans="13:15">
      <c r="M2404" s="338">
        <f t="shared" si="35"/>
        <v>-3.70999999999996</v>
      </c>
      <c r="N2404" s="338"/>
      <c r="O2404" s="338">
        <f t="shared" si="36"/>
        <v>0</v>
      </c>
    </row>
    <row r="2405" spans="13:15">
      <c r="M2405" s="338">
        <f t="shared" si="35"/>
        <v>-3.71999999999996</v>
      </c>
      <c r="N2405" s="338"/>
      <c r="O2405" s="338">
        <f t="shared" si="36"/>
        <v>0</v>
      </c>
    </row>
    <row r="2406" spans="13:15">
      <c r="M2406" s="338">
        <f t="shared" si="35"/>
        <v>-3.72999999999996</v>
      </c>
      <c r="N2406" s="338"/>
      <c r="O2406" s="338">
        <f t="shared" si="36"/>
        <v>0</v>
      </c>
    </row>
    <row r="2407" spans="13:15">
      <c r="M2407" s="338">
        <f t="shared" si="35"/>
        <v>-3.73999999999996</v>
      </c>
      <c r="N2407" s="338"/>
      <c r="O2407" s="338">
        <f t="shared" si="36"/>
        <v>0</v>
      </c>
    </row>
    <row r="2408" spans="13:15">
      <c r="M2408" s="338">
        <f t="shared" si="35"/>
        <v>-3.74999999999996</v>
      </c>
      <c r="N2408" s="338"/>
      <c r="O2408" s="338">
        <f t="shared" si="36"/>
        <v>0</v>
      </c>
    </row>
    <row r="2409" spans="13:15">
      <c r="M2409" s="338">
        <f t="shared" si="35"/>
        <v>-3.75999999999996</v>
      </c>
      <c r="N2409" s="338"/>
      <c r="O2409" s="338">
        <f t="shared" si="36"/>
        <v>0</v>
      </c>
    </row>
    <row r="2410" spans="13:15">
      <c r="M2410" s="338">
        <f t="shared" si="35"/>
        <v>-3.76999999999996</v>
      </c>
      <c r="N2410" s="338"/>
      <c r="O2410" s="338">
        <f t="shared" si="36"/>
        <v>0</v>
      </c>
    </row>
    <row r="2411" spans="13:15">
      <c r="M2411" s="338">
        <f t="shared" si="35"/>
        <v>-3.77999999999996</v>
      </c>
      <c r="N2411" s="338"/>
      <c r="O2411" s="338">
        <f t="shared" si="36"/>
        <v>0</v>
      </c>
    </row>
    <row r="2412" spans="13:15">
      <c r="M2412" s="338">
        <f t="shared" si="35"/>
        <v>-3.78999999999996</v>
      </c>
      <c r="N2412" s="338"/>
      <c r="O2412" s="338">
        <f t="shared" si="36"/>
        <v>0</v>
      </c>
    </row>
    <row r="2413" spans="13:15">
      <c r="M2413" s="338">
        <f t="shared" si="35"/>
        <v>-3.79999999999996</v>
      </c>
      <c r="N2413" s="338"/>
      <c r="O2413" s="338">
        <f t="shared" si="36"/>
        <v>0</v>
      </c>
    </row>
    <row r="2414" spans="13:15">
      <c r="M2414" s="338">
        <f t="shared" si="35"/>
        <v>-3.80999999999996</v>
      </c>
      <c r="N2414" s="338"/>
      <c r="O2414" s="338">
        <f t="shared" si="36"/>
        <v>0</v>
      </c>
    </row>
    <row r="2415" spans="13:15">
      <c r="M2415" s="338">
        <f t="shared" si="35"/>
        <v>-3.81999999999996</v>
      </c>
      <c r="N2415" s="338"/>
      <c r="O2415" s="338">
        <f t="shared" si="36"/>
        <v>0</v>
      </c>
    </row>
    <row r="2416" spans="13:15">
      <c r="M2416" s="338">
        <f t="shared" si="35"/>
        <v>-3.82999999999996</v>
      </c>
      <c r="N2416" s="338"/>
      <c r="O2416" s="338">
        <f t="shared" si="36"/>
        <v>0</v>
      </c>
    </row>
    <row r="2417" spans="13:15">
      <c r="M2417" s="338">
        <f t="shared" si="35"/>
        <v>-3.83999999999996</v>
      </c>
      <c r="N2417" s="338"/>
      <c r="O2417" s="338">
        <f t="shared" si="36"/>
        <v>0</v>
      </c>
    </row>
    <row r="2418" spans="13:15">
      <c r="M2418" s="338">
        <f t="shared" si="35"/>
        <v>-3.84999999999996</v>
      </c>
      <c r="N2418" s="338"/>
      <c r="O2418" s="338">
        <f t="shared" si="36"/>
        <v>0</v>
      </c>
    </row>
    <row r="2419" spans="13:15">
      <c r="M2419" s="338">
        <f t="shared" si="35"/>
        <v>-3.85999999999996</v>
      </c>
      <c r="N2419" s="338"/>
      <c r="O2419" s="338">
        <f t="shared" si="36"/>
        <v>0</v>
      </c>
    </row>
    <row r="2420" spans="13:15">
      <c r="M2420" s="338">
        <f t="shared" si="35"/>
        <v>-3.86999999999996</v>
      </c>
      <c r="N2420" s="338"/>
      <c r="O2420" s="338">
        <f t="shared" si="36"/>
        <v>0</v>
      </c>
    </row>
    <row r="2421" spans="13:15">
      <c r="M2421" s="338">
        <f t="shared" si="35"/>
        <v>-3.87999999999996</v>
      </c>
      <c r="N2421" s="338"/>
      <c r="O2421" s="338">
        <f t="shared" si="36"/>
        <v>0</v>
      </c>
    </row>
    <row r="2422" spans="13:15">
      <c r="M2422" s="338">
        <f t="shared" si="35"/>
        <v>-3.88999999999996</v>
      </c>
      <c r="N2422" s="338"/>
      <c r="O2422" s="338">
        <f t="shared" si="36"/>
        <v>0</v>
      </c>
    </row>
    <row r="2423" spans="13:15">
      <c r="M2423" s="338">
        <f t="shared" si="35"/>
        <v>-3.89999999999996</v>
      </c>
      <c r="N2423" s="338"/>
      <c r="O2423" s="338">
        <f t="shared" si="36"/>
        <v>0</v>
      </c>
    </row>
    <row r="2424" spans="13:15">
      <c r="M2424" s="338">
        <f t="shared" si="35"/>
        <v>-3.90999999999996</v>
      </c>
      <c r="N2424" s="338"/>
      <c r="O2424" s="338">
        <f t="shared" si="36"/>
        <v>0</v>
      </c>
    </row>
    <row r="2425" spans="13:15">
      <c r="M2425" s="338">
        <f t="shared" si="35"/>
        <v>-3.91999999999996</v>
      </c>
      <c r="N2425" s="338"/>
      <c r="O2425" s="338">
        <f t="shared" si="36"/>
        <v>0</v>
      </c>
    </row>
    <row r="2426" spans="13:15">
      <c r="M2426" s="338">
        <f t="shared" si="35"/>
        <v>-3.92999999999996</v>
      </c>
      <c r="N2426" s="338"/>
      <c r="O2426" s="338">
        <f t="shared" si="36"/>
        <v>0</v>
      </c>
    </row>
    <row r="2427" spans="13:15">
      <c r="M2427" s="338">
        <f t="shared" si="35"/>
        <v>-3.93999999999996</v>
      </c>
      <c r="N2427" s="338"/>
      <c r="O2427" s="338">
        <f t="shared" si="36"/>
        <v>0</v>
      </c>
    </row>
    <row r="2428" spans="13:15">
      <c r="M2428" s="338">
        <f t="shared" si="35"/>
        <v>-3.94999999999996</v>
      </c>
      <c r="N2428" s="338"/>
      <c r="O2428" s="338">
        <f t="shared" si="36"/>
        <v>0</v>
      </c>
    </row>
    <row r="2429" spans="13:15">
      <c r="M2429" s="338">
        <f t="shared" si="35"/>
        <v>-3.95999999999996</v>
      </c>
      <c r="N2429" s="338"/>
      <c r="O2429" s="338">
        <f t="shared" si="36"/>
        <v>0</v>
      </c>
    </row>
    <row r="2430" spans="13:15">
      <c r="M2430" s="338">
        <f t="shared" si="35"/>
        <v>-3.96999999999996</v>
      </c>
      <c r="N2430" s="338"/>
      <c r="O2430" s="338">
        <f t="shared" si="36"/>
        <v>0</v>
      </c>
    </row>
    <row r="2431" spans="13:15">
      <c r="M2431" s="338">
        <f t="shared" si="35"/>
        <v>-3.97999999999996</v>
      </c>
      <c r="N2431" s="338"/>
      <c r="O2431" s="338">
        <f t="shared" si="36"/>
        <v>0</v>
      </c>
    </row>
    <row r="2432" spans="13:15">
      <c r="M2432" s="338">
        <f t="shared" si="35"/>
        <v>-3.98999999999996</v>
      </c>
      <c r="N2432" s="338"/>
      <c r="O2432" s="338">
        <f t="shared" si="36"/>
        <v>0</v>
      </c>
    </row>
    <row r="2433" spans="13:15">
      <c r="M2433" s="338">
        <f t="shared" si="35"/>
        <v>-3.99999999999996</v>
      </c>
      <c r="N2433" s="338"/>
      <c r="O2433" s="338">
        <f t="shared" si="36"/>
        <v>0</v>
      </c>
    </row>
    <row r="2434" spans="13:15">
      <c r="M2434" s="338">
        <f t="shared" si="35"/>
        <v>-4.00999999999996</v>
      </c>
      <c r="N2434" s="338"/>
      <c r="O2434" s="338">
        <f t="shared" si="36"/>
        <v>0</v>
      </c>
    </row>
    <row r="2435" spans="13:15">
      <c r="M2435" s="338">
        <f t="shared" si="35"/>
        <v>-4.01999999999996</v>
      </c>
      <c r="N2435" s="338"/>
      <c r="O2435" s="338">
        <f t="shared" si="36"/>
        <v>0</v>
      </c>
    </row>
    <row r="2436" spans="13:15">
      <c r="M2436" s="338">
        <f t="shared" si="35"/>
        <v>-4.02999999999996</v>
      </c>
      <c r="N2436" s="338"/>
      <c r="O2436" s="338">
        <f t="shared" si="36"/>
        <v>0</v>
      </c>
    </row>
    <row r="2437" spans="13:15">
      <c r="M2437" s="338">
        <f t="shared" si="35"/>
        <v>-4.03999999999996</v>
      </c>
      <c r="N2437" s="338"/>
      <c r="O2437" s="338">
        <f t="shared" si="36"/>
        <v>0</v>
      </c>
    </row>
    <row r="2438" spans="13:15">
      <c r="M2438" s="338">
        <f t="shared" si="35"/>
        <v>-4.04999999999996</v>
      </c>
      <c r="N2438" s="338"/>
      <c r="O2438" s="338">
        <f t="shared" si="36"/>
        <v>0</v>
      </c>
    </row>
    <row r="2439" spans="13:15">
      <c r="M2439" s="338">
        <f t="shared" si="35"/>
        <v>-4.05999999999996</v>
      </c>
      <c r="N2439" s="338"/>
      <c r="O2439" s="338">
        <f t="shared" si="36"/>
        <v>0</v>
      </c>
    </row>
    <row r="2440" spans="13:15">
      <c r="M2440" s="338">
        <f t="shared" si="35"/>
        <v>-4.06999999999996</v>
      </c>
      <c r="N2440" s="338"/>
      <c r="O2440" s="338">
        <f t="shared" si="36"/>
        <v>0</v>
      </c>
    </row>
    <row r="2441" spans="13:15">
      <c r="M2441" s="338">
        <f t="shared" si="35"/>
        <v>-4.07999999999996</v>
      </c>
      <c r="N2441" s="338"/>
      <c r="O2441" s="338">
        <f t="shared" si="36"/>
        <v>0</v>
      </c>
    </row>
    <row r="2442" spans="13:15">
      <c r="M2442" s="338">
        <f t="shared" si="35"/>
        <v>-4.08999999999996</v>
      </c>
      <c r="N2442" s="338"/>
      <c r="O2442" s="338">
        <f t="shared" si="36"/>
        <v>0</v>
      </c>
    </row>
    <row r="2443" spans="13:15">
      <c r="M2443" s="338">
        <f t="shared" si="35"/>
        <v>-4.09999999999996</v>
      </c>
      <c r="N2443" s="338"/>
      <c r="O2443" s="338">
        <f t="shared" si="36"/>
        <v>0</v>
      </c>
    </row>
    <row r="2444" spans="13:15">
      <c r="M2444" s="338">
        <f t="shared" si="35"/>
        <v>-4.10999999999996</v>
      </c>
      <c r="N2444" s="338"/>
      <c r="O2444" s="338">
        <f t="shared" si="36"/>
        <v>0</v>
      </c>
    </row>
    <row r="2445" spans="13:15">
      <c r="M2445" s="338">
        <f t="shared" si="35"/>
        <v>-4.11999999999996</v>
      </c>
      <c r="N2445" s="338"/>
      <c r="O2445" s="338">
        <f t="shared" si="36"/>
        <v>0</v>
      </c>
    </row>
    <row r="2446" spans="13:15">
      <c r="M2446" s="338">
        <f t="shared" si="35"/>
        <v>-4.12999999999996</v>
      </c>
      <c r="N2446" s="338"/>
      <c r="O2446" s="338">
        <f t="shared" si="36"/>
        <v>0</v>
      </c>
    </row>
    <row r="2447" spans="13:15">
      <c r="M2447" s="338">
        <f t="shared" si="35"/>
        <v>-4.13999999999996</v>
      </c>
      <c r="N2447" s="338"/>
      <c r="O2447" s="338">
        <f t="shared" si="36"/>
        <v>0</v>
      </c>
    </row>
    <row r="2448" spans="13:15">
      <c r="M2448" s="338">
        <f t="shared" si="35"/>
        <v>-4.14999999999996</v>
      </c>
      <c r="N2448" s="338"/>
      <c r="O2448" s="338">
        <f t="shared" si="36"/>
        <v>0</v>
      </c>
    </row>
    <row r="2449" spans="13:15">
      <c r="M2449" s="338">
        <f t="shared" si="35"/>
        <v>-4.15999999999996</v>
      </c>
      <c r="N2449" s="338"/>
      <c r="O2449" s="338">
        <f t="shared" si="36"/>
        <v>0</v>
      </c>
    </row>
    <row r="2450" spans="13:15">
      <c r="M2450" s="338">
        <f t="shared" si="35"/>
        <v>-4.16999999999996</v>
      </c>
      <c r="N2450" s="338"/>
      <c r="O2450" s="338">
        <f t="shared" si="36"/>
        <v>0</v>
      </c>
    </row>
    <row r="2451" spans="13:15">
      <c r="M2451" s="338">
        <f t="shared" si="35"/>
        <v>-4.17999999999996</v>
      </c>
      <c r="N2451" s="338"/>
      <c r="O2451" s="338">
        <f t="shared" si="36"/>
        <v>0</v>
      </c>
    </row>
    <row r="2452" spans="13:15">
      <c r="M2452" s="338">
        <f t="shared" si="35"/>
        <v>-4.18999999999996</v>
      </c>
      <c r="N2452" s="338"/>
      <c r="O2452" s="338">
        <f t="shared" si="36"/>
        <v>0</v>
      </c>
    </row>
    <row r="2453" spans="13:15">
      <c r="M2453" s="338">
        <f t="shared" ref="M2453:M2516" si="37">-0.01+M2452</f>
        <v>-4.19999999999995</v>
      </c>
      <c r="N2453" s="338"/>
      <c r="O2453" s="338">
        <f t="shared" si="36"/>
        <v>0</v>
      </c>
    </row>
    <row r="2454" spans="13:15">
      <c r="M2454" s="338">
        <f t="shared" si="37"/>
        <v>-4.20999999999995</v>
      </c>
      <c r="N2454" s="338"/>
      <c r="O2454" s="338">
        <f t="shared" si="36"/>
        <v>0</v>
      </c>
    </row>
    <row r="2455" spans="13:15">
      <c r="M2455" s="338">
        <f t="shared" si="37"/>
        <v>-4.21999999999995</v>
      </c>
      <c r="N2455" s="338"/>
      <c r="O2455" s="338">
        <f t="shared" si="36"/>
        <v>0</v>
      </c>
    </row>
    <row r="2456" spans="13:15">
      <c r="M2456" s="338">
        <f t="shared" si="37"/>
        <v>-4.22999999999995</v>
      </c>
      <c r="N2456" s="338"/>
      <c r="O2456" s="338">
        <f t="shared" si="36"/>
        <v>0</v>
      </c>
    </row>
    <row r="2457" spans="13:15">
      <c r="M2457" s="338">
        <f t="shared" si="37"/>
        <v>-4.23999999999995</v>
      </c>
      <c r="N2457" s="338"/>
      <c r="O2457" s="338">
        <f t="shared" si="36"/>
        <v>0</v>
      </c>
    </row>
    <row r="2458" spans="13:15">
      <c r="M2458" s="338">
        <f t="shared" si="37"/>
        <v>-4.24999999999995</v>
      </c>
      <c r="N2458" s="338"/>
      <c r="O2458" s="338">
        <f t="shared" ref="O2458:O2521" si="38">1*(N2458&lt;$N$79)</f>
        <v>0</v>
      </c>
    </row>
    <row r="2459" spans="13:15">
      <c r="M2459" s="338">
        <f t="shared" si="37"/>
        <v>-4.25999999999995</v>
      </c>
      <c r="N2459" s="338"/>
      <c r="O2459" s="338">
        <f t="shared" si="38"/>
        <v>0</v>
      </c>
    </row>
    <row r="2460" spans="13:15">
      <c r="M2460" s="338">
        <f t="shared" si="37"/>
        <v>-4.26999999999995</v>
      </c>
      <c r="N2460" s="338"/>
      <c r="O2460" s="338">
        <f t="shared" si="38"/>
        <v>0</v>
      </c>
    </row>
    <row r="2461" spans="13:15">
      <c r="M2461" s="338">
        <f t="shared" si="37"/>
        <v>-4.27999999999995</v>
      </c>
      <c r="N2461" s="338"/>
      <c r="O2461" s="338">
        <f t="shared" si="38"/>
        <v>0</v>
      </c>
    </row>
    <row r="2462" spans="13:15">
      <c r="M2462" s="338">
        <f t="shared" si="37"/>
        <v>-4.28999999999995</v>
      </c>
      <c r="N2462" s="338"/>
      <c r="O2462" s="338">
        <f t="shared" si="38"/>
        <v>0</v>
      </c>
    </row>
    <row r="2463" spans="13:15">
      <c r="M2463" s="338">
        <f t="shared" si="37"/>
        <v>-4.29999999999995</v>
      </c>
      <c r="N2463" s="338"/>
      <c r="O2463" s="338">
        <f t="shared" si="38"/>
        <v>0</v>
      </c>
    </row>
    <row r="2464" spans="13:15">
      <c r="M2464" s="338">
        <f t="shared" si="37"/>
        <v>-4.30999999999995</v>
      </c>
      <c r="N2464" s="338"/>
      <c r="O2464" s="338">
        <f t="shared" si="38"/>
        <v>0</v>
      </c>
    </row>
    <row r="2465" spans="13:15">
      <c r="M2465" s="338">
        <f t="shared" si="37"/>
        <v>-4.31999999999995</v>
      </c>
      <c r="N2465" s="338"/>
      <c r="O2465" s="338">
        <f t="shared" si="38"/>
        <v>0</v>
      </c>
    </row>
    <row r="2466" spans="13:15">
      <c r="M2466" s="338">
        <f t="shared" si="37"/>
        <v>-4.32999999999995</v>
      </c>
      <c r="N2466" s="338"/>
      <c r="O2466" s="338">
        <f t="shared" si="38"/>
        <v>0</v>
      </c>
    </row>
    <row r="2467" spans="13:15">
      <c r="M2467" s="338">
        <f t="shared" si="37"/>
        <v>-4.33999999999995</v>
      </c>
      <c r="N2467" s="338"/>
      <c r="O2467" s="338">
        <f t="shared" si="38"/>
        <v>0</v>
      </c>
    </row>
    <row r="2468" spans="13:15">
      <c r="M2468" s="338">
        <f t="shared" si="37"/>
        <v>-4.34999999999995</v>
      </c>
      <c r="N2468" s="338"/>
      <c r="O2468" s="338">
        <f t="shared" si="38"/>
        <v>0</v>
      </c>
    </row>
    <row r="2469" spans="13:15">
      <c r="M2469" s="338">
        <f t="shared" si="37"/>
        <v>-4.35999999999995</v>
      </c>
      <c r="N2469" s="338"/>
      <c r="O2469" s="338">
        <f t="shared" si="38"/>
        <v>0</v>
      </c>
    </row>
    <row r="2470" spans="13:15">
      <c r="M2470" s="338">
        <f t="shared" si="37"/>
        <v>-4.36999999999995</v>
      </c>
      <c r="N2470" s="338"/>
      <c r="O2470" s="338">
        <f t="shared" si="38"/>
        <v>0</v>
      </c>
    </row>
    <row r="2471" spans="13:15">
      <c r="M2471" s="338">
        <f t="shared" si="37"/>
        <v>-4.37999999999995</v>
      </c>
      <c r="N2471" s="338"/>
      <c r="O2471" s="338">
        <f t="shared" si="38"/>
        <v>0</v>
      </c>
    </row>
    <row r="2472" spans="13:15">
      <c r="M2472" s="338">
        <f t="shared" si="37"/>
        <v>-4.38999999999995</v>
      </c>
      <c r="N2472" s="338"/>
      <c r="O2472" s="338">
        <f t="shared" si="38"/>
        <v>0</v>
      </c>
    </row>
    <row r="2473" spans="13:15">
      <c r="M2473" s="338">
        <f t="shared" si="37"/>
        <v>-4.39999999999995</v>
      </c>
      <c r="N2473" s="338"/>
      <c r="O2473" s="338">
        <f t="shared" si="38"/>
        <v>0</v>
      </c>
    </row>
    <row r="2474" spans="13:15">
      <c r="M2474" s="338">
        <f t="shared" si="37"/>
        <v>-4.40999999999995</v>
      </c>
      <c r="N2474" s="338"/>
      <c r="O2474" s="338">
        <f t="shared" si="38"/>
        <v>0</v>
      </c>
    </row>
    <row r="2475" spans="13:15">
      <c r="M2475" s="338">
        <f t="shared" si="37"/>
        <v>-4.41999999999995</v>
      </c>
      <c r="N2475" s="338"/>
      <c r="O2475" s="338">
        <f t="shared" si="38"/>
        <v>0</v>
      </c>
    </row>
    <row r="2476" spans="13:15">
      <c r="M2476" s="338">
        <f t="shared" si="37"/>
        <v>-4.42999999999995</v>
      </c>
      <c r="N2476" s="338"/>
      <c r="O2476" s="338">
        <f t="shared" si="38"/>
        <v>0</v>
      </c>
    </row>
    <row r="2477" spans="13:15">
      <c r="M2477" s="338">
        <f t="shared" si="37"/>
        <v>-4.43999999999995</v>
      </c>
      <c r="N2477" s="338"/>
      <c r="O2477" s="338">
        <f t="shared" si="38"/>
        <v>0</v>
      </c>
    </row>
    <row r="2478" spans="13:15">
      <c r="M2478" s="338">
        <f t="shared" si="37"/>
        <v>-4.44999999999995</v>
      </c>
      <c r="N2478" s="338"/>
      <c r="O2478" s="338">
        <f t="shared" si="38"/>
        <v>0</v>
      </c>
    </row>
    <row r="2479" spans="13:15">
      <c r="M2479" s="338">
        <f t="shared" si="37"/>
        <v>-4.45999999999995</v>
      </c>
      <c r="N2479" s="338"/>
      <c r="O2479" s="338">
        <f t="shared" si="38"/>
        <v>0</v>
      </c>
    </row>
    <row r="2480" spans="13:15">
      <c r="M2480" s="338">
        <f t="shared" si="37"/>
        <v>-4.46999999999995</v>
      </c>
      <c r="N2480" s="338"/>
      <c r="O2480" s="338">
        <f t="shared" si="38"/>
        <v>0</v>
      </c>
    </row>
    <row r="2481" spans="13:15">
      <c r="M2481" s="338">
        <f t="shared" si="37"/>
        <v>-4.47999999999995</v>
      </c>
      <c r="N2481" s="338"/>
      <c r="O2481" s="338">
        <f t="shared" si="38"/>
        <v>0</v>
      </c>
    </row>
    <row r="2482" spans="13:15">
      <c r="M2482" s="338">
        <f t="shared" si="37"/>
        <v>-4.48999999999995</v>
      </c>
      <c r="N2482" s="338"/>
      <c r="O2482" s="338">
        <f t="shared" si="38"/>
        <v>0</v>
      </c>
    </row>
    <row r="2483" spans="13:15">
      <c r="M2483" s="338">
        <f t="shared" si="37"/>
        <v>-4.49999999999995</v>
      </c>
      <c r="N2483" s="338"/>
      <c r="O2483" s="338">
        <f t="shared" si="38"/>
        <v>0</v>
      </c>
    </row>
    <row r="2484" spans="13:15">
      <c r="M2484" s="338">
        <f t="shared" si="37"/>
        <v>-4.50999999999995</v>
      </c>
      <c r="N2484" s="338"/>
      <c r="O2484" s="338">
        <f t="shared" si="38"/>
        <v>0</v>
      </c>
    </row>
    <row r="2485" spans="13:15">
      <c r="M2485" s="338">
        <f t="shared" si="37"/>
        <v>-4.51999999999995</v>
      </c>
      <c r="N2485" s="338"/>
      <c r="O2485" s="338">
        <f t="shared" si="38"/>
        <v>0</v>
      </c>
    </row>
    <row r="2486" spans="13:15">
      <c r="M2486" s="338">
        <f t="shared" si="37"/>
        <v>-4.52999999999995</v>
      </c>
      <c r="N2486" s="338"/>
      <c r="O2486" s="338">
        <f t="shared" si="38"/>
        <v>0</v>
      </c>
    </row>
    <row r="2487" spans="13:15">
      <c r="M2487" s="338">
        <f t="shared" si="37"/>
        <v>-4.53999999999995</v>
      </c>
      <c r="N2487" s="338"/>
      <c r="O2487" s="338">
        <f t="shared" si="38"/>
        <v>0</v>
      </c>
    </row>
    <row r="2488" spans="13:15">
      <c r="M2488" s="338">
        <f t="shared" si="37"/>
        <v>-4.54999999999995</v>
      </c>
      <c r="N2488" s="338"/>
      <c r="O2488" s="338">
        <f t="shared" si="38"/>
        <v>0</v>
      </c>
    </row>
    <row r="2489" spans="13:15">
      <c r="M2489" s="338">
        <f t="shared" si="37"/>
        <v>-4.55999999999995</v>
      </c>
      <c r="N2489" s="338"/>
      <c r="O2489" s="338">
        <f t="shared" si="38"/>
        <v>0</v>
      </c>
    </row>
    <row r="2490" spans="13:15">
      <c r="M2490" s="338">
        <f t="shared" si="37"/>
        <v>-4.56999999999995</v>
      </c>
      <c r="N2490" s="338"/>
      <c r="O2490" s="338">
        <f t="shared" si="38"/>
        <v>0</v>
      </c>
    </row>
    <row r="2491" spans="13:15">
      <c r="M2491" s="338">
        <f t="shared" si="37"/>
        <v>-4.57999999999995</v>
      </c>
      <c r="N2491" s="338"/>
      <c r="O2491" s="338">
        <f t="shared" si="38"/>
        <v>0</v>
      </c>
    </row>
    <row r="2492" spans="13:15">
      <c r="M2492" s="338">
        <f t="shared" si="37"/>
        <v>-4.58999999999995</v>
      </c>
      <c r="N2492" s="338"/>
      <c r="O2492" s="338">
        <f t="shared" si="38"/>
        <v>0</v>
      </c>
    </row>
    <row r="2493" spans="13:15">
      <c r="M2493" s="338">
        <f t="shared" si="37"/>
        <v>-4.59999999999995</v>
      </c>
      <c r="N2493" s="338"/>
      <c r="O2493" s="338">
        <f t="shared" si="38"/>
        <v>0</v>
      </c>
    </row>
    <row r="2494" spans="13:15">
      <c r="M2494" s="338">
        <f t="shared" si="37"/>
        <v>-4.60999999999995</v>
      </c>
      <c r="N2494" s="338"/>
      <c r="O2494" s="338">
        <f t="shared" si="38"/>
        <v>0</v>
      </c>
    </row>
    <row r="2495" spans="13:15">
      <c r="M2495" s="338">
        <f t="shared" si="37"/>
        <v>-4.61999999999995</v>
      </c>
      <c r="N2495" s="338"/>
      <c r="O2495" s="338">
        <f t="shared" si="38"/>
        <v>0</v>
      </c>
    </row>
    <row r="2496" spans="13:15">
      <c r="M2496" s="338">
        <f t="shared" si="37"/>
        <v>-4.62999999999995</v>
      </c>
      <c r="N2496" s="338"/>
      <c r="O2496" s="338">
        <f t="shared" si="38"/>
        <v>0</v>
      </c>
    </row>
    <row r="2497" spans="13:15">
      <c r="M2497" s="338">
        <f t="shared" si="37"/>
        <v>-4.63999999999995</v>
      </c>
      <c r="N2497" s="338"/>
      <c r="O2497" s="338">
        <f t="shared" si="38"/>
        <v>0</v>
      </c>
    </row>
    <row r="2498" spans="13:15">
      <c r="M2498" s="338">
        <f t="shared" si="37"/>
        <v>-4.64999999999995</v>
      </c>
      <c r="N2498" s="338"/>
      <c r="O2498" s="338">
        <f t="shared" si="38"/>
        <v>0</v>
      </c>
    </row>
    <row r="2499" spans="13:15">
      <c r="M2499" s="338">
        <f t="shared" si="37"/>
        <v>-4.65999999999995</v>
      </c>
      <c r="N2499" s="338"/>
      <c r="O2499" s="338">
        <f t="shared" si="38"/>
        <v>0</v>
      </c>
    </row>
    <row r="2500" spans="13:15">
      <c r="M2500" s="338">
        <f t="shared" si="37"/>
        <v>-4.66999999999994</v>
      </c>
      <c r="N2500" s="338"/>
      <c r="O2500" s="338">
        <f t="shared" si="38"/>
        <v>0</v>
      </c>
    </row>
    <row r="2501" spans="13:15">
      <c r="M2501" s="338">
        <f t="shared" si="37"/>
        <v>-4.67999999999994</v>
      </c>
      <c r="N2501" s="338"/>
      <c r="O2501" s="338">
        <f t="shared" si="38"/>
        <v>0</v>
      </c>
    </row>
    <row r="2502" spans="13:15">
      <c r="M2502" s="338">
        <f t="shared" si="37"/>
        <v>-4.68999999999994</v>
      </c>
      <c r="N2502" s="338"/>
      <c r="O2502" s="338">
        <f t="shared" si="38"/>
        <v>0</v>
      </c>
    </row>
    <row r="2503" spans="13:15">
      <c r="M2503" s="338">
        <f t="shared" si="37"/>
        <v>-4.69999999999994</v>
      </c>
      <c r="N2503" s="338"/>
      <c r="O2503" s="338">
        <f t="shared" si="38"/>
        <v>0</v>
      </c>
    </row>
    <row r="2504" spans="13:15">
      <c r="M2504" s="338">
        <f t="shared" si="37"/>
        <v>-4.70999999999994</v>
      </c>
      <c r="N2504" s="338"/>
      <c r="O2504" s="338">
        <f t="shared" si="38"/>
        <v>0</v>
      </c>
    </row>
    <row r="2505" spans="13:15">
      <c r="M2505" s="338">
        <f t="shared" si="37"/>
        <v>-4.71999999999994</v>
      </c>
      <c r="N2505" s="338"/>
      <c r="O2505" s="338">
        <f t="shared" si="38"/>
        <v>0</v>
      </c>
    </row>
    <row r="2506" spans="13:15">
      <c r="M2506" s="338">
        <f t="shared" si="37"/>
        <v>-4.72999999999994</v>
      </c>
      <c r="N2506" s="338"/>
      <c r="O2506" s="338">
        <f t="shared" si="38"/>
        <v>0</v>
      </c>
    </row>
    <row r="2507" spans="13:15">
      <c r="M2507" s="338">
        <f t="shared" si="37"/>
        <v>-4.73999999999994</v>
      </c>
      <c r="N2507" s="338"/>
      <c r="O2507" s="338">
        <f t="shared" si="38"/>
        <v>0</v>
      </c>
    </row>
    <row r="2508" spans="13:15">
      <c r="M2508" s="338">
        <f t="shared" si="37"/>
        <v>-4.74999999999994</v>
      </c>
      <c r="N2508" s="338"/>
      <c r="O2508" s="338">
        <f t="shared" si="38"/>
        <v>0</v>
      </c>
    </row>
    <row r="2509" spans="13:15">
      <c r="M2509" s="338">
        <f t="shared" si="37"/>
        <v>-4.75999999999994</v>
      </c>
      <c r="N2509" s="338"/>
      <c r="O2509" s="338">
        <f t="shared" si="38"/>
        <v>0</v>
      </c>
    </row>
    <row r="2510" spans="13:15">
      <c r="M2510" s="338">
        <f t="shared" si="37"/>
        <v>-4.76999999999994</v>
      </c>
      <c r="N2510" s="338"/>
      <c r="O2510" s="338">
        <f t="shared" si="38"/>
        <v>0</v>
      </c>
    </row>
    <row r="2511" spans="13:15">
      <c r="M2511" s="338">
        <f t="shared" si="37"/>
        <v>-4.77999999999994</v>
      </c>
      <c r="N2511" s="338"/>
      <c r="O2511" s="338">
        <f t="shared" si="38"/>
        <v>0</v>
      </c>
    </row>
    <row r="2512" spans="13:15">
      <c r="M2512" s="338">
        <f t="shared" si="37"/>
        <v>-4.78999999999994</v>
      </c>
      <c r="N2512" s="338"/>
      <c r="O2512" s="338">
        <f t="shared" si="38"/>
        <v>0</v>
      </c>
    </row>
    <row r="2513" spans="13:15">
      <c r="M2513" s="338">
        <f t="shared" si="37"/>
        <v>-4.79999999999994</v>
      </c>
      <c r="N2513" s="338"/>
      <c r="O2513" s="338">
        <f t="shared" si="38"/>
        <v>0</v>
      </c>
    </row>
    <row r="2514" spans="13:15">
      <c r="M2514" s="338">
        <f t="shared" si="37"/>
        <v>-4.80999999999994</v>
      </c>
      <c r="N2514" s="338"/>
      <c r="O2514" s="338">
        <f t="shared" si="38"/>
        <v>0</v>
      </c>
    </row>
    <row r="2515" spans="13:15">
      <c r="M2515" s="338">
        <f t="shared" si="37"/>
        <v>-4.81999999999994</v>
      </c>
      <c r="N2515" s="338"/>
      <c r="O2515" s="338">
        <f t="shared" si="38"/>
        <v>0</v>
      </c>
    </row>
    <row r="2516" spans="13:15">
      <c r="M2516" s="338">
        <f t="shared" si="37"/>
        <v>-4.82999999999994</v>
      </c>
      <c r="N2516" s="338"/>
      <c r="O2516" s="338">
        <f t="shared" si="38"/>
        <v>0</v>
      </c>
    </row>
    <row r="2517" spans="13:15">
      <c r="M2517" s="338">
        <f t="shared" ref="M2517:M2580" si="39">-0.01+M2516</f>
        <v>-4.83999999999994</v>
      </c>
      <c r="N2517" s="338"/>
      <c r="O2517" s="338">
        <f t="shared" si="38"/>
        <v>0</v>
      </c>
    </row>
    <row r="2518" spans="13:15">
      <c r="M2518" s="338">
        <f t="shared" si="39"/>
        <v>-4.84999999999994</v>
      </c>
      <c r="N2518" s="338"/>
      <c r="O2518" s="338">
        <f t="shared" si="38"/>
        <v>0</v>
      </c>
    </row>
    <row r="2519" spans="13:15">
      <c r="M2519" s="338">
        <f t="shared" si="39"/>
        <v>-4.85999999999994</v>
      </c>
      <c r="N2519" s="338"/>
      <c r="O2519" s="338">
        <f t="shared" si="38"/>
        <v>0</v>
      </c>
    </row>
    <row r="2520" spans="13:15">
      <c r="M2520" s="338">
        <f t="shared" si="39"/>
        <v>-4.86999999999994</v>
      </c>
      <c r="N2520" s="338"/>
      <c r="O2520" s="338">
        <f t="shared" si="38"/>
        <v>0</v>
      </c>
    </row>
    <row r="2521" spans="13:15">
      <c r="M2521" s="338">
        <f t="shared" si="39"/>
        <v>-4.87999999999994</v>
      </c>
      <c r="N2521" s="338"/>
      <c r="O2521" s="338">
        <f t="shared" si="38"/>
        <v>0</v>
      </c>
    </row>
    <row r="2522" spans="13:15">
      <c r="M2522" s="338">
        <f t="shared" si="39"/>
        <v>-4.88999999999994</v>
      </c>
      <c r="N2522" s="338"/>
      <c r="O2522" s="338">
        <f t="shared" ref="O2522:O2585" si="40">1*(N2522&lt;$N$79)</f>
        <v>0</v>
      </c>
    </row>
    <row r="2523" spans="13:15">
      <c r="M2523" s="338">
        <f t="shared" si="39"/>
        <v>-4.89999999999994</v>
      </c>
      <c r="N2523" s="338"/>
      <c r="O2523" s="338">
        <f t="shared" si="40"/>
        <v>0</v>
      </c>
    </row>
    <row r="2524" spans="13:15">
      <c r="M2524" s="338">
        <f t="shared" si="39"/>
        <v>-4.90999999999994</v>
      </c>
      <c r="N2524" s="338"/>
      <c r="O2524" s="338">
        <f t="shared" si="40"/>
        <v>0</v>
      </c>
    </row>
    <row r="2525" spans="13:15">
      <c r="M2525" s="338">
        <f t="shared" si="39"/>
        <v>-4.91999999999994</v>
      </c>
      <c r="N2525" s="338"/>
      <c r="O2525" s="338">
        <f t="shared" si="40"/>
        <v>0</v>
      </c>
    </row>
    <row r="2526" spans="13:15">
      <c r="M2526" s="338">
        <f t="shared" si="39"/>
        <v>-4.92999999999994</v>
      </c>
      <c r="N2526" s="338"/>
      <c r="O2526" s="338">
        <f t="shared" si="40"/>
        <v>0</v>
      </c>
    </row>
    <row r="2527" spans="13:15">
      <c r="M2527" s="338">
        <f t="shared" si="39"/>
        <v>-4.93999999999994</v>
      </c>
      <c r="N2527" s="338"/>
      <c r="O2527" s="338">
        <f t="shared" si="40"/>
        <v>0</v>
      </c>
    </row>
    <row r="2528" spans="13:15">
      <c r="M2528" s="338">
        <f t="shared" si="39"/>
        <v>-4.94999999999994</v>
      </c>
      <c r="N2528" s="338"/>
      <c r="O2528" s="338">
        <f t="shared" si="40"/>
        <v>0</v>
      </c>
    </row>
    <row r="2529" spans="13:15">
      <c r="M2529" s="338">
        <f t="shared" si="39"/>
        <v>-4.95999999999994</v>
      </c>
      <c r="N2529" s="338"/>
      <c r="O2529" s="338">
        <f t="shared" si="40"/>
        <v>0</v>
      </c>
    </row>
    <row r="2530" spans="13:15">
      <c r="M2530" s="338">
        <f t="shared" si="39"/>
        <v>-4.96999999999994</v>
      </c>
      <c r="N2530" s="338"/>
      <c r="O2530" s="338">
        <f t="shared" si="40"/>
        <v>0</v>
      </c>
    </row>
    <row r="2531" spans="13:15">
      <c r="M2531" s="338">
        <f t="shared" si="39"/>
        <v>-4.97999999999994</v>
      </c>
      <c r="N2531" s="338"/>
      <c r="O2531" s="338">
        <f t="shared" si="40"/>
        <v>0</v>
      </c>
    </row>
    <row r="2532" spans="13:15">
      <c r="M2532" s="338">
        <f t="shared" si="39"/>
        <v>-4.98999999999994</v>
      </c>
      <c r="N2532" s="338"/>
      <c r="O2532" s="338">
        <f t="shared" si="40"/>
        <v>0</v>
      </c>
    </row>
    <row r="2533" spans="13:15">
      <c r="M2533" s="338">
        <f t="shared" si="39"/>
        <v>-4.99999999999994</v>
      </c>
      <c r="N2533" s="338"/>
      <c r="O2533" s="338">
        <f t="shared" si="40"/>
        <v>0</v>
      </c>
    </row>
    <row r="2534" spans="13:15">
      <c r="M2534" s="338">
        <f t="shared" si="39"/>
        <v>-5.00999999999994</v>
      </c>
      <c r="N2534" s="338"/>
      <c r="O2534" s="338">
        <f t="shared" si="40"/>
        <v>0</v>
      </c>
    </row>
    <row r="2535" spans="13:15">
      <c r="M2535" s="338">
        <f t="shared" si="39"/>
        <v>-5.01999999999994</v>
      </c>
      <c r="N2535" s="338"/>
      <c r="O2535" s="338">
        <f t="shared" si="40"/>
        <v>0</v>
      </c>
    </row>
    <row r="2536" spans="13:15">
      <c r="M2536" s="338">
        <f t="shared" si="39"/>
        <v>-5.02999999999994</v>
      </c>
      <c r="N2536" s="338"/>
      <c r="O2536" s="338">
        <f t="shared" si="40"/>
        <v>0</v>
      </c>
    </row>
    <row r="2537" spans="13:15">
      <c r="M2537" s="338">
        <f t="shared" si="39"/>
        <v>-5.03999999999994</v>
      </c>
      <c r="N2537" s="338"/>
      <c r="O2537" s="338">
        <f t="shared" si="40"/>
        <v>0</v>
      </c>
    </row>
    <row r="2538" spans="13:15">
      <c r="M2538" s="338">
        <f t="shared" si="39"/>
        <v>-5.04999999999994</v>
      </c>
      <c r="N2538" s="338"/>
      <c r="O2538" s="338">
        <f t="shared" si="40"/>
        <v>0</v>
      </c>
    </row>
    <row r="2539" spans="13:15">
      <c r="M2539" s="338">
        <f t="shared" si="39"/>
        <v>-5.05999999999994</v>
      </c>
      <c r="N2539" s="338"/>
      <c r="O2539" s="338">
        <f t="shared" si="40"/>
        <v>0</v>
      </c>
    </row>
    <row r="2540" spans="13:15">
      <c r="M2540" s="338">
        <f t="shared" si="39"/>
        <v>-5.06999999999994</v>
      </c>
      <c r="N2540" s="338"/>
      <c r="O2540" s="338">
        <f t="shared" si="40"/>
        <v>0</v>
      </c>
    </row>
    <row r="2541" spans="13:15">
      <c r="M2541" s="338">
        <f t="shared" si="39"/>
        <v>-5.07999999999994</v>
      </c>
      <c r="N2541" s="338"/>
      <c r="O2541" s="338">
        <f t="shared" si="40"/>
        <v>0</v>
      </c>
    </row>
    <row r="2542" spans="13:15">
      <c r="M2542" s="338">
        <f t="shared" si="39"/>
        <v>-5.08999999999994</v>
      </c>
      <c r="N2542" s="338"/>
      <c r="O2542" s="338">
        <f t="shared" si="40"/>
        <v>0</v>
      </c>
    </row>
    <row r="2543" spans="13:15">
      <c r="M2543" s="338">
        <f t="shared" si="39"/>
        <v>-5.09999999999994</v>
      </c>
      <c r="N2543" s="338"/>
      <c r="O2543" s="338">
        <f t="shared" si="40"/>
        <v>0</v>
      </c>
    </row>
    <row r="2544" spans="13:15">
      <c r="M2544" s="338">
        <f t="shared" si="39"/>
        <v>-5.10999999999994</v>
      </c>
      <c r="N2544" s="338"/>
      <c r="O2544" s="338">
        <f t="shared" si="40"/>
        <v>0</v>
      </c>
    </row>
    <row r="2545" spans="13:15">
      <c r="M2545" s="338">
        <f t="shared" si="39"/>
        <v>-5.11999999999994</v>
      </c>
      <c r="N2545" s="338"/>
      <c r="O2545" s="338">
        <f t="shared" si="40"/>
        <v>0</v>
      </c>
    </row>
    <row r="2546" spans="13:15">
      <c r="M2546" s="338">
        <f t="shared" si="39"/>
        <v>-5.12999999999994</v>
      </c>
      <c r="N2546" s="338"/>
      <c r="O2546" s="338">
        <f t="shared" si="40"/>
        <v>0</v>
      </c>
    </row>
    <row r="2547" spans="13:15">
      <c r="M2547" s="338">
        <f t="shared" si="39"/>
        <v>-5.13999999999993</v>
      </c>
      <c r="N2547" s="338"/>
      <c r="O2547" s="338">
        <f t="shared" si="40"/>
        <v>0</v>
      </c>
    </row>
    <row r="2548" spans="13:15">
      <c r="M2548" s="338">
        <f t="shared" si="39"/>
        <v>-5.14999999999993</v>
      </c>
      <c r="N2548" s="338"/>
      <c r="O2548" s="338">
        <f t="shared" si="40"/>
        <v>0</v>
      </c>
    </row>
    <row r="2549" spans="13:15">
      <c r="M2549" s="338">
        <f t="shared" si="39"/>
        <v>-5.15999999999993</v>
      </c>
      <c r="N2549" s="338"/>
      <c r="O2549" s="338">
        <f t="shared" si="40"/>
        <v>0</v>
      </c>
    </row>
    <row r="2550" spans="13:15">
      <c r="M2550" s="338">
        <f t="shared" si="39"/>
        <v>-5.16999999999993</v>
      </c>
      <c r="N2550" s="338"/>
      <c r="O2550" s="338">
        <f t="shared" si="40"/>
        <v>0</v>
      </c>
    </row>
    <row r="2551" spans="13:15">
      <c r="M2551" s="338">
        <f t="shared" si="39"/>
        <v>-5.17999999999993</v>
      </c>
      <c r="N2551" s="338"/>
      <c r="O2551" s="338">
        <f t="shared" si="40"/>
        <v>0</v>
      </c>
    </row>
    <row r="2552" spans="13:15">
      <c r="M2552" s="338">
        <f t="shared" si="39"/>
        <v>-5.18999999999993</v>
      </c>
      <c r="N2552" s="338"/>
      <c r="O2552" s="338">
        <f t="shared" si="40"/>
        <v>0</v>
      </c>
    </row>
    <row r="2553" spans="13:15">
      <c r="M2553" s="338">
        <f t="shared" si="39"/>
        <v>-5.19999999999993</v>
      </c>
      <c r="N2553" s="338"/>
      <c r="O2553" s="338">
        <f t="shared" si="40"/>
        <v>0</v>
      </c>
    </row>
    <row r="2554" spans="13:15">
      <c r="M2554" s="338">
        <f t="shared" si="39"/>
        <v>-5.20999999999993</v>
      </c>
      <c r="N2554" s="338"/>
      <c r="O2554" s="338">
        <f t="shared" si="40"/>
        <v>0</v>
      </c>
    </row>
    <row r="2555" spans="13:15">
      <c r="M2555" s="338">
        <f t="shared" si="39"/>
        <v>-5.21999999999993</v>
      </c>
      <c r="N2555" s="338"/>
      <c r="O2555" s="338">
        <f t="shared" si="40"/>
        <v>0</v>
      </c>
    </row>
    <row r="2556" spans="13:15">
      <c r="M2556" s="338">
        <f t="shared" si="39"/>
        <v>-5.22999999999993</v>
      </c>
      <c r="N2556" s="338"/>
      <c r="O2556" s="338">
        <f t="shared" si="40"/>
        <v>0</v>
      </c>
    </row>
    <row r="2557" spans="13:15">
      <c r="M2557" s="338">
        <f t="shared" si="39"/>
        <v>-5.23999999999993</v>
      </c>
      <c r="N2557" s="338"/>
      <c r="O2557" s="338">
        <f t="shared" si="40"/>
        <v>0</v>
      </c>
    </row>
    <row r="2558" spans="13:15">
      <c r="M2558" s="338">
        <f t="shared" si="39"/>
        <v>-5.24999999999993</v>
      </c>
      <c r="N2558" s="338"/>
      <c r="O2558" s="338">
        <f t="shared" si="40"/>
        <v>0</v>
      </c>
    </row>
    <row r="2559" spans="13:15">
      <c r="M2559" s="338">
        <f t="shared" si="39"/>
        <v>-5.25999999999993</v>
      </c>
      <c r="N2559" s="338"/>
      <c r="O2559" s="338">
        <f t="shared" si="40"/>
        <v>0</v>
      </c>
    </row>
    <row r="2560" spans="13:15">
      <c r="M2560" s="338">
        <f t="shared" si="39"/>
        <v>-5.26999999999993</v>
      </c>
      <c r="N2560" s="338"/>
      <c r="O2560" s="338">
        <f t="shared" si="40"/>
        <v>0</v>
      </c>
    </row>
    <row r="2561" spans="13:15">
      <c r="M2561" s="338">
        <f t="shared" si="39"/>
        <v>-5.27999999999993</v>
      </c>
      <c r="N2561" s="338"/>
      <c r="O2561" s="338">
        <f t="shared" si="40"/>
        <v>0</v>
      </c>
    </row>
    <row r="2562" spans="13:15">
      <c r="M2562" s="338">
        <f t="shared" si="39"/>
        <v>-5.28999999999993</v>
      </c>
      <c r="N2562" s="338"/>
      <c r="O2562" s="338">
        <f t="shared" si="40"/>
        <v>0</v>
      </c>
    </row>
    <row r="2563" spans="13:15">
      <c r="M2563" s="338">
        <f t="shared" si="39"/>
        <v>-5.29999999999993</v>
      </c>
      <c r="N2563" s="338"/>
      <c r="O2563" s="338">
        <f t="shared" si="40"/>
        <v>0</v>
      </c>
    </row>
    <row r="2564" spans="13:15">
      <c r="M2564" s="338">
        <f t="shared" si="39"/>
        <v>-5.30999999999993</v>
      </c>
      <c r="N2564" s="338"/>
      <c r="O2564" s="338">
        <f t="shared" si="40"/>
        <v>0</v>
      </c>
    </row>
    <row r="2565" spans="13:15">
      <c r="M2565" s="338">
        <f t="shared" si="39"/>
        <v>-5.31999999999993</v>
      </c>
      <c r="N2565" s="338"/>
      <c r="O2565" s="338">
        <f t="shared" si="40"/>
        <v>0</v>
      </c>
    </row>
    <row r="2566" spans="13:15">
      <c r="M2566" s="338">
        <f t="shared" si="39"/>
        <v>-5.32999999999993</v>
      </c>
      <c r="N2566" s="338"/>
      <c r="O2566" s="338">
        <f t="shared" si="40"/>
        <v>0</v>
      </c>
    </row>
    <row r="2567" spans="13:15">
      <c r="M2567" s="338">
        <f t="shared" si="39"/>
        <v>-5.33999999999993</v>
      </c>
      <c r="N2567" s="338"/>
      <c r="O2567" s="338">
        <f t="shared" si="40"/>
        <v>0</v>
      </c>
    </row>
    <row r="2568" spans="13:15">
      <c r="M2568" s="338">
        <f t="shared" si="39"/>
        <v>-5.34999999999993</v>
      </c>
      <c r="N2568" s="338"/>
      <c r="O2568" s="338">
        <f t="shared" si="40"/>
        <v>0</v>
      </c>
    </row>
    <row r="2569" spans="13:15">
      <c r="M2569" s="338">
        <f t="shared" si="39"/>
        <v>-5.35999999999993</v>
      </c>
      <c r="N2569" s="338"/>
      <c r="O2569" s="338">
        <f t="shared" si="40"/>
        <v>0</v>
      </c>
    </row>
    <row r="2570" spans="13:15">
      <c r="M2570" s="338">
        <f t="shared" si="39"/>
        <v>-5.36999999999993</v>
      </c>
      <c r="N2570" s="338"/>
      <c r="O2570" s="338">
        <f t="shared" si="40"/>
        <v>0</v>
      </c>
    </row>
    <row r="2571" spans="13:15">
      <c r="M2571" s="338">
        <f t="shared" si="39"/>
        <v>-5.37999999999993</v>
      </c>
      <c r="N2571" s="338"/>
      <c r="O2571" s="338">
        <f t="shared" si="40"/>
        <v>0</v>
      </c>
    </row>
    <row r="2572" spans="13:15">
      <c r="M2572" s="338">
        <f t="shared" si="39"/>
        <v>-5.38999999999993</v>
      </c>
      <c r="N2572" s="338"/>
      <c r="O2572" s="338">
        <f t="shared" si="40"/>
        <v>0</v>
      </c>
    </row>
    <row r="2573" spans="13:15">
      <c r="M2573" s="338">
        <f t="shared" si="39"/>
        <v>-5.39999999999993</v>
      </c>
      <c r="N2573" s="338"/>
      <c r="O2573" s="338">
        <f t="shared" si="40"/>
        <v>0</v>
      </c>
    </row>
    <row r="2574" spans="13:15">
      <c r="M2574" s="338">
        <f t="shared" si="39"/>
        <v>-5.40999999999993</v>
      </c>
      <c r="N2574" s="338"/>
      <c r="O2574" s="338">
        <f t="shared" si="40"/>
        <v>0</v>
      </c>
    </row>
    <row r="2575" spans="13:15">
      <c r="M2575" s="338">
        <f t="shared" si="39"/>
        <v>-5.41999999999993</v>
      </c>
      <c r="N2575" s="338"/>
      <c r="O2575" s="338">
        <f t="shared" si="40"/>
        <v>0</v>
      </c>
    </row>
    <row r="2576" spans="13:15">
      <c r="M2576" s="338">
        <f t="shared" si="39"/>
        <v>-5.42999999999993</v>
      </c>
      <c r="N2576" s="338"/>
      <c r="O2576" s="338">
        <f t="shared" si="40"/>
        <v>0</v>
      </c>
    </row>
    <row r="2577" spans="13:15">
      <c r="M2577" s="338">
        <f t="shared" si="39"/>
        <v>-5.43999999999993</v>
      </c>
      <c r="N2577" s="338"/>
      <c r="O2577" s="338">
        <f t="shared" si="40"/>
        <v>0</v>
      </c>
    </row>
    <row r="2578" spans="13:15">
      <c r="M2578" s="338">
        <f t="shared" si="39"/>
        <v>-5.44999999999993</v>
      </c>
      <c r="N2578" s="338"/>
      <c r="O2578" s="338">
        <f t="shared" si="40"/>
        <v>0</v>
      </c>
    </row>
    <row r="2579" spans="13:15">
      <c r="M2579" s="338">
        <f t="shared" si="39"/>
        <v>-5.45999999999993</v>
      </c>
      <c r="N2579" s="338"/>
      <c r="O2579" s="338">
        <f t="shared" si="40"/>
        <v>0</v>
      </c>
    </row>
    <row r="2580" spans="13:15">
      <c r="M2580" s="338">
        <f t="shared" si="39"/>
        <v>-5.46999999999993</v>
      </c>
      <c r="N2580" s="338"/>
      <c r="O2580" s="338">
        <f t="shared" si="40"/>
        <v>0</v>
      </c>
    </row>
    <row r="2581" spans="13:15">
      <c r="M2581" s="338">
        <f t="shared" ref="M2581:M2644" si="41">-0.01+M2580</f>
        <v>-5.47999999999993</v>
      </c>
      <c r="N2581" s="338"/>
      <c r="O2581" s="338">
        <f t="shared" si="40"/>
        <v>0</v>
      </c>
    </row>
    <row r="2582" spans="13:15">
      <c r="M2582" s="338">
        <f t="shared" si="41"/>
        <v>-5.48999999999993</v>
      </c>
      <c r="N2582" s="338"/>
      <c r="O2582" s="338">
        <f t="shared" si="40"/>
        <v>0</v>
      </c>
    </row>
    <row r="2583" spans="13:15">
      <c r="M2583" s="338">
        <f t="shared" si="41"/>
        <v>-5.49999999999993</v>
      </c>
      <c r="N2583" s="338"/>
      <c r="O2583" s="338">
        <f t="shared" si="40"/>
        <v>0</v>
      </c>
    </row>
    <row r="2584" spans="13:15">
      <c r="M2584" s="338">
        <f t="shared" si="41"/>
        <v>-5.50999999999993</v>
      </c>
      <c r="N2584" s="338"/>
      <c r="O2584" s="338">
        <f t="shared" si="40"/>
        <v>0</v>
      </c>
    </row>
    <row r="2585" spans="13:15">
      <c r="M2585" s="338">
        <f t="shared" si="41"/>
        <v>-5.51999999999993</v>
      </c>
      <c r="N2585" s="338"/>
      <c r="O2585" s="338">
        <f t="shared" si="40"/>
        <v>0</v>
      </c>
    </row>
    <row r="2586" spans="13:15">
      <c r="M2586" s="338">
        <f t="shared" si="41"/>
        <v>-5.52999999999993</v>
      </c>
      <c r="N2586" s="338"/>
      <c r="O2586" s="338">
        <f t="shared" ref="O2586:O2649" si="42">1*(N2586&lt;$N$79)</f>
        <v>0</v>
      </c>
    </row>
    <row r="2587" spans="13:15">
      <c r="M2587" s="338">
        <f t="shared" si="41"/>
        <v>-5.53999999999993</v>
      </c>
      <c r="N2587" s="338"/>
      <c r="O2587" s="338">
        <f t="shared" si="42"/>
        <v>0</v>
      </c>
    </row>
    <row r="2588" spans="13:15">
      <c r="M2588" s="338">
        <f t="shared" si="41"/>
        <v>-5.54999999999993</v>
      </c>
      <c r="N2588" s="338"/>
      <c r="O2588" s="338">
        <f t="shared" si="42"/>
        <v>0</v>
      </c>
    </row>
    <row r="2589" spans="13:15">
      <c r="M2589" s="338">
        <f t="shared" si="41"/>
        <v>-5.55999999999993</v>
      </c>
      <c r="N2589" s="338"/>
      <c r="O2589" s="338">
        <f t="shared" si="42"/>
        <v>0</v>
      </c>
    </row>
    <row r="2590" spans="13:15">
      <c r="M2590" s="338">
        <f t="shared" si="41"/>
        <v>-5.56999999999993</v>
      </c>
      <c r="N2590" s="338"/>
      <c r="O2590" s="338">
        <f t="shared" si="42"/>
        <v>0</v>
      </c>
    </row>
    <row r="2591" spans="13:15">
      <c r="M2591" s="338">
        <f t="shared" si="41"/>
        <v>-5.57999999999993</v>
      </c>
      <c r="N2591" s="338"/>
      <c r="O2591" s="338">
        <f t="shared" si="42"/>
        <v>0</v>
      </c>
    </row>
    <row r="2592" spans="13:15">
      <c r="M2592" s="338">
        <f t="shared" si="41"/>
        <v>-5.58999999999993</v>
      </c>
      <c r="N2592" s="338"/>
      <c r="O2592" s="338">
        <f t="shared" si="42"/>
        <v>0</v>
      </c>
    </row>
    <row r="2593" spans="13:15">
      <c r="M2593" s="338">
        <f t="shared" si="41"/>
        <v>-5.59999999999993</v>
      </c>
      <c r="N2593" s="338"/>
      <c r="O2593" s="338">
        <f t="shared" si="42"/>
        <v>0</v>
      </c>
    </row>
    <row r="2594" spans="13:15">
      <c r="M2594" s="338">
        <f t="shared" si="41"/>
        <v>-5.60999999999992</v>
      </c>
      <c r="N2594" s="338"/>
      <c r="O2594" s="338">
        <f t="shared" si="42"/>
        <v>0</v>
      </c>
    </row>
    <row r="2595" spans="13:15">
      <c r="M2595" s="338">
        <f t="shared" si="41"/>
        <v>-5.61999999999992</v>
      </c>
      <c r="N2595" s="338"/>
      <c r="O2595" s="338">
        <f t="shared" si="42"/>
        <v>0</v>
      </c>
    </row>
    <row r="2596" spans="13:15">
      <c r="M2596" s="338">
        <f t="shared" si="41"/>
        <v>-5.62999999999992</v>
      </c>
      <c r="N2596" s="338"/>
      <c r="O2596" s="338">
        <f t="shared" si="42"/>
        <v>0</v>
      </c>
    </row>
    <row r="2597" spans="13:15">
      <c r="M2597" s="338">
        <f t="shared" si="41"/>
        <v>-5.63999999999992</v>
      </c>
      <c r="N2597" s="338"/>
      <c r="O2597" s="338">
        <f t="shared" si="42"/>
        <v>0</v>
      </c>
    </row>
    <row r="2598" spans="13:15">
      <c r="M2598" s="338">
        <f t="shared" si="41"/>
        <v>-5.64999999999992</v>
      </c>
      <c r="N2598" s="338"/>
      <c r="O2598" s="338">
        <f t="shared" si="42"/>
        <v>0</v>
      </c>
    </row>
    <row r="2599" spans="13:15">
      <c r="M2599" s="338">
        <f t="shared" si="41"/>
        <v>-5.65999999999992</v>
      </c>
      <c r="N2599" s="338"/>
      <c r="O2599" s="338">
        <f t="shared" si="42"/>
        <v>0</v>
      </c>
    </row>
    <row r="2600" spans="13:15">
      <c r="M2600" s="338">
        <f t="shared" si="41"/>
        <v>-5.66999999999992</v>
      </c>
      <c r="N2600" s="338"/>
      <c r="O2600" s="338">
        <f t="shared" si="42"/>
        <v>0</v>
      </c>
    </row>
    <row r="2601" spans="13:15">
      <c r="M2601" s="338">
        <f t="shared" si="41"/>
        <v>-5.67999999999992</v>
      </c>
      <c r="N2601" s="338"/>
      <c r="O2601" s="338">
        <f t="shared" si="42"/>
        <v>0</v>
      </c>
    </row>
    <row r="2602" spans="13:15">
      <c r="M2602" s="338">
        <f t="shared" si="41"/>
        <v>-5.68999999999992</v>
      </c>
      <c r="N2602" s="338"/>
      <c r="O2602" s="338">
        <f t="shared" si="42"/>
        <v>0</v>
      </c>
    </row>
    <row r="2603" spans="13:15">
      <c r="M2603" s="338">
        <f t="shared" si="41"/>
        <v>-5.69999999999992</v>
      </c>
      <c r="N2603" s="338"/>
      <c r="O2603" s="338">
        <f t="shared" si="42"/>
        <v>0</v>
      </c>
    </row>
    <row r="2604" spans="13:15">
      <c r="M2604" s="338">
        <f t="shared" si="41"/>
        <v>-5.70999999999992</v>
      </c>
      <c r="N2604" s="338"/>
      <c r="O2604" s="338">
        <f t="shared" si="42"/>
        <v>0</v>
      </c>
    </row>
    <row r="2605" spans="13:15">
      <c r="M2605" s="338">
        <f t="shared" si="41"/>
        <v>-5.71999999999992</v>
      </c>
      <c r="N2605" s="338"/>
      <c r="O2605" s="338">
        <f t="shared" si="42"/>
        <v>0</v>
      </c>
    </row>
    <row r="2606" spans="13:15">
      <c r="M2606" s="338">
        <f t="shared" si="41"/>
        <v>-5.72999999999992</v>
      </c>
      <c r="N2606" s="338"/>
      <c r="O2606" s="338">
        <f t="shared" si="42"/>
        <v>0</v>
      </c>
    </row>
    <row r="2607" spans="13:15">
      <c r="M2607" s="338">
        <f t="shared" si="41"/>
        <v>-5.73999999999992</v>
      </c>
      <c r="N2607" s="338"/>
      <c r="O2607" s="338">
        <f t="shared" si="42"/>
        <v>0</v>
      </c>
    </row>
    <row r="2608" spans="13:15">
      <c r="M2608" s="338">
        <f t="shared" si="41"/>
        <v>-5.74999999999992</v>
      </c>
      <c r="N2608" s="338"/>
      <c r="O2608" s="338">
        <f t="shared" si="42"/>
        <v>0</v>
      </c>
    </row>
    <row r="2609" spans="13:15">
      <c r="M2609" s="338">
        <f t="shared" si="41"/>
        <v>-5.75999999999992</v>
      </c>
      <c r="N2609" s="338"/>
      <c r="O2609" s="338">
        <f t="shared" si="42"/>
        <v>0</v>
      </c>
    </row>
    <row r="2610" spans="13:15">
      <c r="M2610" s="338">
        <f t="shared" si="41"/>
        <v>-5.76999999999992</v>
      </c>
      <c r="N2610" s="338"/>
      <c r="O2610" s="338">
        <f t="shared" si="42"/>
        <v>0</v>
      </c>
    </row>
    <row r="2611" spans="13:15">
      <c r="M2611" s="338">
        <f t="shared" si="41"/>
        <v>-5.77999999999992</v>
      </c>
      <c r="N2611" s="338"/>
      <c r="O2611" s="338">
        <f t="shared" si="42"/>
        <v>0</v>
      </c>
    </row>
    <row r="2612" spans="13:15">
      <c r="M2612" s="338">
        <f t="shared" si="41"/>
        <v>-5.78999999999992</v>
      </c>
      <c r="N2612" s="338"/>
      <c r="O2612" s="338">
        <f t="shared" si="42"/>
        <v>0</v>
      </c>
    </row>
    <row r="2613" spans="13:15">
      <c r="M2613" s="338">
        <f t="shared" si="41"/>
        <v>-5.79999999999992</v>
      </c>
      <c r="N2613" s="338"/>
      <c r="O2613" s="338">
        <f t="shared" si="42"/>
        <v>0</v>
      </c>
    </row>
    <row r="2614" spans="13:15">
      <c r="M2614" s="338">
        <f t="shared" si="41"/>
        <v>-5.80999999999992</v>
      </c>
      <c r="N2614" s="338"/>
      <c r="O2614" s="338">
        <f t="shared" si="42"/>
        <v>0</v>
      </c>
    </row>
    <row r="2615" spans="13:15">
      <c r="M2615" s="338">
        <f t="shared" si="41"/>
        <v>-5.81999999999992</v>
      </c>
      <c r="N2615" s="338"/>
      <c r="O2615" s="338">
        <f t="shared" si="42"/>
        <v>0</v>
      </c>
    </row>
    <row r="2616" spans="13:15">
      <c r="M2616" s="338">
        <f t="shared" si="41"/>
        <v>-5.82999999999992</v>
      </c>
      <c r="N2616" s="338"/>
      <c r="O2616" s="338">
        <f t="shared" si="42"/>
        <v>0</v>
      </c>
    </row>
    <row r="2617" spans="13:15">
      <c r="M2617" s="338">
        <f t="shared" si="41"/>
        <v>-5.83999999999992</v>
      </c>
      <c r="N2617" s="338"/>
      <c r="O2617" s="338">
        <f t="shared" si="42"/>
        <v>0</v>
      </c>
    </row>
    <row r="2618" spans="13:15">
      <c r="M2618" s="338">
        <f t="shared" si="41"/>
        <v>-5.84999999999992</v>
      </c>
      <c r="N2618" s="338"/>
      <c r="O2618" s="338">
        <f t="shared" si="42"/>
        <v>0</v>
      </c>
    </row>
    <row r="2619" spans="13:15">
      <c r="M2619" s="338">
        <f t="shared" si="41"/>
        <v>-5.85999999999992</v>
      </c>
      <c r="N2619" s="338"/>
      <c r="O2619" s="338">
        <f t="shared" si="42"/>
        <v>0</v>
      </c>
    </row>
    <row r="2620" spans="13:15">
      <c r="M2620" s="338">
        <f t="shared" si="41"/>
        <v>-5.86999999999992</v>
      </c>
      <c r="N2620" s="338"/>
      <c r="O2620" s="338">
        <f t="shared" si="42"/>
        <v>0</v>
      </c>
    </row>
    <row r="2621" spans="13:15">
      <c r="M2621" s="338">
        <f t="shared" si="41"/>
        <v>-5.87999999999992</v>
      </c>
      <c r="N2621" s="338"/>
      <c r="O2621" s="338">
        <f t="shared" si="42"/>
        <v>0</v>
      </c>
    </row>
    <row r="2622" spans="13:15">
      <c r="M2622" s="338">
        <f t="shared" si="41"/>
        <v>-5.88999999999992</v>
      </c>
      <c r="N2622" s="338"/>
      <c r="O2622" s="338">
        <f t="shared" si="42"/>
        <v>0</v>
      </c>
    </row>
    <row r="2623" spans="13:15">
      <c r="M2623" s="338">
        <f t="shared" si="41"/>
        <v>-5.89999999999992</v>
      </c>
      <c r="N2623" s="338"/>
      <c r="O2623" s="338">
        <f t="shared" si="42"/>
        <v>0</v>
      </c>
    </row>
    <row r="2624" spans="13:15">
      <c r="M2624" s="338">
        <f t="shared" si="41"/>
        <v>-5.90999999999992</v>
      </c>
      <c r="N2624" s="338"/>
      <c r="O2624" s="338">
        <f t="shared" si="42"/>
        <v>0</v>
      </c>
    </row>
    <row r="2625" spans="13:15">
      <c r="M2625" s="338">
        <f t="shared" si="41"/>
        <v>-5.91999999999992</v>
      </c>
      <c r="N2625" s="338"/>
      <c r="O2625" s="338">
        <f t="shared" si="42"/>
        <v>0</v>
      </c>
    </row>
    <row r="2626" spans="13:15">
      <c r="M2626" s="338">
        <f t="shared" si="41"/>
        <v>-5.92999999999992</v>
      </c>
      <c r="N2626" s="338"/>
      <c r="O2626" s="338">
        <f t="shared" si="42"/>
        <v>0</v>
      </c>
    </row>
    <row r="2627" spans="13:15">
      <c r="M2627" s="338">
        <f t="shared" si="41"/>
        <v>-5.93999999999992</v>
      </c>
      <c r="N2627" s="338"/>
      <c r="O2627" s="338">
        <f t="shared" si="42"/>
        <v>0</v>
      </c>
    </row>
    <row r="2628" spans="13:15">
      <c r="M2628" s="338">
        <f t="shared" si="41"/>
        <v>-5.94999999999992</v>
      </c>
      <c r="N2628" s="338"/>
      <c r="O2628" s="338">
        <f t="shared" si="42"/>
        <v>0</v>
      </c>
    </row>
    <row r="2629" spans="13:15">
      <c r="M2629" s="338">
        <f t="shared" si="41"/>
        <v>-5.95999999999992</v>
      </c>
      <c r="N2629" s="338"/>
      <c r="O2629" s="338">
        <f t="shared" si="42"/>
        <v>0</v>
      </c>
    </row>
    <row r="2630" spans="13:15">
      <c r="M2630" s="338">
        <f t="shared" si="41"/>
        <v>-5.96999999999992</v>
      </c>
      <c r="N2630" s="338"/>
      <c r="O2630" s="338">
        <f t="shared" si="42"/>
        <v>0</v>
      </c>
    </row>
    <row r="2631" spans="13:15">
      <c r="M2631" s="338">
        <f t="shared" si="41"/>
        <v>-5.97999999999992</v>
      </c>
      <c r="N2631" s="338"/>
      <c r="O2631" s="338">
        <f t="shared" si="42"/>
        <v>0</v>
      </c>
    </row>
    <row r="2632" spans="13:15">
      <c r="M2632" s="338">
        <f t="shared" si="41"/>
        <v>-5.98999999999992</v>
      </c>
      <c r="N2632" s="338"/>
      <c r="O2632" s="338">
        <f t="shared" si="42"/>
        <v>0</v>
      </c>
    </row>
    <row r="2633" spans="13:15">
      <c r="M2633" s="338">
        <f t="shared" si="41"/>
        <v>-5.99999999999992</v>
      </c>
      <c r="N2633" s="338"/>
      <c r="O2633" s="338">
        <f t="shared" si="42"/>
        <v>0</v>
      </c>
    </row>
    <row r="2634" spans="13:15">
      <c r="M2634" s="338">
        <f t="shared" si="41"/>
        <v>-6.00999999999992</v>
      </c>
      <c r="N2634" s="338"/>
      <c r="O2634" s="338">
        <f t="shared" si="42"/>
        <v>0</v>
      </c>
    </row>
    <row r="2635" spans="13:15">
      <c r="M2635" s="338">
        <f t="shared" si="41"/>
        <v>-6.01999999999992</v>
      </c>
      <c r="N2635" s="338"/>
      <c r="O2635" s="338">
        <f t="shared" si="42"/>
        <v>0</v>
      </c>
    </row>
    <row r="2636" spans="13:15">
      <c r="M2636" s="338">
        <f t="shared" si="41"/>
        <v>-6.02999999999992</v>
      </c>
      <c r="N2636" s="338"/>
      <c r="O2636" s="338">
        <f t="shared" si="42"/>
        <v>0</v>
      </c>
    </row>
    <row r="2637" spans="13:15">
      <c r="M2637" s="338">
        <f t="shared" si="41"/>
        <v>-6.03999999999992</v>
      </c>
      <c r="N2637" s="338"/>
      <c r="O2637" s="338">
        <f t="shared" si="42"/>
        <v>0</v>
      </c>
    </row>
    <row r="2638" spans="13:15">
      <c r="M2638" s="338">
        <f t="shared" si="41"/>
        <v>-6.04999999999992</v>
      </c>
      <c r="N2638" s="338"/>
      <c r="O2638" s="338">
        <f t="shared" si="42"/>
        <v>0</v>
      </c>
    </row>
    <row r="2639" spans="13:15">
      <c r="M2639" s="338">
        <f t="shared" si="41"/>
        <v>-6.05999999999992</v>
      </c>
      <c r="N2639" s="338"/>
      <c r="O2639" s="338">
        <f t="shared" si="42"/>
        <v>0</v>
      </c>
    </row>
    <row r="2640" spans="13:15">
      <c r="M2640" s="338">
        <f t="shared" si="41"/>
        <v>-6.06999999999992</v>
      </c>
      <c r="N2640" s="338"/>
      <c r="O2640" s="338">
        <f t="shared" si="42"/>
        <v>0</v>
      </c>
    </row>
    <row r="2641" spans="13:15">
      <c r="M2641" s="338">
        <f t="shared" si="41"/>
        <v>-6.07999999999991</v>
      </c>
      <c r="N2641" s="338"/>
      <c r="O2641" s="338">
        <f t="shared" si="42"/>
        <v>0</v>
      </c>
    </row>
    <row r="2642" spans="13:15">
      <c r="M2642" s="338">
        <f t="shared" si="41"/>
        <v>-6.08999999999991</v>
      </c>
      <c r="N2642" s="338"/>
      <c r="O2642" s="338">
        <f t="shared" si="42"/>
        <v>0</v>
      </c>
    </row>
    <row r="2643" spans="13:15">
      <c r="M2643" s="338">
        <f t="shared" si="41"/>
        <v>-6.09999999999991</v>
      </c>
      <c r="N2643" s="338"/>
      <c r="O2643" s="338">
        <f t="shared" si="42"/>
        <v>0</v>
      </c>
    </row>
    <row r="2644" spans="13:15">
      <c r="M2644" s="338">
        <f t="shared" si="41"/>
        <v>-6.10999999999991</v>
      </c>
      <c r="N2644" s="338"/>
      <c r="O2644" s="338">
        <f t="shared" si="42"/>
        <v>0</v>
      </c>
    </row>
    <row r="2645" spans="13:15">
      <c r="M2645" s="338">
        <f t="shared" ref="M2645:M2708" si="43">-0.01+M2644</f>
        <v>-6.11999999999991</v>
      </c>
      <c r="N2645" s="338"/>
      <c r="O2645" s="338">
        <f t="shared" si="42"/>
        <v>0</v>
      </c>
    </row>
    <row r="2646" spans="13:15">
      <c r="M2646" s="338">
        <f t="shared" si="43"/>
        <v>-6.12999999999991</v>
      </c>
      <c r="N2646" s="338"/>
      <c r="O2646" s="338">
        <f t="shared" si="42"/>
        <v>0</v>
      </c>
    </row>
    <row r="2647" spans="13:15">
      <c r="M2647" s="338">
        <f t="shared" si="43"/>
        <v>-6.13999999999991</v>
      </c>
      <c r="N2647" s="338"/>
      <c r="O2647" s="338">
        <f t="shared" si="42"/>
        <v>0</v>
      </c>
    </row>
    <row r="2648" spans="13:15">
      <c r="M2648" s="338">
        <f t="shared" si="43"/>
        <v>-6.14999999999991</v>
      </c>
      <c r="N2648" s="338"/>
      <c r="O2648" s="338">
        <f t="shared" si="42"/>
        <v>0</v>
      </c>
    </row>
    <row r="2649" spans="13:15">
      <c r="M2649" s="338">
        <f t="shared" si="43"/>
        <v>-6.15999999999991</v>
      </c>
      <c r="N2649" s="338"/>
      <c r="O2649" s="338">
        <f t="shared" si="42"/>
        <v>0</v>
      </c>
    </row>
    <row r="2650" spans="13:15">
      <c r="M2650" s="338">
        <f t="shared" si="43"/>
        <v>-6.16999999999991</v>
      </c>
      <c r="N2650" s="338"/>
      <c r="O2650" s="338">
        <f t="shared" ref="O2650:O2713" si="44">1*(N2650&lt;$N$79)</f>
        <v>0</v>
      </c>
    </row>
    <row r="2651" spans="13:15">
      <c r="M2651" s="338">
        <f t="shared" si="43"/>
        <v>-6.17999999999991</v>
      </c>
      <c r="N2651" s="338"/>
      <c r="O2651" s="338">
        <f t="shared" si="44"/>
        <v>0</v>
      </c>
    </row>
    <row r="2652" spans="13:15">
      <c r="M2652" s="338">
        <f t="shared" si="43"/>
        <v>-6.18999999999991</v>
      </c>
      <c r="N2652" s="338"/>
      <c r="O2652" s="338">
        <f t="shared" si="44"/>
        <v>0</v>
      </c>
    </row>
    <row r="2653" spans="13:15">
      <c r="M2653" s="338">
        <f t="shared" si="43"/>
        <v>-6.19999999999991</v>
      </c>
      <c r="N2653" s="338"/>
      <c r="O2653" s="338">
        <f t="shared" si="44"/>
        <v>0</v>
      </c>
    </row>
    <row r="2654" spans="13:15">
      <c r="M2654" s="338">
        <f t="shared" si="43"/>
        <v>-6.20999999999991</v>
      </c>
      <c r="N2654" s="338"/>
      <c r="O2654" s="338">
        <f t="shared" si="44"/>
        <v>0</v>
      </c>
    </row>
    <row r="2655" spans="13:15">
      <c r="M2655" s="338">
        <f t="shared" si="43"/>
        <v>-6.21999999999991</v>
      </c>
      <c r="N2655" s="338"/>
      <c r="O2655" s="338">
        <f t="shared" si="44"/>
        <v>0</v>
      </c>
    </row>
    <row r="2656" spans="13:15">
      <c r="M2656" s="338">
        <f t="shared" si="43"/>
        <v>-6.22999999999991</v>
      </c>
      <c r="N2656" s="338"/>
      <c r="O2656" s="338">
        <f t="shared" si="44"/>
        <v>0</v>
      </c>
    </row>
    <row r="2657" spans="13:15">
      <c r="M2657" s="338">
        <f t="shared" si="43"/>
        <v>-6.23999999999991</v>
      </c>
      <c r="N2657" s="338"/>
      <c r="O2657" s="338">
        <f t="shared" si="44"/>
        <v>0</v>
      </c>
    </row>
    <row r="2658" spans="13:15">
      <c r="M2658" s="338">
        <f t="shared" si="43"/>
        <v>-6.24999999999991</v>
      </c>
      <c r="N2658" s="338"/>
      <c r="O2658" s="338">
        <f t="shared" si="44"/>
        <v>0</v>
      </c>
    </row>
    <row r="2659" spans="13:15">
      <c r="M2659" s="338">
        <f t="shared" si="43"/>
        <v>-6.25999999999991</v>
      </c>
      <c r="N2659" s="338"/>
      <c r="O2659" s="338">
        <f t="shared" si="44"/>
        <v>0</v>
      </c>
    </row>
    <row r="2660" spans="13:15">
      <c r="M2660" s="338">
        <f t="shared" si="43"/>
        <v>-6.26999999999991</v>
      </c>
      <c r="N2660" s="338"/>
      <c r="O2660" s="338">
        <f t="shared" si="44"/>
        <v>0</v>
      </c>
    </row>
    <row r="2661" spans="13:15">
      <c r="M2661" s="338">
        <f t="shared" si="43"/>
        <v>-6.27999999999991</v>
      </c>
      <c r="N2661" s="338"/>
      <c r="O2661" s="338">
        <f t="shared" si="44"/>
        <v>0</v>
      </c>
    </row>
    <row r="2662" spans="13:15">
      <c r="M2662" s="338">
        <f t="shared" si="43"/>
        <v>-6.28999999999991</v>
      </c>
      <c r="N2662" s="338"/>
      <c r="O2662" s="338">
        <f t="shared" si="44"/>
        <v>0</v>
      </c>
    </row>
    <row r="2663" spans="13:15">
      <c r="M2663" s="338">
        <f t="shared" si="43"/>
        <v>-6.29999999999991</v>
      </c>
      <c r="N2663" s="338"/>
      <c r="O2663" s="338">
        <f t="shared" si="44"/>
        <v>0</v>
      </c>
    </row>
    <row r="2664" spans="13:15">
      <c r="M2664" s="338">
        <f t="shared" si="43"/>
        <v>-6.30999999999991</v>
      </c>
      <c r="N2664" s="338"/>
      <c r="O2664" s="338">
        <f t="shared" si="44"/>
        <v>0</v>
      </c>
    </row>
    <row r="2665" spans="13:15">
      <c r="M2665" s="338">
        <f t="shared" si="43"/>
        <v>-6.31999999999991</v>
      </c>
      <c r="N2665" s="338"/>
      <c r="O2665" s="338">
        <f t="shared" si="44"/>
        <v>0</v>
      </c>
    </row>
    <row r="2666" spans="13:15">
      <c r="M2666" s="338">
        <f t="shared" si="43"/>
        <v>-6.32999999999991</v>
      </c>
      <c r="N2666" s="338"/>
      <c r="O2666" s="338">
        <f t="shared" si="44"/>
        <v>0</v>
      </c>
    </row>
    <row r="2667" spans="13:15">
      <c r="M2667" s="338">
        <f t="shared" si="43"/>
        <v>-6.33999999999991</v>
      </c>
      <c r="N2667" s="338"/>
      <c r="O2667" s="338">
        <f t="shared" si="44"/>
        <v>0</v>
      </c>
    </row>
    <row r="2668" spans="13:15">
      <c r="M2668" s="338">
        <f t="shared" si="43"/>
        <v>-6.34999999999991</v>
      </c>
      <c r="N2668" s="338"/>
      <c r="O2668" s="338">
        <f t="shared" si="44"/>
        <v>0</v>
      </c>
    </row>
    <row r="2669" spans="13:15">
      <c r="M2669" s="338">
        <f t="shared" si="43"/>
        <v>-6.35999999999991</v>
      </c>
      <c r="N2669" s="338"/>
      <c r="O2669" s="338">
        <f t="shared" si="44"/>
        <v>0</v>
      </c>
    </row>
    <row r="2670" spans="13:15">
      <c r="M2670" s="338">
        <f t="shared" si="43"/>
        <v>-6.36999999999991</v>
      </c>
      <c r="N2670" s="338"/>
      <c r="O2670" s="338">
        <f t="shared" si="44"/>
        <v>0</v>
      </c>
    </row>
    <row r="2671" spans="13:15">
      <c r="M2671" s="338">
        <f t="shared" si="43"/>
        <v>-6.37999999999991</v>
      </c>
      <c r="N2671" s="338"/>
      <c r="O2671" s="338">
        <f t="shared" si="44"/>
        <v>0</v>
      </c>
    </row>
    <row r="2672" spans="13:15">
      <c r="M2672" s="338">
        <f t="shared" si="43"/>
        <v>-6.38999999999991</v>
      </c>
      <c r="N2672" s="338"/>
      <c r="O2672" s="338">
        <f t="shared" si="44"/>
        <v>0</v>
      </c>
    </row>
    <row r="2673" spans="13:15">
      <c r="M2673" s="338">
        <f t="shared" si="43"/>
        <v>-6.39999999999991</v>
      </c>
      <c r="N2673" s="338"/>
      <c r="O2673" s="338">
        <f t="shared" si="44"/>
        <v>0</v>
      </c>
    </row>
    <row r="2674" spans="13:15">
      <c r="M2674" s="338">
        <f t="shared" si="43"/>
        <v>-6.40999999999991</v>
      </c>
      <c r="N2674" s="338"/>
      <c r="O2674" s="338">
        <f t="shared" si="44"/>
        <v>0</v>
      </c>
    </row>
    <row r="2675" spans="13:15">
      <c r="M2675" s="338">
        <f t="shared" si="43"/>
        <v>-6.41999999999991</v>
      </c>
      <c r="N2675" s="338"/>
      <c r="O2675" s="338">
        <f t="shared" si="44"/>
        <v>0</v>
      </c>
    </row>
    <row r="2676" spans="13:15">
      <c r="M2676" s="338">
        <f t="shared" si="43"/>
        <v>-6.42999999999991</v>
      </c>
      <c r="N2676" s="338"/>
      <c r="O2676" s="338">
        <f t="shared" si="44"/>
        <v>0</v>
      </c>
    </row>
    <row r="2677" spans="13:15">
      <c r="M2677" s="338">
        <f t="shared" si="43"/>
        <v>-6.43999999999991</v>
      </c>
      <c r="N2677" s="338"/>
      <c r="O2677" s="338">
        <f t="shared" si="44"/>
        <v>0</v>
      </c>
    </row>
    <row r="2678" spans="13:15">
      <c r="M2678" s="338">
        <f t="shared" si="43"/>
        <v>-6.44999999999991</v>
      </c>
      <c r="N2678" s="338"/>
      <c r="O2678" s="338">
        <f t="shared" si="44"/>
        <v>0</v>
      </c>
    </row>
    <row r="2679" spans="13:15">
      <c r="M2679" s="338">
        <f t="shared" si="43"/>
        <v>-6.45999999999991</v>
      </c>
      <c r="N2679" s="338"/>
      <c r="O2679" s="338">
        <f t="shared" si="44"/>
        <v>0</v>
      </c>
    </row>
    <row r="2680" spans="13:15">
      <c r="M2680" s="338">
        <f t="shared" si="43"/>
        <v>-6.46999999999991</v>
      </c>
      <c r="N2680" s="338"/>
      <c r="O2680" s="338">
        <f t="shared" si="44"/>
        <v>0</v>
      </c>
    </row>
    <row r="2681" spans="13:15">
      <c r="M2681" s="338">
        <f t="shared" si="43"/>
        <v>-6.47999999999991</v>
      </c>
      <c r="N2681" s="338"/>
      <c r="O2681" s="338">
        <f t="shared" si="44"/>
        <v>0</v>
      </c>
    </row>
    <row r="2682" spans="13:15">
      <c r="M2682" s="338">
        <f t="shared" si="43"/>
        <v>-6.48999999999991</v>
      </c>
      <c r="N2682" s="338"/>
      <c r="O2682" s="338">
        <f t="shared" si="44"/>
        <v>0</v>
      </c>
    </row>
    <row r="2683" spans="13:15">
      <c r="M2683" s="338">
        <f t="shared" si="43"/>
        <v>-6.49999999999991</v>
      </c>
      <c r="N2683" s="338"/>
      <c r="O2683" s="338">
        <f t="shared" si="44"/>
        <v>0</v>
      </c>
    </row>
    <row r="2684" spans="13:15">
      <c r="M2684" s="338">
        <f t="shared" si="43"/>
        <v>-6.50999999999991</v>
      </c>
      <c r="N2684" s="338"/>
      <c r="O2684" s="338">
        <f t="shared" si="44"/>
        <v>0</v>
      </c>
    </row>
    <row r="2685" spans="13:15">
      <c r="M2685" s="338">
        <f t="shared" si="43"/>
        <v>-6.51999999999991</v>
      </c>
      <c r="N2685" s="338"/>
      <c r="O2685" s="338">
        <f t="shared" si="44"/>
        <v>0</v>
      </c>
    </row>
    <row r="2686" spans="13:15">
      <c r="M2686" s="338">
        <f t="shared" si="43"/>
        <v>-6.52999999999991</v>
      </c>
      <c r="N2686" s="338"/>
      <c r="O2686" s="338">
        <f t="shared" si="44"/>
        <v>0</v>
      </c>
    </row>
    <row r="2687" spans="13:15">
      <c r="M2687" s="338">
        <f t="shared" si="43"/>
        <v>-6.5399999999999</v>
      </c>
      <c r="N2687" s="338"/>
      <c r="O2687" s="338">
        <f t="shared" si="44"/>
        <v>0</v>
      </c>
    </row>
    <row r="2688" spans="13:15">
      <c r="M2688" s="338">
        <f t="shared" si="43"/>
        <v>-6.5499999999999</v>
      </c>
      <c r="N2688" s="338"/>
      <c r="O2688" s="338">
        <f t="shared" si="44"/>
        <v>0</v>
      </c>
    </row>
    <row r="2689" spans="13:15">
      <c r="M2689" s="338">
        <f t="shared" si="43"/>
        <v>-6.5599999999999</v>
      </c>
      <c r="N2689" s="338"/>
      <c r="O2689" s="338">
        <f t="shared" si="44"/>
        <v>0</v>
      </c>
    </row>
    <row r="2690" spans="13:15">
      <c r="M2690" s="338">
        <f t="shared" si="43"/>
        <v>-6.5699999999999</v>
      </c>
      <c r="N2690" s="338"/>
      <c r="O2690" s="338">
        <f t="shared" si="44"/>
        <v>0</v>
      </c>
    </row>
    <row r="2691" spans="13:15">
      <c r="M2691" s="338">
        <f t="shared" si="43"/>
        <v>-6.5799999999999</v>
      </c>
      <c r="N2691" s="338"/>
      <c r="O2691" s="338">
        <f t="shared" si="44"/>
        <v>0</v>
      </c>
    </row>
    <row r="2692" spans="13:15">
      <c r="M2692" s="338">
        <f t="shared" si="43"/>
        <v>-6.5899999999999</v>
      </c>
      <c r="N2692" s="338"/>
      <c r="O2692" s="338">
        <f t="shared" si="44"/>
        <v>0</v>
      </c>
    </row>
    <row r="2693" spans="13:15">
      <c r="M2693" s="338">
        <f t="shared" si="43"/>
        <v>-6.5999999999999</v>
      </c>
      <c r="N2693" s="338"/>
      <c r="O2693" s="338">
        <f t="shared" si="44"/>
        <v>0</v>
      </c>
    </row>
    <row r="2694" spans="13:15">
      <c r="M2694" s="338">
        <f t="shared" si="43"/>
        <v>-6.6099999999999</v>
      </c>
      <c r="N2694" s="338"/>
      <c r="O2694" s="338">
        <f t="shared" si="44"/>
        <v>0</v>
      </c>
    </row>
    <row r="2695" spans="13:15">
      <c r="M2695" s="338">
        <f t="shared" si="43"/>
        <v>-6.6199999999999</v>
      </c>
      <c r="N2695" s="338"/>
      <c r="O2695" s="338">
        <f t="shared" si="44"/>
        <v>0</v>
      </c>
    </row>
    <row r="2696" spans="13:15">
      <c r="M2696" s="338">
        <f t="shared" si="43"/>
        <v>-6.6299999999999</v>
      </c>
      <c r="N2696" s="338"/>
      <c r="O2696" s="338">
        <f t="shared" si="44"/>
        <v>0</v>
      </c>
    </row>
    <row r="2697" spans="13:15">
      <c r="M2697" s="338">
        <f t="shared" si="43"/>
        <v>-6.6399999999999</v>
      </c>
      <c r="N2697" s="338"/>
      <c r="O2697" s="338">
        <f t="shared" si="44"/>
        <v>0</v>
      </c>
    </row>
    <row r="2698" spans="13:15">
      <c r="M2698" s="338">
        <f t="shared" si="43"/>
        <v>-6.6499999999999</v>
      </c>
      <c r="N2698" s="338"/>
      <c r="O2698" s="338">
        <f t="shared" si="44"/>
        <v>0</v>
      </c>
    </row>
    <row r="2699" spans="13:15">
      <c r="M2699" s="338">
        <f t="shared" si="43"/>
        <v>-6.6599999999999</v>
      </c>
      <c r="N2699" s="338"/>
      <c r="O2699" s="338">
        <f t="shared" si="44"/>
        <v>0</v>
      </c>
    </row>
    <row r="2700" spans="13:15">
      <c r="M2700" s="338">
        <f t="shared" si="43"/>
        <v>-6.6699999999999</v>
      </c>
      <c r="N2700" s="338"/>
      <c r="O2700" s="338">
        <f t="shared" si="44"/>
        <v>0</v>
      </c>
    </row>
    <row r="2701" spans="13:15">
      <c r="M2701" s="338">
        <f t="shared" si="43"/>
        <v>-6.6799999999999</v>
      </c>
      <c r="N2701" s="338"/>
      <c r="O2701" s="338">
        <f t="shared" si="44"/>
        <v>0</v>
      </c>
    </row>
    <row r="2702" spans="13:15">
      <c r="M2702" s="338">
        <f t="shared" si="43"/>
        <v>-6.6899999999999</v>
      </c>
      <c r="N2702" s="338"/>
      <c r="O2702" s="338">
        <f t="shared" si="44"/>
        <v>0</v>
      </c>
    </row>
    <row r="2703" spans="13:15">
      <c r="M2703" s="338">
        <f t="shared" si="43"/>
        <v>-6.6999999999999</v>
      </c>
      <c r="N2703" s="338"/>
      <c r="O2703" s="338">
        <f t="shared" si="44"/>
        <v>0</v>
      </c>
    </row>
    <row r="2704" spans="13:15">
      <c r="M2704" s="338">
        <f t="shared" si="43"/>
        <v>-6.7099999999999</v>
      </c>
      <c r="N2704" s="338"/>
      <c r="O2704" s="338">
        <f t="shared" si="44"/>
        <v>0</v>
      </c>
    </row>
    <row r="2705" spans="13:15">
      <c r="M2705" s="338">
        <f t="shared" si="43"/>
        <v>-6.7199999999999</v>
      </c>
      <c r="N2705" s="338"/>
      <c r="O2705" s="338">
        <f t="shared" si="44"/>
        <v>0</v>
      </c>
    </row>
    <row r="2706" spans="13:15">
      <c r="M2706" s="338">
        <f t="shared" si="43"/>
        <v>-6.7299999999999</v>
      </c>
      <c r="N2706" s="338"/>
      <c r="O2706" s="338">
        <f t="shared" si="44"/>
        <v>0</v>
      </c>
    </row>
    <row r="2707" spans="13:15">
      <c r="M2707" s="338">
        <f t="shared" si="43"/>
        <v>-6.7399999999999</v>
      </c>
      <c r="N2707" s="338"/>
      <c r="O2707" s="338">
        <f t="shared" si="44"/>
        <v>0</v>
      </c>
    </row>
    <row r="2708" spans="13:15">
      <c r="M2708" s="338">
        <f t="shared" si="43"/>
        <v>-6.7499999999999</v>
      </c>
      <c r="N2708" s="338"/>
      <c r="O2708" s="338">
        <f t="shared" si="44"/>
        <v>0</v>
      </c>
    </row>
    <row r="2709" spans="13:15">
      <c r="M2709" s="338">
        <f t="shared" ref="M2709:M2772" si="45">-0.01+M2708</f>
        <v>-6.7599999999999</v>
      </c>
      <c r="N2709" s="338"/>
      <c r="O2709" s="338">
        <f t="shared" si="44"/>
        <v>0</v>
      </c>
    </row>
    <row r="2710" spans="13:15">
      <c r="M2710" s="338">
        <f t="shared" si="45"/>
        <v>-6.7699999999999</v>
      </c>
      <c r="N2710" s="338"/>
      <c r="O2710" s="338">
        <f t="shared" si="44"/>
        <v>0</v>
      </c>
    </row>
    <row r="2711" spans="13:15">
      <c r="M2711" s="338">
        <f t="shared" si="45"/>
        <v>-6.7799999999999</v>
      </c>
      <c r="N2711" s="338"/>
      <c r="O2711" s="338">
        <f t="shared" si="44"/>
        <v>0</v>
      </c>
    </row>
    <row r="2712" spans="13:15">
      <c r="M2712" s="338">
        <f t="shared" si="45"/>
        <v>-6.7899999999999</v>
      </c>
      <c r="N2712" s="338"/>
      <c r="O2712" s="338">
        <f t="shared" si="44"/>
        <v>0</v>
      </c>
    </row>
    <row r="2713" spans="13:15">
      <c r="M2713" s="338">
        <f t="shared" si="45"/>
        <v>-6.7999999999999</v>
      </c>
      <c r="N2713" s="338"/>
      <c r="O2713" s="338">
        <f t="shared" si="44"/>
        <v>0</v>
      </c>
    </row>
    <row r="2714" spans="13:15">
      <c r="M2714" s="338">
        <f t="shared" si="45"/>
        <v>-6.8099999999999</v>
      </c>
      <c r="N2714" s="338"/>
      <c r="O2714" s="338">
        <f t="shared" ref="O2714:O2777" si="46">1*(N2714&lt;$N$79)</f>
        <v>0</v>
      </c>
    </row>
    <row r="2715" spans="13:15">
      <c r="M2715" s="338">
        <f t="shared" si="45"/>
        <v>-6.8199999999999</v>
      </c>
      <c r="N2715" s="338"/>
      <c r="O2715" s="338">
        <f t="shared" si="46"/>
        <v>0</v>
      </c>
    </row>
    <row r="2716" spans="13:15">
      <c r="M2716" s="338">
        <f t="shared" si="45"/>
        <v>-6.8299999999999</v>
      </c>
      <c r="N2716" s="338"/>
      <c r="O2716" s="338">
        <f t="shared" si="46"/>
        <v>0</v>
      </c>
    </row>
    <row r="2717" spans="13:15">
      <c r="M2717" s="338">
        <f t="shared" si="45"/>
        <v>-6.8399999999999</v>
      </c>
      <c r="N2717" s="338"/>
      <c r="O2717" s="338">
        <f t="shared" si="46"/>
        <v>0</v>
      </c>
    </row>
    <row r="2718" spans="13:15">
      <c r="M2718" s="338">
        <f t="shared" si="45"/>
        <v>-6.8499999999999</v>
      </c>
      <c r="N2718" s="338"/>
      <c r="O2718" s="338">
        <f t="shared" si="46"/>
        <v>0</v>
      </c>
    </row>
    <row r="2719" spans="13:15">
      <c r="M2719" s="338">
        <f t="shared" si="45"/>
        <v>-6.8599999999999</v>
      </c>
      <c r="N2719" s="338"/>
      <c r="O2719" s="338">
        <f t="shared" si="46"/>
        <v>0</v>
      </c>
    </row>
    <row r="2720" spans="13:15">
      <c r="M2720" s="338">
        <f t="shared" si="45"/>
        <v>-6.8699999999999</v>
      </c>
      <c r="N2720" s="338"/>
      <c r="O2720" s="338">
        <f t="shared" si="46"/>
        <v>0</v>
      </c>
    </row>
    <row r="2721" spans="13:15">
      <c r="M2721" s="338">
        <f t="shared" si="45"/>
        <v>-6.8799999999999</v>
      </c>
      <c r="N2721" s="338"/>
      <c r="O2721" s="338">
        <f t="shared" si="46"/>
        <v>0</v>
      </c>
    </row>
    <row r="2722" spans="13:15">
      <c r="M2722" s="338">
        <f t="shared" si="45"/>
        <v>-6.8899999999999</v>
      </c>
      <c r="N2722" s="338"/>
      <c r="O2722" s="338">
        <f t="shared" si="46"/>
        <v>0</v>
      </c>
    </row>
    <row r="2723" spans="13:15">
      <c r="M2723" s="338">
        <f t="shared" si="45"/>
        <v>-6.8999999999999</v>
      </c>
      <c r="N2723" s="338"/>
      <c r="O2723" s="338">
        <f t="shared" si="46"/>
        <v>0</v>
      </c>
    </row>
    <row r="2724" spans="13:15">
      <c r="M2724" s="338">
        <f t="shared" si="45"/>
        <v>-6.9099999999999</v>
      </c>
      <c r="N2724" s="338"/>
      <c r="O2724" s="338">
        <f t="shared" si="46"/>
        <v>0</v>
      </c>
    </row>
    <row r="2725" spans="13:15">
      <c r="M2725" s="338">
        <f t="shared" si="45"/>
        <v>-6.9199999999999</v>
      </c>
      <c r="N2725" s="338"/>
      <c r="O2725" s="338">
        <f t="shared" si="46"/>
        <v>0</v>
      </c>
    </row>
    <row r="2726" spans="13:15">
      <c r="M2726" s="338">
        <f t="shared" si="45"/>
        <v>-6.9299999999999</v>
      </c>
      <c r="N2726" s="338"/>
      <c r="O2726" s="338">
        <f t="shared" si="46"/>
        <v>0</v>
      </c>
    </row>
    <row r="2727" spans="13:15">
      <c r="M2727" s="338">
        <f t="shared" si="45"/>
        <v>-6.9399999999999</v>
      </c>
      <c r="N2727" s="338"/>
      <c r="O2727" s="338">
        <f t="shared" si="46"/>
        <v>0</v>
      </c>
    </row>
    <row r="2728" spans="13:15">
      <c r="M2728" s="338">
        <f t="shared" si="45"/>
        <v>-6.9499999999999</v>
      </c>
      <c r="N2728" s="338"/>
      <c r="O2728" s="338">
        <f t="shared" si="46"/>
        <v>0</v>
      </c>
    </row>
    <row r="2729" spans="13:15">
      <c r="M2729" s="338">
        <f t="shared" si="45"/>
        <v>-6.9599999999999</v>
      </c>
      <c r="N2729" s="338"/>
      <c r="O2729" s="338">
        <f t="shared" si="46"/>
        <v>0</v>
      </c>
    </row>
    <row r="2730" spans="13:15">
      <c r="M2730" s="338">
        <f t="shared" si="45"/>
        <v>-6.9699999999999</v>
      </c>
      <c r="N2730" s="338"/>
      <c r="O2730" s="338">
        <f t="shared" si="46"/>
        <v>0</v>
      </c>
    </row>
    <row r="2731" spans="13:15">
      <c r="M2731" s="338">
        <f t="shared" si="45"/>
        <v>-6.9799999999999</v>
      </c>
      <c r="N2731" s="338"/>
      <c r="O2731" s="338">
        <f t="shared" si="46"/>
        <v>0</v>
      </c>
    </row>
    <row r="2732" spans="13:15">
      <c r="M2732" s="338">
        <f t="shared" si="45"/>
        <v>-6.9899999999999</v>
      </c>
      <c r="N2732" s="338"/>
      <c r="O2732" s="338">
        <f t="shared" si="46"/>
        <v>0</v>
      </c>
    </row>
    <row r="2733" spans="13:15">
      <c r="M2733" s="338">
        <f t="shared" si="45"/>
        <v>-6.9999999999999</v>
      </c>
      <c r="N2733" s="338"/>
      <c r="O2733" s="338">
        <f t="shared" si="46"/>
        <v>0</v>
      </c>
    </row>
    <row r="2734" spans="13:15">
      <c r="M2734" s="338">
        <f t="shared" si="45"/>
        <v>-7.00999999999989</v>
      </c>
      <c r="N2734" s="338"/>
      <c r="O2734" s="338">
        <f t="shared" si="46"/>
        <v>0</v>
      </c>
    </row>
    <row r="2735" spans="13:15">
      <c r="M2735" s="338">
        <f t="shared" si="45"/>
        <v>-7.01999999999989</v>
      </c>
      <c r="N2735" s="338"/>
      <c r="O2735" s="338">
        <f t="shared" si="46"/>
        <v>0</v>
      </c>
    </row>
    <row r="2736" spans="13:15">
      <c r="M2736" s="338">
        <f t="shared" si="45"/>
        <v>-7.02999999999989</v>
      </c>
      <c r="N2736" s="338"/>
      <c r="O2736" s="338">
        <f t="shared" si="46"/>
        <v>0</v>
      </c>
    </row>
    <row r="2737" spans="13:15">
      <c r="M2737" s="338">
        <f t="shared" si="45"/>
        <v>-7.03999999999989</v>
      </c>
      <c r="N2737" s="338"/>
      <c r="O2737" s="338">
        <f t="shared" si="46"/>
        <v>0</v>
      </c>
    </row>
    <row r="2738" spans="13:15">
      <c r="M2738" s="338">
        <f t="shared" si="45"/>
        <v>-7.04999999999989</v>
      </c>
      <c r="N2738" s="338"/>
      <c r="O2738" s="338">
        <f t="shared" si="46"/>
        <v>0</v>
      </c>
    </row>
    <row r="2739" spans="13:15">
      <c r="M2739" s="338">
        <f t="shared" si="45"/>
        <v>-7.05999999999989</v>
      </c>
      <c r="N2739" s="338"/>
      <c r="O2739" s="338">
        <f t="shared" si="46"/>
        <v>0</v>
      </c>
    </row>
    <row r="2740" spans="13:15">
      <c r="M2740" s="338">
        <f t="shared" si="45"/>
        <v>-7.06999999999989</v>
      </c>
      <c r="N2740" s="338"/>
      <c r="O2740" s="338">
        <f t="shared" si="46"/>
        <v>0</v>
      </c>
    </row>
    <row r="2741" spans="13:15">
      <c r="M2741" s="338">
        <f t="shared" si="45"/>
        <v>-7.07999999999989</v>
      </c>
      <c r="N2741" s="338"/>
      <c r="O2741" s="338">
        <f t="shared" si="46"/>
        <v>0</v>
      </c>
    </row>
    <row r="2742" spans="13:15">
      <c r="M2742" s="338">
        <f t="shared" si="45"/>
        <v>-7.08999999999989</v>
      </c>
      <c r="N2742" s="338"/>
      <c r="O2742" s="338">
        <f t="shared" si="46"/>
        <v>0</v>
      </c>
    </row>
    <row r="2743" spans="13:15">
      <c r="M2743" s="338">
        <f t="shared" si="45"/>
        <v>-7.09999999999989</v>
      </c>
      <c r="N2743" s="338"/>
      <c r="O2743" s="338">
        <f t="shared" si="46"/>
        <v>0</v>
      </c>
    </row>
    <row r="2744" spans="13:15">
      <c r="M2744" s="338">
        <f t="shared" si="45"/>
        <v>-7.10999999999989</v>
      </c>
      <c r="N2744" s="338"/>
      <c r="O2744" s="338">
        <f t="shared" si="46"/>
        <v>0</v>
      </c>
    </row>
    <row r="2745" spans="13:15">
      <c r="M2745" s="338">
        <f t="shared" si="45"/>
        <v>-7.11999999999989</v>
      </c>
      <c r="N2745" s="338"/>
      <c r="O2745" s="338">
        <f t="shared" si="46"/>
        <v>0</v>
      </c>
    </row>
    <row r="2746" spans="13:15">
      <c r="M2746" s="338">
        <f t="shared" si="45"/>
        <v>-7.12999999999989</v>
      </c>
      <c r="N2746" s="338"/>
      <c r="O2746" s="338">
        <f t="shared" si="46"/>
        <v>0</v>
      </c>
    </row>
    <row r="2747" spans="13:15">
      <c r="M2747" s="338">
        <f t="shared" si="45"/>
        <v>-7.13999999999989</v>
      </c>
      <c r="N2747" s="338"/>
      <c r="O2747" s="338">
        <f t="shared" si="46"/>
        <v>0</v>
      </c>
    </row>
    <row r="2748" spans="13:15">
      <c r="M2748" s="338">
        <f t="shared" si="45"/>
        <v>-7.14999999999989</v>
      </c>
      <c r="N2748" s="338"/>
      <c r="O2748" s="338">
        <f t="shared" si="46"/>
        <v>0</v>
      </c>
    </row>
    <row r="2749" spans="13:15">
      <c r="M2749" s="338">
        <f t="shared" si="45"/>
        <v>-7.15999999999989</v>
      </c>
      <c r="N2749" s="338"/>
      <c r="O2749" s="338">
        <f t="shared" si="46"/>
        <v>0</v>
      </c>
    </row>
    <row r="2750" spans="13:15">
      <c r="M2750" s="338">
        <f t="shared" si="45"/>
        <v>-7.16999999999989</v>
      </c>
      <c r="N2750" s="338"/>
      <c r="O2750" s="338">
        <f t="shared" si="46"/>
        <v>0</v>
      </c>
    </row>
    <row r="2751" spans="13:15">
      <c r="M2751" s="338">
        <f t="shared" si="45"/>
        <v>-7.17999999999989</v>
      </c>
      <c r="N2751" s="338"/>
      <c r="O2751" s="338">
        <f t="shared" si="46"/>
        <v>0</v>
      </c>
    </row>
    <row r="2752" spans="13:15">
      <c r="M2752" s="338">
        <f t="shared" si="45"/>
        <v>-7.18999999999989</v>
      </c>
      <c r="N2752" s="338"/>
      <c r="O2752" s="338">
        <f t="shared" si="46"/>
        <v>0</v>
      </c>
    </row>
    <row r="2753" spans="13:15">
      <c r="M2753" s="338">
        <f t="shared" si="45"/>
        <v>-7.19999999999989</v>
      </c>
      <c r="N2753" s="338"/>
      <c r="O2753" s="338">
        <f t="shared" si="46"/>
        <v>0</v>
      </c>
    </row>
    <row r="2754" spans="13:15">
      <c r="M2754" s="338">
        <f t="shared" si="45"/>
        <v>-7.20999999999989</v>
      </c>
      <c r="N2754" s="338"/>
      <c r="O2754" s="338">
        <f t="shared" si="46"/>
        <v>0</v>
      </c>
    </row>
    <row r="2755" spans="13:15">
      <c r="M2755" s="338">
        <f t="shared" si="45"/>
        <v>-7.21999999999989</v>
      </c>
      <c r="N2755" s="338"/>
      <c r="O2755" s="338">
        <f t="shared" si="46"/>
        <v>0</v>
      </c>
    </row>
    <row r="2756" spans="13:15">
      <c r="M2756" s="338">
        <f t="shared" si="45"/>
        <v>-7.22999999999989</v>
      </c>
      <c r="N2756" s="338"/>
      <c r="O2756" s="338">
        <f t="shared" si="46"/>
        <v>0</v>
      </c>
    </row>
    <row r="2757" spans="13:15">
      <c r="M2757" s="338">
        <f t="shared" si="45"/>
        <v>-7.23999999999989</v>
      </c>
      <c r="N2757" s="338"/>
      <c r="O2757" s="338">
        <f t="shared" si="46"/>
        <v>0</v>
      </c>
    </row>
    <row r="2758" spans="13:15">
      <c r="M2758" s="338">
        <f t="shared" si="45"/>
        <v>-7.24999999999989</v>
      </c>
      <c r="N2758" s="338"/>
      <c r="O2758" s="338">
        <f t="shared" si="46"/>
        <v>0</v>
      </c>
    </row>
    <row r="2759" spans="13:15">
      <c r="M2759" s="338">
        <f t="shared" si="45"/>
        <v>-7.25999999999989</v>
      </c>
      <c r="N2759" s="338"/>
      <c r="O2759" s="338">
        <f t="shared" si="46"/>
        <v>0</v>
      </c>
    </row>
    <row r="2760" spans="13:15">
      <c r="M2760" s="338">
        <f t="shared" si="45"/>
        <v>-7.26999999999989</v>
      </c>
      <c r="N2760" s="338"/>
      <c r="O2760" s="338">
        <f t="shared" si="46"/>
        <v>0</v>
      </c>
    </row>
    <row r="2761" spans="13:15">
      <c r="M2761" s="338">
        <f t="shared" si="45"/>
        <v>-7.27999999999989</v>
      </c>
      <c r="N2761" s="338"/>
      <c r="O2761" s="338">
        <f t="shared" si="46"/>
        <v>0</v>
      </c>
    </row>
    <row r="2762" spans="13:15">
      <c r="M2762" s="338">
        <f t="shared" si="45"/>
        <v>-7.28999999999989</v>
      </c>
      <c r="N2762" s="338"/>
      <c r="O2762" s="338">
        <f t="shared" si="46"/>
        <v>0</v>
      </c>
    </row>
    <row r="2763" spans="13:15">
      <c r="M2763" s="338">
        <f t="shared" si="45"/>
        <v>-7.29999999999989</v>
      </c>
      <c r="N2763" s="338"/>
      <c r="O2763" s="338">
        <f t="shared" si="46"/>
        <v>0</v>
      </c>
    </row>
    <row r="2764" spans="13:15">
      <c r="M2764" s="338">
        <f t="shared" si="45"/>
        <v>-7.30999999999989</v>
      </c>
      <c r="N2764" s="338"/>
      <c r="O2764" s="338">
        <f t="shared" si="46"/>
        <v>0</v>
      </c>
    </row>
    <row r="2765" spans="13:15">
      <c r="M2765" s="338">
        <f t="shared" si="45"/>
        <v>-7.31999999999989</v>
      </c>
      <c r="N2765" s="338"/>
      <c r="O2765" s="338">
        <f t="shared" si="46"/>
        <v>0</v>
      </c>
    </row>
    <row r="2766" spans="13:15">
      <c r="M2766" s="338">
        <f t="shared" si="45"/>
        <v>-7.32999999999989</v>
      </c>
      <c r="N2766" s="338"/>
      <c r="O2766" s="338">
        <f t="shared" si="46"/>
        <v>0</v>
      </c>
    </row>
    <row r="2767" spans="13:15">
      <c r="M2767" s="338">
        <f t="shared" si="45"/>
        <v>-7.33999999999989</v>
      </c>
      <c r="N2767" s="338"/>
      <c r="O2767" s="338">
        <f t="shared" si="46"/>
        <v>0</v>
      </c>
    </row>
    <row r="2768" spans="13:15">
      <c r="M2768" s="338">
        <f t="shared" si="45"/>
        <v>-7.34999999999989</v>
      </c>
      <c r="N2768" s="338"/>
      <c r="O2768" s="338">
        <f t="shared" si="46"/>
        <v>0</v>
      </c>
    </row>
    <row r="2769" spans="13:15">
      <c r="M2769" s="338">
        <f t="shared" si="45"/>
        <v>-7.35999999999989</v>
      </c>
      <c r="N2769" s="338"/>
      <c r="O2769" s="338">
        <f t="shared" si="46"/>
        <v>0</v>
      </c>
    </row>
    <row r="2770" spans="13:15">
      <c r="M2770" s="338">
        <f t="shared" si="45"/>
        <v>-7.36999999999989</v>
      </c>
      <c r="N2770" s="338"/>
      <c r="O2770" s="338">
        <f t="shared" si="46"/>
        <v>0</v>
      </c>
    </row>
    <row r="2771" spans="13:15">
      <c r="M2771" s="338">
        <f t="shared" si="45"/>
        <v>-7.37999999999989</v>
      </c>
      <c r="N2771" s="338"/>
      <c r="O2771" s="338">
        <f t="shared" si="46"/>
        <v>0</v>
      </c>
    </row>
    <row r="2772" spans="13:15">
      <c r="M2772" s="338">
        <f t="shared" si="45"/>
        <v>-7.38999999999989</v>
      </c>
      <c r="N2772" s="338"/>
      <c r="O2772" s="338">
        <f t="shared" si="46"/>
        <v>0</v>
      </c>
    </row>
    <row r="2773" spans="13:15">
      <c r="M2773" s="338">
        <f t="shared" ref="M2773:M2836" si="47">-0.01+M2772</f>
        <v>-7.39999999999989</v>
      </c>
      <c r="N2773" s="338"/>
      <c r="O2773" s="338">
        <f t="shared" si="46"/>
        <v>0</v>
      </c>
    </row>
    <row r="2774" spans="13:15">
      <c r="M2774" s="338">
        <f t="shared" si="47"/>
        <v>-7.40999999999989</v>
      </c>
      <c r="N2774" s="338"/>
      <c r="O2774" s="338">
        <f t="shared" si="46"/>
        <v>0</v>
      </c>
    </row>
    <row r="2775" spans="13:15">
      <c r="M2775" s="338">
        <f t="shared" si="47"/>
        <v>-7.41999999999989</v>
      </c>
      <c r="N2775" s="338"/>
      <c r="O2775" s="338">
        <f t="shared" si="46"/>
        <v>0</v>
      </c>
    </row>
    <row r="2776" spans="13:15">
      <c r="M2776" s="338">
        <f t="shared" si="47"/>
        <v>-7.42999999999989</v>
      </c>
      <c r="N2776" s="338"/>
      <c r="O2776" s="338">
        <f t="shared" si="46"/>
        <v>0</v>
      </c>
    </row>
    <row r="2777" spans="13:15">
      <c r="M2777" s="338">
        <f t="shared" si="47"/>
        <v>-7.43999999999989</v>
      </c>
      <c r="N2777" s="338"/>
      <c r="O2777" s="338">
        <f t="shared" si="46"/>
        <v>0</v>
      </c>
    </row>
    <row r="2778" spans="13:15">
      <c r="M2778" s="338">
        <f t="shared" si="47"/>
        <v>-7.44999999999989</v>
      </c>
      <c r="N2778" s="338"/>
      <c r="O2778" s="338">
        <f t="shared" ref="O2778:O2841" si="48">1*(N2778&lt;$N$79)</f>
        <v>0</v>
      </c>
    </row>
    <row r="2779" spans="13:15">
      <c r="M2779" s="338">
        <f t="shared" si="47"/>
        <v>-7.45999999999989</v>
      </c>
      <c r="N2779" s="338"/>
      <c r="O2779" s="338">
        <f t="shared" si="48"/>
        <v>0</v>
      </c>
    </row>
    <row r="2780" spans="13:15">
      <c r="M2780" s="338">
        <f t="shared" si="47"/>
        <v>-7.46999999999989</v>
      </c>
      <c r="N2780" s="338"/>
      <c r="O2780" s="338">
        <f t="shared" si="48"/>
        <v>0</v>
      </c>
    </row>
    <row r="2781" spans="13:15">
      <c r="M2781" s="338">
        <f t="shared" si="47"/>
        <v>-7.47999999999988</v>
      </c>
      <c r="N2781" s="338"/>
      <c r="O2781" s="338">
        <f t="shared" si="48"/>
        <v>0</v>
      </c>
    </row>
    <row r="2782" spans="13:15">
      <c r="M2782" s="338">
        <f t="shared" si="47"/>
        <v>-7.48999999999988</v>
      </c>
      <c r="N2782" s="338"/>
      <c r="O2782" s="338">
        <f t="shared" si="48"/>
        <v>0</v>
      </c>
    </row>
    <row r="2783" spans="13:15">
      <c r="M2783" s="338">
        <f t="shared" si="47"/>
        <v>-7.49999999999988</v>
      </c>
      <c r="N2783" s="338"/>
      <c r="O2783" s="338">
        <f t="shared" si="48"/>
        <v>0</v>
      </c>
    </row>
    <row r="2784" spans="13:15">
      <c r="M2784" s="338">
        <f t="shared" si="47"/>
        <v>-7.50999999999988</v>
      </c>
      <c r="N2784" s="338"/>
      <c r="O2784" s="338">
        <f t="shared" si="48"/>
        <v>0</v>
      </c>
    </row>
    <row r="2785" spans="13:15">
      <c r="M2785" s="338">
        <f t="shared" si="47"/>
        <v>-7.51999999999988</v>
      </c>
      <c r="N2785" s="338"/>
      <c r="O2785" s="338">
        <f t="shared" si="48"/>
        <v>0</v>
      </c>
    </row>
    <row r="2786" spans="13:15">
      <c r="M2786" s="338">
        <f t="shared" si="47"/>
        <v>-7.52999999999988</v>
      </c>
      <c r="N2786" s="338"/>
      <c r="O2786" s="338">
        <f t="shared" si="48"/>
        <v>0</v>
      </c>
    </row>
    <row r="2787" spans="13:15">
      <c r="M2787" s="338">
        <f t="shared" si="47"/>
        <v>-7.53999999999988</v>
      </c>
      <c r="N2787" s="338"/>
      <c r="O2787" s="338">
        <f t="shared" si="48"/>
        <v>0</v>
      </c>
    </row>
    <row r="2788" spans="13:15">
      <c r="M2788" s="338">
        <f t="shared" si="47"/>
        <v>-7.54999999999988</v>
      </c>
      <c r="N2788" s="338"/>
      <c r="O2788" s="338">
        <f t="shared" si="48"/>
        <v>0</v>
      </c>
    </row>
    <row r="2789" spans="13:15">
      <c r="M2789" s="338">
        <f t="shared" si="47"/>
        <v>-7.55999999999988</v>
      </c>
      <c r="N2789" s="338"/>
      <c r="O2789" s="338">
        <f t="shared" si="48"/>
        <v>0</v>
      </c>
    </row>
    <row r="2790" spans="13:15">
      <c r="M2790" s="338">
        <f t="shared" si="47"/>
        <v>-7.56999999999988</v>
      </c>
      <c r="N2790" s="338"/>
      <c r="O2790" s="338">
        <f t="shared" si="48"/>
        <v>0</v>
      </c>
    </row>
    <row r="2791" spans="13:15">
      <c r="M2791" s="338">
        <f t="shared" si="47"/>
        <v>-7.57999999999988</v>
      </c>
      <c r="N2791" s="338"/>
      <c r="O2791" s="338">
        <f t="shared" si="48"/>
        <v>0</v>
      </c>
    </row>
    <row r="2792" spans="13:15">
      <c r="M2792" s="338">
        <f t="shared" si="47"/>
        <v>-7.58999999999988</v>
      </c>
      <c r="N2792" s="338"/>
      <c r="O2792" s="338">
        <f t="shared" si="48"/>
        <v>0</v>
      </c>
    </row>
    <row r="2793" spans="13:15">
      <c r="M2793" s="338">
        <f t="shared" si="47"/>
        <v>-7.59999999999988</v>
      </c>
      <c r="N2793" s="338"/>
      <c r="O2793" s="338">
        <f t="shared" si="48"/>
        <v>0</v>
      </c>
    </row>
    <row r="2794" spans="13:15">
      <c r="M2794" s="338">
        <f t="shared" si="47"/>
        <v>-7.60999999999988</v>
      </c>
      <c r="N2794" s="338"/>
      <c r="O2794" s="338">
        <f t="shared" si="48"/>
        <v>0</v>
      </c>
    </row>
    <row r="2795" spans="13:15">
      <c r="M2795" s="338">
        <f t="shared" si="47"/>
        <v>-7.61999999999988</v>
      </c>
      <c r="N2795" s="338"/>
      <c r="O2795" s="338">
        <f t="shared" si="48"/>
        <v>0</v>
      </c>
    </row>
    <row r="2796" spans="13:15">
      <c r="M2796" s="338">
        <f t="shared" si="47"/>
        <v>-7.62999999999988</v>
      </c>
      <c r="N2796" s="338"/>
      <c r="O2796" s="338">
        <f t="shared" si="48"/>
        <v>0</v>
      </c>
    </row>
    <row r="2797" spans="13:15">
      <c r="M2797" s="338">
        <f t="shared" si="47"/>
        <v>-7.63999999999988</v>
      </c>
      <c r="N2797" s="338"/>
      <c r="O2797" s="338">
        <f t="shared" si="48"/>
        <v>0</v>
      </c>
    </row>
    <row r="2798" spans="13:15">
      <c r="M2798" s="338">
        <f t="shared" si="47"/>
        <v>-7.64999999999988</v>
      </c>
      <c r="N2798" s="338"/>
      <c r="O2798" s="338">
        <f t="shared" si="48"/>
        <v>0</v>
      </c>
    </row>
    <row r="2799" spans="13:15">
      <c r="M2799" s="338">
        <f t="shared" si="47"/>
        <v>-7.65999999999988</v>
      </c>
      <c r="N2799" s="338"/>
      <c r="O2799" s="338">
        <f t="shared" si="48"/>
        <v>0</v>
      </c>
    </row>
    <row r="2800" spans="13:15">
      <c r="M2800" s="338">
        <f t="shared" si="47"/>
        <v>-7.66999999999988</v>
      </c>
      <c r="N2800" s="338"/>
      <c r="O2800" s="338">
        <f t="shared" si="48"/>
        <v>0</v>
      </c>
    </row>
    <row r="2801" spans="13:15">
      <c r="M2801" s="338">
        <f t="shared" si="47"/>
        <v>-7.67999999999988</v>
      </c>
      <c r="N2801" s="338"/>
      <c r="O2801" s="338">
        <f t="shared" si="48"/>
        <v>0</v>
      </c>
    </row>
    <row r="2802" spans="13:15">
      <c r="M2802" s="338">
        <f t="shared" si="47"/>
        <v>-7.68999999999988</v>
      </c>
      <c r="N2802" s="338"/>
      <c r="O2802" s="338">
        <f t="shared" si="48"/>
        <v>0</v>
      </c>
    </row>
    <row r="2803" spans="13:15">
      <c r="M2803" s="338">
        <f t="shared" si="47"/>
        <v>-7.69999999999988</v>
      </c>
      <c r="N2803" s="338"/>
      <c r="O2803" s="338">
        <f t="shared" si="48"/>
        <v>0</v>
      </c>
    </row>
    <row r="2804" spans="13:15">
      <c r="M2804" s="338">
        <f t="shared" si="47"/>
        <v>-7.70999999999988</v>
      </c>
      <c r="N2804" s="338"/>
      <c r="O2804" s="338">
        <f t="shared" si="48"/>
        <v>0</v>
      </c>
    </row>
    <row r="2805" spans="13:15">
      <c r="M2805" s="338">
        <f t="shared" si="47"/>
        <v>-7.71999999999988</v>
      </c>
      <c r="N2805" s="338"/>
      <c r="O2805" s="338">
        <f t="shared" si="48"/>
        <v>0</v>
      </c>
    </row>
    <row r="2806" spans="13:15">
      <c r="M2806" s="338">
        <f t="shared" si="47"/>
        <v>-7.72999999999988</v>
      </c>
      <c r="N2806" s="338"/>
      <c r="O2806" s="338">
        <f t="shared" si="48"/>
        <v>0</v>
      </c>
    </row>
    <row r="2807" spans="13:15">
      <c r="M2807" s="338">
        <f t="shared" si="47"/>
        <v>-7.73999999999988</v>
      </c>
      <c r="N2807" s="338"/>
      <c r="O2807" s="338">
        <f t="shared" si="48"/>
        <v>0</v>
      </c>
    </row>
    <row r="2808" spans="13:15">
      <c r="M2808" s="338">
        <f t="shared" si="47"/>
        <v>-7.74999999999988</v>
      </c>
      <c r="N2808" s="338"/>
      <c r="O2808" s="338">
        <f t="shared" si="48"/>
        <v>0</v>
      </c>
    </row>
    <row r="2809" spans="13:15">
      <c r="M2809" s="338">
        <f t="shared" si="47"/>
        <v>-7.75999999999988</v>
      </c>
      <c r="N2809" s="338"/>
      <c r="O2809" s="338">
        <f t="shared" si="48"/>
        <v>0</v>
      </c>
    </row>
    <row r="2810" spans="13:15">
      <c r="M2810" s="338">
        <f t="shared" si="47"/>
        <v>-7.76999999999988</v>
      </c>
      <c r="N2810" s="338"/>
      <c r="O2810" s="338">
        <f t="shared" si="48"/>
        <v>0</v>
      </c>
    </row>
    <row r="2811" spans="13:15">
      <c r="M2811" s="338">
        <f t="shared" si="47"/>
        <v>-7.77999999999988</v>
      </c>
      <c r="N2811" s="338"/>
      <c r="O2811" s="338">
        <f t="shared" si="48"/>
        <v>0</v>
      </c>
    </row>
    <row r="2812" spans="13:15">
      <c r="M2812" s="338">
        <f t="shared" si="47"/>
        <v>-7.78999999999988</v>
      </c>
      <c r="N2812" s="338"/>
      <c r="O2812" s="338">
        <f t="shared" si="48"/>
        <v>0</v>
      </c>
    </row>
    <row r="2813" spans="13:15">
      <c r="M2813" s="338">
        <f t="shared" si="47"/>
        <v>-7.79999999999988</v>
      </c>
      <c r="N2813" s="338"/>
      <c r="O2813" s="338">
        <f t="shared" si="48"/>
        <v>0</v>
      </c>
    </row>
    <row r="2814" spans="13:15">
      <c r="M2814" s="338">
        <f t="shared" si="47"/>
        <v>-7.80999999999988</v>
      </c>
      <c r="N2814" s="338"/>
      <c r="O2814" s="338">
        <f t="shared" si="48"/>
        <v>0</v>
      </c>
    </row>
    <row r="2815" spans="13:15">
      <c r="M2815" s="338">
        <f t="shared" si="47"/>
        <v>-7.81999999999988</v>
      </c>
      <c r="N2815" s="338"/>
      <c r="O2815" s="338">
        <f t="shared" si="48"/>
        <v>0</v>
      </c>
    </row>
    <row r="2816" spans="13:15">
      <c r="M2816" s="338">
        <f t="shared" si="47"/>
        <v>-7.82999999999988</v>
      </c>
      <c r="N2816" s="338"/>
      <c r="O2816" s="338">
        <f t="shared" si="48"/>
        <v>0</v>
      </c>
    </row>
    <row r="2817" spans="13:15">
      <c r="M2817" s="338">
        <f t="shared" si="47"/>
        <v>-7.83999999999988</v>
      </c>
      <c r="N2817" s="338"/>
      <c r="O2817" s="338">
        <f t="shared" si="48"/>
        <v>0</v>
      </c>
    </row>
    <row r="2818" spans="13:15">
      <c r="M2818" s="338">
        <f t="shared" si="47"/>
        <v>-7.84999999999988</v>
      </c>
      <c r="N2818" s="338"/>
      <c r="O2818" s="338">
        <f t="shared" si="48"/>
        <v>0</v>
      </c>
    </row>
    <row r="2819" spans="13:15">
      <c r="M2819" s="338">
        <f t="shared" si="47"/>
        <v>-7.85999999999988</v>
      </c>
      <c r="N2819" s="338"/>
      <c r="O2819" s="338">
        <f t="shared" si="48"/>
        <v>0</v>
      </c>
    </row>
    <row r="2820" spans="13:15">
      <c r="M2820" s="338">
        <f t="shared" si="47"/>
        <v>-7.86999999999988</v>
      </c>
      <c r="N2820" s="338"/>
      <c r="O2820" s="338">
        <f t="shared" si="48"/>
        <v>0</v>
      </c>
    </row>
    <row r="2821" spans="13:15">
      <c r="M2821" s="338">
        <f t="shared" si="47"/>
        <v>-7.87999999999988</v>
      </c>
      <c r="N2821" s="338"/>
      <c r="O2821" s="338">
        <f t="shared" si="48"/>
        <v>0</v>
      </c>
    </row>
    <row r="2822" spans="13:15">
      <c r="M2822" s="338">
        <f t="shared" si="47"/>
        <v>-7.88999999999988</v>
      </c>
      <c r="N2822" s="338"/>
      <c r="O2822" s="338">
        <f t="shared" si="48"/>
        <v>0</v>
      </c>
    </row>
    <row r="2823" spans="13:15">
      <c r="M2823" s="338">
        <f t="shared" si="47"/>
        <v>-7.89999999999988</v>
      </c>
      <c r="N2823" s="338"/>
      <c r="O2823" s="338">
        <f t="shared" si="48"/>
        <v>0</v>
      </c>
    </row>
    <row r="2824" spans="13:15">
      <c r="M2824" s="338">
        <f t="shared" si="47"/>
        <v>-7.90999999999988</v>
      </c>
      <c r="N2824" s="338"/>
      <c r="O2824" s="338">
        <f t="shared" si="48"/>
        <v>0</v>
      </c>
    </row>
    <row r="2825" spans="13:15">
      <c r="M2825" s="338">
        <f t="shared" si="47"/>
        <v>-7.91999999999988</v>
      </c>
      <c r="N2825" s="338"/>
      <c r="O2825" s="338">
        <f t="shared" si="48"/>
        <v>0</v>
      </c>
    </row>
    <row r="2826" spans="13:15">
      <c r="M2826" s="338">
        <f t="shared" si="47"/>
        <v>-7.92999999999988</v>
      </c>
      <c r="N2826" s="338"/>
      <c r="O2826" s="338">
        <f t="shared" si="48"/>
        <v>0</v>
      </c>
    </row>
    <row r="2827" spans="13:15">
      <c r="M2827" s="338">
        <f t="shared" si="47"/>
        <v>-7.93999999999988</v>
      </c>
      <c r="N2827" s="338"/>
      <c r="O2827" s="338">
        <f t="shared" si="48"/>
        <v>0</v>
      </c>
    </row>
    <row r="2828" spans="13:15">
      <c r="M2828" s="338">
        <f t="shared" si="47"/>
        <v>-7.94999999999987</v>
      </c>
      <c r="N2828" s="338"/>
      <c r="O2828" s="338">
        <f t="shared" si="48"/>
        <v>0</v>
      </c>
    </row>
    <row r="2829" spans="13:15">
      <c r="M2829" s="338">
        <f t="shared" si="47"/>
        <v>-7.95999999999987</v>
      </c>
      <c r="N2829" s="338"/>
      <c r="O2829" s="338">
        <f t="shared" si="48"/>
        <v>0</v>
      </c>
    </row>
    <row r="2830" spans="13:15">
      <c r="M2830" s="338">
        <f t="shared" si="47"/>
        <v>-7.96999999999987</v>
      </c>
      <c r="N2830" s="338"/>
      <c r="O2830" s="338">
        <f t="shared" si="48"/>
        <v>0</v>
      </c>
    </row>
    <row r="2831" spans="13:15">
      <c r="M2831" s="338">
        <f t="shared" si="47"/>
        <v>-7.97999999999987</v>
      </c>
      <c r="N2831" s="338"/>
      <c r="O2831" s="338">
        <f t="shared" si="48"/>
        <v>0</v>
      </c>
    </row>
    <row r="2832" spans="13:15">
      <c r="M2832" s="338">
        <f t="shared" si="47"/>
        <v>-7.98999999999987</v>
      </c>
      <c r="N2832" s="338"/>
      <c r="O2832" s="338">
        <f t="shared" si="48"/>
        <v>0</v>
      </c>
    </row>
    <row r="2833" spans="13:15">
      <c r="M2833" s="338">
        <f t="shared" si="47"/>
        <v>-7.99999999999987</v>
      </c>
      <c r="N2833" s="338"/>
      <c r="O2833" s="338">
        <f t="shared" si="48"/>
        <v>0</v>
      </c>
    </row>
    <row r="2834" spans="13:15">
      <c r="M2834" s="338">
        <f t="shared" si="47"/>
        <v>-8.00999999999987</v>
      </c>
      <c r="N2834" s="338"/>
      <c r="O2834" s="338">
        <f t="shared" si="48"/>
        <v>0</v>
      </c>
    </row>
    <row r="2835" spans="13:15">
      <c r="M2835" s="338">
        <f t="shared" si="47"/>
        <v>-8.01999999999987</v>
      </c>
      <c r="N2835" s="338"/>
      <c r="O2835" s="338">
        <f t="shared" si="48"/>
        <v>0</v>
      </c>
    </row>
    <row r="2836" spans="13:15">
      <c r="M2836" s="338">
        <f t="shared" si="47"/>
        <v>-8.02999999999987</v>
      </c>
      <c r="N2836" s="338"/>
      <c r="O2836" s="338">
        <f t="shared" si="48"/>
        <v>0</v>
      </c>
    </row>
    <row r="2837" spans="13:15">
      <c r="M2837" s="338">
        <f t="shared" ref="M2837:M2882" si="49">-0.01+M2836</f>
        <v>-8.03999999999987</v>
      </c>
      <c r="N2837" s="338"/>
      <c r="O2837" s="338">
        <f t="shared" si="48"/>
        <v>0</v>
      </c>
    </row>
    <row r="2838" spans="13:15">
      <c r="M2838" s="338">
        <f t="shared" si="49"/>
        <v>-8.04999999999987</v>
      </c>
      <c r="N2838" s="338"/>
      <c r="O2838" s="338">
        <f t="shared" si="48"/>
        <v>0</v>
      </c>
    </row>
    <row r="2839" spans="13:15">
      <c r="M2839" s="338">
        <f t="shared" si="49"/>
        <v>-8.05999999999987</v>
      </c>
      <c r="N2839" s="338"/>
      <c r="O2839" s="338">
        <f t="shared" si="48"/>
        <v>0</v>
      </c>
    </row>
    <row r="2840" spans="13:15">
      <c r="M2840" s="338">
        <f t="shared" si="49"/>
        <v>-8.06999999999987</v>
      </c>
      <c r="N2840" s="338"/>
      <c r="O2840" s="338">
        <f t="shared" si="48"/>
        <v>0</v>
      </c>
    </row>
    <row r="2841" spans="13:15">
      <c r="M2841" s="338">
        <f t="shared" si="49"/>
        <v>-8.07999999999987</v>
      </c>
      <c r="N2841" s="338"/>
      <c r="O2841" s="338">
        <f t="shared" si="48"/>
        <v>0</v>
      </c>
    </row>
    <row r="2842" spans="13:15">
      <c r="M2842" s="338">
        <f t="shared" si="49"/>
        <v>-8.08999999999987</v>
      </c>
      <c r="N2842" s="338"/>
      <c r="O2842" s="338">
        <f t="shared" ref="O2842:O2882" si="50">1*(N2842&lt;$N$79)</f>
        <v>0</v>
      </c>
    </row>
    <row r="2843" spans="13:15">
      <c r="M2843" s="338">
        <f t="shared" si="49"/>
        <v>-8.09999999999987</v>
      </c>
      <c r="N2843" s="338"/>
      <c r="O2843" s="338">
        <f t="shared" si="50"/>
        <v>0</v>
      </c>
    </row>
    <row r="2844" spans="13:15">
      <c r="M2844" s="338">
        <f t="shared" si="49"/>
        <v>-8.10999999999987</v>
      </c>
      <c r="N2844" s="338"/>
      <c r="O2844" s="338">
        <f t="shared" si="50"/>
        <v>0</v>
      </c>
    </row>
    <row r="2845" spans="13:15">
      <c r="M2845" s="338">
        <f t="shared" si="49"/>
        <v>-8.11999999999987</v>
      </c>
      <c r="N2845" s="338"/>
      <c r="O2845" s="338">
        <f t="shared" si="50"/>
        <v>0</v>
      </c>
    </row>
    <row r="2846" spans="13:15">
      <c r="M2846" s="338">
        <f t="shared" si="49"/>
        <v>-8.12999999999987</v>
      </c>
      <c r="N2846" s="338"/>
      <c r="O2846" s="338">
        <f t="shared" si="50"/>
        <v>0</v>
      </c>
    </row>
    <row r="2847" spans="13:15">
      <c r="M2847" s="338">
        <f t="shared" si="49"/>
        <v>-8.13999999999987</v>
      </c>
      <c r="N2847" s="338"/>
      <c r="O2847" s="338">
        <f t="shared" si="50"/>
        <v>0</v>
      </c>
    </row>
    <row r="2848" spans="13:15">
      <c r="M2848" s="338">
        <f t="shared" si="49"/>
        <v>-8.14999999999987</v>
      </c>
      <c r="N2848" s="338"/>
      <c r="O2848" s="338">
        <f t="shared" si="50"/>
        <v>0</v>
      </c>
    </row>
    <row r="2849" spans="13:15">
      <c r="M2849" s="338">
        <f t="shared" si="49"/>
        <v>-8.15999999999987</v>
      </c>
      <c r="N2849" s="338"/>
      <c r="O2849" s="338">
        <f t="shared" si="50"/>
        <v>0</v>
      </c>
    </row>
    <row r="2850" spans="13:15">
      <c r="M2850" s="338">
        <f t="shared" si="49"/>
        <v>-8.16999999999987</v>
      </c>
      <c r="N2850" s="338"/>
      <c r="O2850" s="338">
        <f t="shared" si="50"/>
        <v>0</v>
      </c>
    </row>
    <row r="2851" spans="13:15">
      <c r="M2851" s="338">
        <f t="shared" si="49"/>
        <v>-8.17999999999987</v>
      </c>
      <c r="N2851" s="338"/>
      <c r="O2851" s="338">
        <f t="shared" si="50"/>
        <v>0</v>
      </c>
    </row>
    <row r="2852" spans="13:15">
      <c r="M2852" s="338">
        <f t="shared" si="49"/>
        <v>-8.18999999999987</v>
      </c>
      <c r="N2852" s="338"/>
      <c r="O2852" s="338">
        <f t="shared" si="50"/>
        <v>0</v>
      </c>
    </row>
    <row r="2853" spans="13:15">
      <c r="M2853" s="338">
        <f t="shared" si="49"/>
        <v>-8.19999999999987</v>
      </c>
      <c r="N2853" s="338"/>
      <c r="O2853" s="338">
        <f t="shared" si="50"/>
        <v>0</v>
      </c>
    </row>
    <row r="2854" spans="13:15">
      <c r="M2854" s="338">
        <f t="shared" si="49"/>
        <v>-8.20999999999987</v>
      </c>
      <c r="N2854" s="338"/>
      <c r="O2854" s="338">
        <f t="shared" si="50"/>
        <v>0</v>
      </c>
    </row>
    <row r="2855" spans="13:15">
      <c r="M2855" s="338">
        <f t="shared" si="49"/>
        <v>-8.21999999999987</v>
      </c>
      <c r="N2855" s="338"/>
      <c r="O2855" s="338">
        <f t="shared" si="50"/>
        <v>0</v>
      </c>
    </row>
    <row r="2856" spans="13:15">
      <c r="M2856" s="338">
        <f t="shared" si="49"/>
        <v>-8.22999999999987</v>
      </c>
      <c r="N2856" s="338"/>
      <c r="O2856" s="338">
        <f t="shared" si="50"/>
        <v>0</v>
      </c>
    </row>
    <row r="2857" spans="13:15">
      <c r="M2857" s="338">
        <f t="shared" si="49"/>
        <v>-8.23999999999987</v>
      </c>
      <c r="N2857" s="338"/>
      <c r="O2857" s="338">
        <f t="shared" si="50"/>
        <v>0</v>
      </c>
    </row>
    <row r="2858" spans="13:15">
      <c r="M2858" s="338">
        <f t="shared" si="49"/>
        <v>-8.24999999999987</v>
      </c>
      <c r="N2858" s="338"/>
      <c r="O2858" s="338">
        <f t="shared" si="50"/>
        <v>0</v>
      </c>
    </row>
    <row r="2859" spans="13:15">
      <c r="M2859" s="338">
        <f t="shared" si="49"/>
        <v>-8.25999999999987</v>
      </c>
      <c r="N2859" s="338"/>
      <c r="O2859" s="338">
        <f t="shared" si="50"/>
        <v>0</v>
      </c>
    </row>
    <row r="2860" spans="13:15">
      <c r="M2860" s="338">
        <f t="shared" si="49"/>
        <v>-8.26999999999987</v>
      </c>
      <c r="N2860" s="338"/>
      <c r="O2860" s="338">
        <f t="shared" si="50"/>
        <v>0</v>
      </c>
    </row>
    <row r="2861" spans="13:15">
      <c r="M2861" s="338">
        <f t="shared" si="49"/>
        <v>-8.27999999999987</v>
      </c>
      <c r="N2861" s="338"/>
      <c r="O2861" s="338">
        <f t="shared" si="50"/>
        <v>0</v>
      </c>
    </row>
    <row r="2862" spans="13:15">
      <c r="M2862" s="338">
        <f t="shared" si="49"/>
        <v>-8.28999999999987</v>
      </c>
      <c r="N2862" s="338"/>
      <c r="O2862" s="338">
        <f t="shared" si="50"/>
        <v>0</v>
      </c>
    </row>
    <row r="2863" spans="13:15">
      <c r="M2863" s="338">
        <f t="shared" si="49"/>
        <v>-8.29999999999987</v>
      </c>
      <c r="N2863" s="338"/>
      <c r="O2863" s="338">
        <f t="shared" si="50"/>
        <v>0</v>
      </c>
    </row>
    <row r="2864" spans="13:15">
      <c r="M2864" s="338">
        <f t="shared" si="49"/>
        <v>-8.30999999999987</v>
      </c>
      <c r="N2864" s="338"/>
      <c r="O2864" s="338">
        <f t="shared" si="50"/>
        <v>0</v>
      </c>
    </row>
    <row r="2865" spans="13:15">
      <c r="M2865" s="338">
        <f t="shared" si="49"/>
        <v>-8.31999999999987</v>
      </c>
      <c r="N2865" s="338"/>
      <c r="O2865" s="338">
        <f t="shared" si="50"/>
        <v>0</v>
      </c>
    </row>
    <row r="2866" spans="13:15">
      <c r="M2866" s="338">
        <f t="shared" si="49"/>
        <v>-8.32999999999987</v>
      </c>
      <c r="N2866" s="338"/>
      <c r="O2866" s="338">
        <f t="shared" si="50"/>
        <v>0</v>
      </c>
    </row>
    <row r="2867" spans="13:15">
      <c r="M2867" s="338">
        <f t="shared" si="49"/>
        <v>-8.33999999999987</v>
      </c>
      <c r="N2867" s="338"/>
      <c r="O2867" s="338">
        <f t="shared" si="50"/>
        <v>0</v>
      </c>
    </row>
    <row r="2868" spans="13:15">
      <c r="M2868" s="338">
        <f t="shared" si="49"/>
        <v>-8.34999999999987</v>
      </c>
      <c r="N2868" s="338"/>
      <c r="O2868" s="338">
        <f t="shared" si="50"/>
        <v>0</v>
      </c>
    </row>
    <row r="2869" spans="13:15">
      <c r="M2869" s="338">
        <f t="shared" si="49"/>
        <v>-8.35999999999987</v>
      </c>
      <c r="N2869" s="338"/>
      <c r="O2869" s="338">
        <f t="shared" si="50"/>
        <v>0</v>
      </c>
    </row>
    <row r="2870" spans="13:15">
      <c r="M2870" s="338">
        <f t="shared" si="49"/>
        <v>-8.36999999999987</v>
      </c>
      <c r="N2870" s="338"/>
      <c r="O2870" s="338">
        <f t="shared" si="50"/>
        <v>0</v>
      </c>
    </row>
    <row r="2871" spans="13:15">
      <c r="M2871" s="338">
        <f t="shared" si="49"/>
        <v>-8.37999999999987</v>
      </c>
      <c r="N2871" s="338"/>
      <c r="O2871" s="338">
        <f t="shared" si="50"/>
        <v>0</v>
      </c>
    </row>
    <row r="2872" spans="13:15">
      <c r="M2872" s="338">
        <f t="shared" si="49"/>
        <v>-8.38999999999987</v>
      </c>
      <c r="N2872" s="338"/>
      <c r="O2872" s="338">
        <f t="shared" si="50"/>
        <v>0</v>
      </c>
    </row>
    <row r="2873" spans="13:15">
      <c r="M2873" s="338">
        <f t="shared" si="49"/>
        <v>-8.39999999999987</v>
      </c>
      <c r="N2873" s="338"/>
      <c r="O2873" s="338">
        <f t="shared" si="50"/>
        <v>0</v>
      </c>
    </row>
    <row r="2874" spans="13:15">
      <c r="M2874" s="338">
        <f t="shared" si="49"/>
        <v>-8.40999999999987</v>
      </c>
      <c r="N2874" s="338"/>
      <c r="O2874" s="338">
        <f t="shared" si="50"/>
        <v>0</v>
      </c>
    </row>
    <row r="2875" spans="13:15">
      <c r="M2875" s="338">
        <f t="shared" si="49"/>
        <v>-8.41999999999986</v>
      </c>
      <c r="N2875" s="338"/>
      <c r="O2875" s="338">
        <f t="shared" si="50"/>
        <v>0</v>
      </c>
    </row>
    <row r="2876" spans="13:15">
      <c r="M2876" s="338">
        <f t="shared" si="49"/>
        <v>-8.42999999999986</v>
      </c>
      <c r="N2876" s="338"/>
      <c r="O2876" s="338">
        <f t="shared" si="50"/>
        <v>0</v>
      </c>
    </row>
    <row r="2877" spans="13:15">
      <c r="M2877" s="338">
        <f t="shared" si="49"/>
        <v>-8.43999999999986</v>
      </c>
      <c r="N2877" s="338"/>
      <c r="O2877" s="338">
        <f t="shared" si="50"/>
        <v>0</v>
      </c>
    </row>
    <row r="2878" spans="13:15">
      <c r="M2878" s="338">
        <f t="shared" si="49"/>
        <v>-8.44999999999986</v>
      </c>
      <c r="N2878" s="338"/>
      <c r="O2878" s="338">
        <f t="shared" si="50"/>
        <v>0</v>
      </c>
    </row>
    <row r="2879" spans="13:15">
      <c r="M2879" s="338">
        <f t="shared" si="49"/>
        <v>-8.45999999999986</v>
      </c>
      <c r="N2879" s="338"/>
      <c r="O2879" s="338">
        <f t="shared" si="50"/>
        <v>0</v>
      </c>
    </row>
    <row r="2880" spans="13:15">
      <c r="M2880" s="338">
        <f t="shared" si="49"/>
        <v>-8.46999999999986</v>
      </c>
      <c r="N2880" s="338"/>
      <c r="O2880" s="338">
        <f t="shared" si="50"/>
        <v>0</v>
      </c>
    </row>
    <row r="2881" spans="13:15">
      <c r="M2881" s="338">
        <f t="shared" si="49"/>
        <v>-8.47999999999986</v>
      </c>
      <c r="N2881" s="338"/>
      <c r="O2881" s="338">
        <f t="shared" si="50"/>
        <v>0</v>
      </c>
    </row>
    <row r="2882" spans="13:15">
      <c r="M2882" s="338">
        <f t="shared" si="49"/>
        <v>-8.48999999999986</v>
      </c>
      <c r="N2882" s="338"/>
      <c r="O2882" s="338">
        <f t="shared" si="50"/>
        <v>0</v>
      </c>
    </row>
  </sheetData>
  <sheetProtection algorithmName="SHA-512" hashValue="41K9KqkllSddgDAbTjK6V6NabsK0WJ8w1KN+uqvz4LEy94yCGJwZLrGGv4XM30OLlUf3gkalA4R/oXNte8L71A==" saltValue="Z/N7n+E2EkEaaYicN9f6OQ==" spinCount="100000" sheet="1" selectLockedCells="1" objects="1" scenarios="1"/>
  <mergeCells count="34">
    <mergeCell ref="F5:P5"/>
    <mergeCell ref="B20:R20"/>
    <mergeCell ref="S22:T22"/>
    <mergeCell ref="C23:D23"/>
    <mergeCell ref="O23:P23"/>
    <mergeCell ref="C24:D24"/>
    <mergeCell ref="O24:P24"/>
    <mergeCell ref="B40:R40"/>
    <mergeCell ref="B43:P43"/>
    <mergeCell ref="B49:R49"/>
    <mergeCell ref="B50:R50"/>
    <mergeCell ref="B51:R51"/>
    <mergeCell ref="B64:R64"/>
    <mergeCell ref="D72:K72"/>
    <mergeCell ref="B23:B24"/>
    <mergeCell ref="S23:S24"/>
    <mergeCell ref="T23:T24"/>
    <mergeCell ref="U23:U24"/>
    <mergeCell ref="X23:X24"/>
    <mergeCell ref="Y23:Y24"/>
    <mergeCell ref="Z23:Z24"/>
    <mergeCell ref="AA23:AA24"/>
    <mergeCell ref="AB23:AB24"/>
    <mergeCell ref="AC23:AC24"/>
    <mergeCell ref="AD23:AD24"/>
    <mergeCell ref="AE23:AE24"/>
    <mergeCell ref="B54:R55"/>
    <mergeCell ref="B56:R57"/>
    <mergeCell ref="B58:R59"/>
    <mergeCell ref="B60:R61"/>
    <mergeCell ref="B62:R63"/>
    <mergeCell ref="B66:R69"/>
    <mergeCell ref="B52:R53"/>
    <mergeCell ref="B46:R48"/>
  </mergeCells>
  <conditionalFormatting sqref="B12">
    <cfRule type="expression" dxfId="0" priority="6">
      <formula>$D$3=5</formula>
    </cfRule>
  </conditionalFormatting>
  <conditionalFormatting sqref="D12:E12">
    <cfRule type="expression" dxfId="0" priority="5">
      <formula>$D$3=5</formula>
    </cfRule>
  </conditionalFormatting>
  <conditionalFormatting sqref="M12:Q12 Q13">
    <cfRule type="expression" dxfId="1" priority="1">
      <formula>$D$3=2</formula>
    </cfRule>
  </conditionalFormatting>
  <dataValidations count="4">
    <dataValidation type="list" allowBlank="1" showInputMessage="1" showErrorMessage="1" sqref="D3">
      <formula1>"2,5"</formula1>
    </dataValidation>
    <dataValidation type="list" allowBlank="1" showInputMessage="1" showErrorMessage="1" sqref="B4">
      <formula1>$S$2:$S$3</formula1>
    </dataValidation>
    <dataValidation type="list" allowBlank="1" showInputMessage="1" showErrorMessage="1" sqref="D7">
      <formula1>$AD$7:$AD$9</formula1>
    </dataValidation>
    <dataValidation type="list" allowBlank="1" showInputMessage="1" showErrorMessage="1" sqref="P11:Q11">
      <formula1>$S$8:$S$9</formula1>
    </dataValidation>
  </dataValidations>
  <pageMargins left="0.748031496062992" right="0.748031496062992" top="0.748031496062992" bottom="0.748031496062992" header="0.511811023622047" footer="0.511811023622047"/>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72" name="Button 28" r:id="rId3">
              <controlPr print="0" defaultSize="0">
                <anchor moveWithCells="1" sizeWithCells="1">
                  <from>
                    <xdr:col>5</xdr:col>
                    <xdr:colOff>38100</xdr:colOff>
                    <xdr:row>0</xdr:row>
                    <xdr:rowOff>38100</xdr:rowOff>
                  </from>
                  <to>
                    <xdr:col>15</xdr:col>
                    <xdr:colOff>495300</xdr:colOff>
                    <xdr:row>3</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AS77"/>
  <sheetViews>
    <sheetView tabSelected="1" zoomScale="75" zoomScaleNormal="75" topLeftCell="B1" workbookViewId="0">
      <selection activeCell="D4" sqref="D4"/>
    </sheetView>
  </sheetViews>
  <sheetFormatPr defaultColWidth="9" defaultRowHeight="15.75"/>
  <cols>
    <col min="1" max="1" width="11.125" style="143" hidden="1" customWidth="1"/>
    <col min="2" max="2" width="21.125" style="143" customWidth="1"/>
    <col min="3" max="3" width="3.125" style="143" customWidth="1"/>
    <col min="4" max="4" width="18" style="143" customWidth="1"/>
    <col min="5" max="5" width="3.125" style="143" customWidth="1"/>
    <col min="6" max="6" width="16.125" style="143" customWidth="1"/>
    <col min="7" max="7" width="12.625" style="143" customWidth="1"/>
    <col min="8" max="8" width="16.125" style="143" customWidth="1"/>
    <col min="9" max="10" width="12.625" style="143" hidden="1" customWidth="1"/>
    <col min="11" max="11" width="14.125" style="143" hidden="1" customWidth="1"/>
    <col min="12" max="12" width="18" style="143" hidden="1" customWidth="1"/>
    <col min="13" max="14" width="18" style="143" customWidth="1"/>
    <col min="15" max="15" width="3.5" style="143" customWidth="1"/>
    <col min="16" max="17" width="21.75" style="143" customWidth="1"/>
    <col min="18" max="18" width="22.5" style="143" customWidth="1"/>
    <col min="19" max="19" width="12.5" style="143" hidden="1" customWidth="1"/>
    <col min="20" max="20" width="14.75" style="143" hidden="1" customWidth="1"/>
    <col min="21" max="32" width="9" style="143" hidden="1" customWidth="1"/>
    <col min="33" max="34" width="22.125" style="143" hidden="1" customWidth="1"/>
    <col min="35" max="41" width="9" style="143" hidden="1" customWidth="1"/>
    <col min="42" max="42" width="0.75" style="143" hidden="1" customWidth="1"/>
    <col min="43" max="43" width="9" style="143" hidden="1" customWidth="1"/>
    <col min="44" max="44" width="12.5" style="143" hidden="1" customWidth="1"/>
    <col min="45" max="45" width="9" style="143" customWidth="1"/>
    <col min="46" max="16384" width="9" style="143"/>
  </cols>
  <sheetData>
    <row r="1" spans="4:4">
      <c r="D1" s="144" t="s">
        <v>80</v>
      </c>
    </row>
    <row r="2" spans="2:32">
      <c r="B2" s="145" t="s">
        <v>108</v>
      </c>
      <c r="C2" s="145"/>
      <c r="S2" s="167" t="s">
        <v>90</v>
      </c>
      <c r="AF2" s="281"/>
    </row>
    <row r="3" spans="2:19">
      <c r="B3" s="143" t="s">
        <v>81</v>
      </c>
      <c r="D3" s="146">
        <v>5</v>
      </c>
      <c r="K3" s="167" t="s">
        <v>109</v>
      </c>
      <c r="S3" s="167" t="s">
        <v>93</v>
      </c>
    </row>
    <row r="4" ht="26.25" spans="2:19">
      <c r="B4" s="147" t="s">
        <v>93</v>
      </c>
      <c r="D4" s="148">
        <v>2500000</v>
      </c>
      <c r="E4" s="149"/>
      <c r="F4" s="150">
        <f>IF(AND($B$4=$S$2,VLOOKUP($D$7&amp;$B$4&amp;$D$3,'Black hole_Mapping'!$B:$G,5,FALSE)&lt;=$D$4,$D$4&lt;=VLOOKUP($D$7&amp;$B$4&amp;$D$3,'Black hole_Mapping'!$B:$G,6,FALSE)),VLOOKUP($D$7&amp;$B$4&amp;$D$3,'Black hole_Mapping'!$B:$G,6,FALSE),$D$4)</f>
        <v>2500000</v>
      </c>
      <c r="I4" s="219">
        <f ca="1">IF(B4=S2,F4,K7)</f>
        <v>561243.86</v>
      </c>
      <c r="J4" s="219"/>
      <c r="K4" s="220">
        <f ca="1">ROUND(F4/(AA11-'Backward Cal (size discount) TC'!X21*AA7),2)</f>
        <v>561243.86</v>
      </c>
      <c r="S4" s="261">
        <v>2</v>
      </c>
    </row>
    <row r="5" ht="90.75" customHeight="1" spans="2:19">
      <c r="B5" s="151" t="s">
        <v>112</v>
      </c>
      <c r="C5" s="152"/>
      <c r="D5" s="153">
        <f ca="1">'Backward Cal (size discount) TC'!$K$61-0.01</f>
        <v>561243.99</v>
      </c>
      <c r="E5" s="154" t="s">
        <v>113</v>
      </c>
      <c r="F5" s="155" t="s">
        <v>114</v>
      </c>
      <c r="G5" s="155"/>
      <c r="H5" s="155"/>
      <c r="I5" s="155"/>
      <c r="J5" s="155"/>
      <c r="K5" s="155"/>
      <c r="L5" s="155"/>
      <c r="M5" s="155"/>
      <c r="N5" s="155"/>
      <c r="O5" s="155"/>
      <c r="P5" s="155"/>
      <c r="Q5" s="155"/>
      <c r="S5" s="261">
        <v>5</v>
      </c>
    </row>
    <row r="6" ht="37.5" spans="2:27">
      <c r="B6" s="156" t="s">
        <v>116</v>
      </c>
      <c r="C6" s="152"/>
      <c r="D6" s="157">
        <f ca="1">D26</f>
        <v>561244</v>
      </c>
      <c r="E6" s="154"/>
      <c r="F6" s="155"/>
      <c r="G6" s="155"/>
      <c r="H6" s="155"/>
      <c r="I6" s="155"/>
      <c r="J6" s="155"/>
      <c r="K6" s="155"/>
      <c r="L6" s="155"/>
      <c r="M6" s="155"/>
      <c r="N6" s="155"/>
      <c r="O6" s="155"/>
      <c r="P6" s="155"/>
      <c r="Q6" s="155"/>
      <c r="S6" s="261"/>
      <c r="X6" s="265">
        <f>$D$11</f>
        <v>0.038</v>
      </c>
      <c r="Y6" s="265">
        <v>0.02</v>
      </c>
      <c r="Z6" s="275">
        <v>1</v>
      </c>
      <c r="AA6" s="275">
        <f>IF($Z6&gt;$D$3,0,IF($Z6=1,1,AA5/(1+X6)))</f>
        <v>1</v>
      </c>
    </row>
    <row r="7" spans="2:34">
      <c r="B7" s="143" t="s">
        <v>118</v>
      </c>
      <c r="D7" s="305" t="s">
        <v>103</v>
      </c>
      <c r="K7" s="220">
        <f ca="1">IF(AND($B$4=$S$3,VLOOKUP($D$7&amp;$B$4&amp;$D$3,'Black hole_Mapping'!$B:$G,5,FALSE)&lt;=$D$4,$D$4&lt;=VLOOKUP($D$7&amp;$B$4&amp;$D$3,'Black hole_Mapping'!$B:$G,6,FALSE)),VLOOKUP($D$7&amp;$S$2&amp;$D$3,'Black hole_Mapping'!$B:$G,6,FALSE),ROUND(F4/(AA11-'Backward Cal (size discount) TC'!X22*AA7),2))</f>
        <v>561243.86</v>
      </c>
      <c r="X7" s="265">
        <f>$D$11</f>
        <v>0.038</v>
      </c>
      <c r="Y7" s="265">
        <v>0.02</v>
      </c>
      <c r="Z7" s="275">
        <f>Z6+1</f>
        <v>2</v>
      </c>
      <c r="AA7" s="275">
        <f>IF($Z7&gt;$D$3,0,IF($Z7=1,1,AA6/(1+X6)))</f>
        <v>0.963391136801541</v>
      </c>
      <c r="AD7" s="283" t="s">
        <v>102</v>
      </c>
      <c r="AE7" s="284">
        <f>IF($D$3=2,AF7,IF($D$4&gt;=VLOOKUP($D$7&amp;$B$4&amp;$D$3,'Black hole_Mapping'!$B:$G,5,FALSE),AG7,AH7))</f>
        <v>0.04</v>
      </c>
      <c r="AF7" s="285">
        <v>0.068</v>
      </c>
      <c r="AG7" s="285">
        <v>0.05</v>
      </c>
      <c r="AH7" s="286">
        <v>0.04</v>
      </c>
    </row>
    <row r="8" hidden="1" spans="2:34">
      <c r="B8" s="159"/>
      <c r="C8" s="159"/>
      <c r="D8" s="160"/>
      <c r="M8" s="221" t="s">
        <v>120</v>
      </c>
      <c r="N8" s="221"/>
      <c r="O8" s="221"/>
      <c r="P8" s="222" t="str">
        <f>IF(D7="人民幣","N","Y")</f>
        <v>Y</v>
      </c>
      <c r="Q8" s="222"/>
      <c r="S8" s="263" t="s">
        <v>121</v>
      </c>
      <c r="X8" s="265">
        <f>$D$11</f>
        <v>0.038</v>
      </c>
      <c r="Y8" s="265">
        <v>0.02</v>
      </c>
      <c r="Z8" s="275">
        <f>Z7+1</f>
        <v>3</v>
      </c>
      <c r="AA8" s="275">
        <f>IF($Z8&gt;$D$3,0,IF($Z8=1,1,AA7/(1+X7)))</f>
        <v>0.928122482467766</v>
      </c>
      <c r="AD8" s="283" t="s">
        <v>103</v>
      </c>
      <c r="AE8" s="284">
        <f>IF($D$4&gt;=VLOOKUP($D$7&amp;$B$4&amp;$D$3,'Black hole_Mapping'!$B:$G,5,FALSE),AG8,AH8)</f>
        <v>0.038</v>
      </c>
      <c r="AF8" s="285"/>
      <c r="AG8" s="285">
        <v>0.048</v>
      </c>
      <c r="AH8" s="285">
        <v>0.038</v>
      </c>
    </row>
    <row r="9" ht="16.5" hidden="1" spans="2:34">
      <c r="B9" s="145" t="s">
        <v>122</v>
      </c>
      <c r="C9" s="145"/>
      <c r="M9" s="223" t="s">
        <v>123</v>
      </c>
      <c r="N9" s="223"/>
      <c r="O9" s="221"/>
      <c r="P9" s="224">
        <f>VLOOKUP(D7,AD7:AE9,2,FALSE)</f>
        <v>0.038</v>
      </c>
      <c r="Q9" s="224"/>
      <c r="S9" s="263" t="s">
        <v>124</v>
      </c>
      <c r="T9" s="143" t="s">
        <v>198</v>
      </c>
      <c r="X9" s="265">
        <f>$D$11</f>
        <v>0.038</v>
      </c>
      <c r="Y9" s="265">
        <v>0.02</v>
      </c>
      <c r="Z9" s="275">
        <f>Z8+1</f>
        <v>4</v>
      </c>
      <c r="AA9" s="275">
        <f>IF($Z9&gt;$D$3,0,IF($Z9=1,1,AA8/(1+X8)))</f>
        <v>0.89414497347569</v>
      </c>
      <c r="AD9" s="283" t="s">
        <v>105</v>
      </c>
      <c r="AE9" s="284">
        <v>0.02</v>
      </c>
      <c r="AF9" s="285"/>
      <c r="AG9" s="285">
        <v>0.02</v>
      </c>
      <c r="AH9" s="285">
        <v>0.02</v>
      </c>
    </row>
    <row r="10" ht="16.5" hidden="1" spans="2:27">
      <c r="B10" s="143" t="s">
        <v>125</v>
      </c>
      <c r="D10" s="161">
        <v>1</v>
      </c>
      <c r="T10" s="143" t="s">
        <v>199</v>
      </c>
      <c r="X10" s="265">
        <f>$D$11</f>
        <v>0.038</v>
      </c>
      <c r="Y10" s="265">
        <v>0.02</v>
      </c>
      <c r="Z10" s="275">
        <f>Z9+1</f>
        <v>5</v>
      </c>
      <c r="AA10" s="275">
        <f>IF($Z10&gt;$D$3,0,IF($Z10=1,1,AA9/(1+X9)))</f>
        <v>0.861411342462129</v>
      </c>
    </row>
    <row r="11" ht="33" hidden="1" customHeight="1" spans="2:27">
      <c r="B11" s="162" t="str">
        <f>IF(D7="美元","Guaranteed Interest Rate for Prepaid Premium","Interest Rate for Prepaid Premium")</f>
        <v>Interest Rate for Prepaid Premium</v>
      </c>
      <c r="D11" s="163">
        <f>P9</f>
        <v>0.038</v>
      </c>
      <c r="K11" s="225">
        <f>(1+D11)*((1+D12)^D10-1)/D12</f>
        <v>1.038</v>
      </c>
      <c r="M11" s="143" t="s">
        <v>126</v>
      </c>
      <c r="P11" s="226" t="s">
        <v>121</v>
      </c>
      <c r="Q11" s="226"/>
      <c r="T11" s="264"/>
      <c r="X11" s="265"/>
      <c r="Y11" s="265"/>
      <c r="Z11" s="275"/>
      <c r="AA11" s="275">
        <f>SUM(AA6:AA10)</f>
        <v>4.64706993520713</v>
      </c>
    </row>
    <row r="12" hidden="1" spans="2:20">
      <c r="B12" s="164" t="s">
        <v>127</v>
      </c>
      <c r="D12" s="165">
        <v>0.02</v>
      </c>
      <c r="K12" s="225">
        <f>(1+D12)^(D3-D10)</f>
        <v>1.08243216</v>
      </c>
      <c r="M12" s="159" t="s">
        <v>200</v>
      </c>
      <c r="N12" s="159"/>
      <c r="O12" s="159"/>
      <c r="P12" s="227">
        <v>0</v>
      </c>
      <c r="Q12" s="227"/>
      <c r="S12" s="199">
        <v>43040</v>
      </c>
      <c r="T12" s="264"/>
    </row>
    <row r="13" hidden="1" spans="2:20">
      <c r="B13" s="143" t="s">
        <v>129</v>
      </c>
      <c r="D13" s="166">
        <f ca="1">IF(AND($P$11="N",OR($P$8="N",D11=D12)),ROUNDUP('Backward Cal (size discount) TC'!$K$61*(1-(1+D11)^(D10-D3))/((1+D11)^D10-1),2),D14)*0+ROUNDUP(($I$38+$J$38-$K$38)/$K$11/$K$12,2)*0+ROUNDUP(($I$38+$J$38-$K$38),2)</f>
        <v>1939121.33</v>
      </c>
      <c r="M13" s="143" t="s">
        <v>130</v>
      </c>
      <c r="P13" s="228">
        <f ca="1">IF($P$11="Y",'Backward Cal (size discount) TC'!U22,0)</f>
        <v>112248.8</v>
      </c>
      <c r="Q13" s="227"/>
      <c r="T13" s="264"/>
    </row>
    <row r="14" hidden="1" spans="2:8">
      <c r="B14" s="167" t="s">
        <v>131</v>
      </c>
      <c r="C14" s="167"/>
      <c r="D14" s="168">
        <f ca="1">0*ROUNDUP(('Backward Cal (size discount) TC'!$K$61*(T38-S38)-$P$13*$T$27)/(S38+T27*IF(P8="Y",P9-D12,0))+U38,2)</f>
        <v>0</v>
      </c>
      <c r="E14" s="169"/>
      <c r="F14" s="169"/>
      <c r="H14" s="169"/>
    </row>
    <row r="15" hidden="1" spans="2:12">
      <c r="B15" s="167"/>
      <c r="C15" s="167"/>
      <c r="D15" s="169"/>
      <c r="K15" s="169"/>
      <c r="L15" s="231"/>
    </row>
    <row r="16" ht="45" hidden="1" customHeight="1" spans="2:8">
      <c r="B16" s="167"/>
      <c r="C16" s="167"/>
      <c r="D16" s="169"/>
      <c r="E16" s="169"/>
      <c r="F16" s="169"/>
      <c r="H16" s="169"/>
    </row>
    <row r="17" ht="99" hidden="1" customHeight="1" spans="2:18">
      <c r="B17" s="170" t="str">
        <f>+"「匠心 • 傳承」儲蓄壽險計劃 2（尊尚版）"</f>
        <v>「匠心 • 傳承」儲蓄壽險計劃 2（尊尚版）</v>
      </c>
      <c r="C17" s="171"/>
      <c r="D17" s="172"/>
      <c r="E17" s="172"/>
      <c r="F17" s="172"/>
      <c r="G17" s="173"/>
      <c r="H17" s="172"/>
      <c r="I17" s="173"/>
      <c r="J17" s="173"/>
      <c r="K17" s="173"/>
      <c r="L17" s="173"/>
      <c r="M17" s="173"/>
      <c r="N17" s="173"/>
      <c r="O17" s="173"/>
      <c r="P17" s="173"/>
      <c r="Q17" s="173"/>
      <c r="R17" s="173"/>
    </row>
    <row r="18" ht="22.5" hidden="1" spans="2:11">
      <c r="B18" s="167"/>
      <c r="C18" s="167"/>
      <c r="D18" s="169"/>
      <c r="E18" s="169"/>
      <c r="F18" s="169"/>
      <c r="H18" s="169"/>
      <c r="K18" s="232"/>
    </row>
    <row r="19" ht="22.5" hidden="1" spans="2:11">
      <c r="B19" s="174" t="s">
        <v>201</v>
      </c>
      <c r="C19" s="174"/>
      <c r="D19" s="169"/>
      <c r="E19" s="169"/>
      <c r="F19" s="169"/>
      <c r="H19" s="169"/>
      <c r="K19" s="232"/>
    </row>
    <row r="20" ht="52.5" hidden="1" customHeight="1" spans="2:18">
      <c r="B20" s="175" t="str">
        <f>"您可選擇在1年內提早清繳保費。您只需於投保時，除繳交首年應繳保費之外，同時繳交下列首年額外繳交款項，該額外款項將存入保費儲存戶口積存非保證利息(如有)，在第2"&amp;IF(D3=2,"","至5")&amp;"個保單年度之保費到期時，保費儲存戶口的結餘便會如下列說明所示支付有關保費(包括保費徵費)。"</f>
        <v>您可選擇在1年內提早清繳保費。您只需於投保時，除繳交首年應繳保費之外，同時繳交下列首年額外繳交款項，該額外款項將存入保費儲存戶口積存非保證利息(如有)，在第2至5個保單年度之保費到期時，保費儲存戶口的結餘便會如下列說明所示支付有關保費(包括保費徵費)。</v>
      </c>
      <c r="C20" s="175"/>
      <c r="D20" s="175"/>
      <c r="E20" s="175"/>
      <c r="F20" s="175"/>
      <c r="G20" s="175"/>
      <c r="H20" s="175"/>
      <c r="I20" s="175"/>
      <c r="J20" s="175"/>
      <c r="K20" s="175"/>
      <c r="L20" s="175"/>
      <c r="M20" s="175"/>
      <c r="N20" s="175"/>
      <c r="O20" s="175"/>
      <c r="P20" s="175"/>
      <c r="Q20" s="175"/>
      <c r="R20" s="175"/>
    </row>
    <row r="21" hidden="1"/>
    <row r="22" hidden="1" spans="2:20">
      <c r="B22" s="176"/>
      <c r="C22" s="177" t="str">
        <f>$D$3&amp;"年供款"</f>
        <v>5年供款</v>
      </c>
      <c r="D22" s="178"/>
      <c r="E22" s="179"/>
      <c r="F22" s="179"/>
      <c r="G22" s="179"/>
      <c r="H22" s="179"/>
      <c r="I22" s="179"/>
      <c r="J22" s="179"/>
      <c r="K22" s="179"/>
      <c r="L22" s="179"/>
      <c r="M22" s="233" t="str">
        <f>D10&amp;" 年"&amp;IF(D10=1,"","s")&amp;"清繳保費"</f>
        <v>1 年清繳保費</v>
      </c>
      <c r="N22" s="234"/>
      <c r="O22" s="234"/>
      <c r="P22" s="234"/>
      <c r="Q22" s="234"/>
      <c r="R22" s="266"/>
      <c r="S22" s="267" t="s">
        <v>134</v>
      </c>
      <c r="T22" s="268"/>
    </row>
    <row r="23" ht="47.25" hidden="1" spans="2:32">
      <c r="B23" s="180" t="s">
        <v>202</v>
      </c>
      <c r="C23" s="306" t="s">
        <v>203</v>
      </c>
      <c r="D23" s="307"/>
      <c r="E23" s="183" t="s">
        <v>204</v>
      </c>
      <c r="F23" s="184"/>
      <c r="G23" s="183" t="s">
        <v>205</v>
      </c>
      <c r="H23" s="181" t="s">
        <v>206</v>
      </c>
      <c r="I23" s="235" t="s">
        <v>140</v>
      </c>
      <c r="J23" s="235" t="s">
        <v>141</v>
      </c>
      <c r="K23" s="236" t="s">
        <v>142</v>
      </c>
      <c r="L23" s="237" t="s">
        <v>207</v>
      </c>
      <c r="M23" s="237" t="s">
        <v>208</v>
      </c>
      <c r="N23" s="238" t="s">
        <v>209</v>
      </c>
      <c r="O23" s="239" t="s">
        <v>210</v>
      </c>
      <c r="P23" s="240"/>
      <c r="Q23" s="240" t="s">
        <v>211</v>
      </c>
      <c r="R23" s="238" t="s">
        <v>212</v>
      </c>
      <c r="S23" s="269" t="s">
        <v>149</v>
      </c>
      <c r="T23" s="270" t="s">
        <v>150</v>
      </c>
      <c r="U23" s="271" t="s">
        <v>151</v>
      </c>
      <c r="V23" s="271"/>
      <c r="W23" s="271"/>
      <c r="X23" s="272" t="s">
        <v>152</v>
      </c>
      <c r="Y23" s="272" t="s">
        <v>153</v>
      </c>
      <c r="Z23" s="272" t="s">
        <v>154</v>
      </c>
      <c r="AA23" s="272" t="s">
        <v>155</v>
      </c>
      <c r="AB23" s="272" t="s">
        <v>156</v>
      </c>
      <c r="AC23" s="272" t="s">
        <v>157</v>
      </c>
      <c r="AD23" s="272" t="s">
        <v>158</v>
      </c>
      <c r="AE23" s="272" t="s">
        <v>159</v>
      </c>
      <c r="AF23" s="271"/>
    </row>
    <row r="24" ht="16.5" hidden="1" spans="2:40">
      <c r="B24" s="185"/>
      <c r="C24" s="186" t="str">
        <f t="shared" ref="C24:R24" si="0">"("&amp;$D$7&amp;")"</f>
        <v>(港幣)</v>
      </c>
      <c r="D24" s="187"/>
      <c r="E24" s="186" t="str">
        <f t="shared" si="0"/>
        <v>(港幣)</v>
      </c>
      <c r="F24" s="187"/>
      <c r="G24" s="186" t="str">
        <f t="shared" si="0"/>
        <v>(港幣)</v>
      </c>
      <c r="H24" s="186" t="str">
        <f t="shared" si="0"/>
        <v>(港幣)</v>
      </c>
      <c r="I24" s="241" t="str">
        <f t="shared" si="0"/>
        <v>(港幣)</v>
      </c>
      <c r="J24" s="241" t="str">
        <f t="shared" si="0"/>
        <v>(港幣)</v>
      </c>
      <c r="K24" s="242" t="str">
        <f t="shared" si="0"/>
        <v>(港幣)</v>
      </c>
      <c r="L24" s="243" t="str">
        <f t="shared" si="0"/>
        <v>(港幣)</v>
      </c>
      <c r="M24" s="186" t="str">
        <f t="shared" si="0"/>
        <v>(港幣)</v>
      </c>
      <c r="N24" s="186" t="str">
        <f t="shared" si="0"/>
        <v>(港幣)</v>
      </c>
      <c r="O24" s="186" t="str">
        <f t="shared" si="0"/>
        <v>(港幣)</v>
      </c>
      <c r="P24" s="187"/>
      <c r="Q24" s="187" t="s">
        <v>213</v>
      </c>
      <c r="R24" s="274" t="str">
        <f t="shared" si="0"/>
        <v>(港幣)</v>
      </c>
      <c r="S24" s="269"/>
      <c r="T24" s="270"/>
      <c r="U24" s="271"/>
      <c r="V24" s="271"/>
      <c r="W24" s="271"/>
      <c r="X24" s="272"/>
      <c r="Y24" s="272"/>
      <c r="Z24" s="272"/>
      <c r="AA24" s="272"/>
      <c r="AB24" s="272"/>
      <c r="AC24" s="272"/>
      <c r="AD24" s="272"/>
      <c r="AE24" s="272"/>
      <c r="AF24" s="271"/>
      <c r="AM24" s="143">
        <v>7.8</v>
      </c>
      <c r="AN24" s="143">
        <v>1.2</v>
      </c>
    </row>
    <row r="25" ht="16.5" hidden="1" spans="2:45">
      <c r="B25" s="188"/>
      <c r="C25" s="189"/>
      <c r="D25" s="190"/>
      <c r="E25" s="191"/>
      <c r="F25" s="192"/>
      <c r="G25" s="192"/>
      <c r="H25" s="192"/>
      <c r="I25" s="244"/>
      <c r="J25" s="244"/>
      <c r="K25" s="245"/>
      <c r="L25" s="246"/>
      <c r="M25" s="247"/>
      <c r="N25" s="247"/>
      <c r="O25" s="248"/>
      <c r="P25" s="249"/>
      <c r="Q25" s="188"/>
      <c r="R25" s="188"/>
      <c r="S25" s="167"/>
      <c r="T25" s="167"/>
      <c r="X25" s="275"/>
      <c r="Y25" s="275"/>
      <c r="Z25" s="275"/>
      <c r="AA25" s="275"/>
      <c r="AB25" s="275"/>
      <c r="AC25" s="275"/>
      <c r="AD25" s="275"/>
      <c r="AE25" s="275"/>
      <c r="AH25" s="287" t="s">
        <v>161</v>
      </c>
      <c r="AI25" s="287" t="s">
        <v>82</v>
      </c>
      <c r="AJ25" s="287" t="s">
        <v>83</v>
      </c>
      <c r="AK25" s="287" t="s">
        <v>162</v>
      </c>
      <c r="AL25" s="288" t="s">
        <v>163</v>
      </c>
      <c r="AM25" s="289"/>
      <c r="AN25" s="290"/>
      <c r="AS25" s="280"/>
    </row>
    <row r="26" ht="16.5" hidden="1" spans="1:45">
      <c r="A26" s="193">
        <f ca="1">MAX(Date!$D$3,TODAY())</f>
        <v>45832</v>
      </c>
      <c r="B26" s="194">
        <v>1</v>
      </c>
      <c r="C26" s="195"/>
      <c r="D26" s="196">
        <f ca="1">IF($B26&gt;$D$3,0,'Backward Cal (size discount) TC'!$K$61)</f>
        <v>561244</v>
      </c>
      <c r="E26" s="197"/>
      <c r="F26" s="198">
        <f ca="1">MIN(ROUND(D26*INDEX($AK$27:$AK$32,MATCH($A26,$AI$27:$AI$32)),2),INDEX($AL$27:$AN$32,MATCH($A26,$AI$27:$AI$32),MATCH($D$7,$AL$26:$AN$26,FALSE)))</f>
        <v>100</v>
      </c>
      <c r="G26" s="198">
        <v>0</v>
      </c>
      <c r="H26" s="198">
        <f ca="1" t="shared" ref="H26:H37" si="1">IF($P$8="N",0,IF($B26=$D$3,ROUND(((SUMPRODUCT($D$27:$D$37,$AB$27:$AB$37)+SUMPRODUCT($F$27:$F$37,$AB$27:$AB$37)-SUMPRODUCT($G$27:$G$37,$AB$27:$AB$37))-(SUMPRODUCT($D$27:$D$37,$AE$27:$AE$37)+SUMPRODUCT($F$27:$F$37,$AE$27:$AE$37)-SUMPRODUCT($G$27:$G$37,$AE$27:$AE$37))/$AE$26)/(1/$AE$26+$AB26),2),0))</f>
        <v>0</v>
      </c>
      <c r="I26" s="250">
        <f ca="1">IF($B26&lt;=$D$10,0,D26*$AB26+0*D26*(1+$D$11)*(1+$D$12)^($D$3-$B26))</f>
        <v>0</v>
      </c>
      <c r="J26" s="250">
        <f ca="1">IF($B26&lt;=$D$10,0,F26*$AB26+0*(1+$D$11)*(1+$D$12)^($D$3-$B26))</f>
        <v>0</v>
      </c>
      <c r="K26" s="251">
        <f ca="1">IF($B26&lt;=$D$10,0,(G26+H26)*$AB26+0*(1+$D$11)*(1+$D$12)^($D$3-$B26))</f>
        <v>0</v>
      </c>
      <c r="L26" s="250">
        <f ca="1">D26+F26-G26-H26</f>
        <v>561344</v>
      </c>
      <c r="M26" s="252">
        <f ca="1">IF($B26&gt;$D$10,0,D26+F26)</f>
        <v>561344</v>
      </c>
      <c r="N26" s="252">
        <f ca="1">$D$13</f>
        <v>1939121.33</v>
      </c>
      <c r="O26" s="197"/>
      <c r="P26" s="253">
        <f ca="1">M26+N26</f>
        <v>2500465.33</v>
      </c>
      <c r="Q26" s="198">
        <f ca="1">ROUND(R25+R26-(M26+N26-L26),2)</f>
        <v>38782.43</v>
      </c>
      <c r="R26" s="276">
        <f ca="1" t="shared" ref="R26:R37" si="2">MAX(0,ROUND((R25+N26-(L26-M26))*(1+D$12),2))</f>
        <v>1977903.76</v>
      </c>
      <c r="S26" s="277">
        <f t="shared" ref="S26:S37" si="3">ROUND(IF(B26&gt;$D$10,0,(1+$D$12)^(-B26+1)),9)</f>
        <v>1</v>
      </c>
      <c r="T26" s="277">
        <f t="shared" ref="T26:T37" si="4">ROUND(IF(B26&gt;$D$3,0,(1+$D$12)^(-B26+1)),9)</f>
        <v>1</v>
      </c>
      <c r="U26" s="278"/>
      <c r="V26" s="278"/>
      <c r="W26" s="278"/>
      <c r="X26" s="265">
        <f>$P$9</f>
        <v>0.038</v>
      </c>
      <c r="Y26" s="265">
        <v>0.02</v>
      </c>
      <c r="Z26" s="275">
        <v>1</v>
      </c>
      <c r="AA26" s="275">
        <f t="shared" ref="AA26:AA37" si="5">IF($Z26&gt;$D$3,0,IF($Z26=1,1,AA25/(1+X26)))</f>
        <v>1</v>
      </c>
      <c r="AB26" s="275">
        <f t="shared" ref="AB26:AB37" si="6">IF($Z26&gt;$D$3,0,IF($Z26=1,1,AB25/(1+Y26)))</f>
        <v>1</v>
      </c>
      <c r="AC26" s="275">
        <f t="shared" ref="AC26:AC37" si="7">IF($Z26&gt;$D$3,0,IF($Z26=$D$3,1,AC27*(1+X26)))</f>
        <v>1.160885573136</v>
      </c>
      <c r="AD26" s="275">
        <f t="shared" ref="AD26:AD37" si="8">IF($Z26&gt;$D$3,0,IF($Z26=$D$3,1,AD27*(1+Y26)))</f>
        <v>1.08243216</v>
      </c>
      <c r="AE26" s="275">
        <f>AC26-AD26</f>
        <v>0.0784534131360002</v>
      </c>
      <c r="AF26" s="278"/>
      <c r="AH26" s="291"/>
      <c r="AI26" s="291"/>
      <c r="AJ26" s="291"/>
      <c r="AK26" s="291"/>
      <c r="AL26" s="292" t="s">
        <v>103</v>
      </c>
      <c r="AM26" s="293" t="s">
        <v>102</v>
      </c>
      <c r="AN26" s="292" t="s">
        <v>105</v>
      </c>
      <c r="AS26" s="300"/>
    </row>
    <row r="27" ht="16.5" hidden="1" spans="1:45">
      <c r="A27" s="199">
        <f ca="1">EDATE($A$26,(B27-B$26)*12)</f>
        <v>46197</v>
      </c>
      <c r="B27" s="194">
        <f>B26+1</f>
        <v>2</v>
      </c>
      <c r="C27" s="195"/>
      <c r="D27" s="196">
        <f ca="1">IF($B27&gt;$D$3,0,'Backward Cal (size discount) TC'!$K$61)</f>
        <v>561244</v>
      </c>
      <c r="E27" s="197"/>
      <c r="F27" s="198">
        <f ca="1">MIN(ROUND(D27*INDEX($AK$27:$AK$32,MATCH($A27,$AI$27:$AI$32)),2),INDEX($AL$27:$AN$32,MATCH($A27,$AI$27:$AI$32),MATCH($D$7,$AL$26:$AN$26,FALSE)))</f>
        <v>100</v>
      </c>
      <c r="G27" s="198">
        <f ca="1">$P$13+0*$D$14*IF($P$8="Y",$P$9-$D$12,0)</f>
        <v>112248.8</v>
      </c>
      <c r="H27" s="198">
        <f ca="1" t="shared" si="1"/>
        <v>0</v>
      </c>
      <c r="I27" s="250">
        <f ca="1" t="shared" ref="I27:I37" si="9">IF($B27&lt;=$D$10,0,D27*$AB27+0*D27*(1+$D$11)*(1+$D$12)^($D$3-$B27))</f>
        <v>550239.215686274</v>
      </c>
      <c r="J27" s="250">
        <f ca="1" t="shared" ref="J27:J37" si="10">IF($B27&lt;=$D$10,0,F27*$AB27+0*(1+$D$11)*(1+$D$12)^($D$3-$B27))</f>
        <v>98.0392156862745</v>
      </c>
      <c r="K27" s="251">
        <f ca="1" t="shared" ref="K27:K37" si="11">IF($B27&lt;=$D$10,0,(G27+H27)*$AB27+0*(1+$D$11)*(1+$D$12)^($D$3-$B27))</f>
        <v>110047.843137255</v>
      </c>
      <c r="L27" s="250">
        <f ca="1" t="shared" ref="L27:L37" si="12">D27+F27-G27-H27</f>
        <v>449095.2</v>
      </c>
      <c r="M27" s="252">
        <f ca="1">IF($B27&gt;$D$10,0,D27+F27)</f>
        <v>0</v>
      </c>
      <c r="N27" s="252">
        <f ca="1" t="shared" ref="N27:N37" si="13">IF($B27&gt;$D$10,0,$D$13)</f>
        <v>0</v>
      </c>
      <c r="O27" s="197"/>
      <c r="P27" s="198">
        <f ca="1" t="shared" ref="P27:P37" si="14">IF($B27&gt;$D$10,0,M27+N27)</f>
        <v>0</v>
      </c>
      <c r="Q27" s="198">
        <f ca="1">ROUND(R27-(R26+M27+N27-L27),2)</f>
        <v>30576.17</v>
      </c>
      <c r="R27" s="276">
        <f ca="1" t="shared" si="2"/>
        <v>1559384.73</v>
      </c>
      <c r="S27" s="277">
        <f t="shared" si="3"/>
        <v>0</v>
      </c>
      <c r="T27" s="277">
        <f t="shared" si="4"/>
        <v>0.980392157</v>
      </c>
      <c r="U27" s="278">
        <f ca="1">F27/(1+$D$12)^($B27-1)</f>
        <v>98.0392156862745</v>
      </c>
      <c r="V27" s="278"/>
      <c r="W27" s="278"/>
      <c r="X27" s="265">
        <f>$P$9</f>
        <v>0.038</v>
      </c>
      <c r="Y27" s="265">
        <v>0.02</v>
      </c>
      <c r="Z27" s="275">
        <f>Z26+1</f>
        <v>2</v>
      </c>
      <c r="AA27" s="275">
        <f t="shared" si="5"/>
        <v>0.963391136801541</v>
      </c>
      <c r="AB27" s="275">
        <f t="shared" si="6"/>
        <v>0.980392156862745</v>
      </c>
      <c r="AC27" s="275">
        <f t="shared" si="7"/>
        <v>1.118386872</v>
      </c>
      <c r="AD27" s="275">
        <f t="shared" si="8"/>
        <v>1.061208</v>
      </c>
      <c r="AE27" s="275">
        <f t="shared" ref="AE27:AE37" si="15">AC27-AD27</f>
        <v>0.0571788720000002</v>
      </c>
      <c r="AF27" s="278"/>
      <c r="AH27" s="294" t="s">
        <v>164</v>
      </c>
      <c r="AI27" s="295">
        <v>43101</v>
      </c>
      <c r="AJ27" s="295">
        <v>43555</v>
      </c>
      <c r="AK27" s="296">
        <v>0.0004</v>
      </c>
      <c r="AL27" s="297">
        <v>40</v>
      </c>
      <c r="AM27" s="298">
        <f>ROUNDDOWN($AL27/AM$24,2)</f>
        <v>5.12</v>
      </c>
      <c r="AN27" s="298">
        <f>ROUNDDOWN($AL27/AN$24,2)</f>
        <v>33.33</v>
      </c>
      <c r="AO27" s="143">
        <v>7.8</v>
      </c>
      <c r="AS27" s="300"/>
    </row>
    <row r="28" ht="16.5" hidden="1" spans="1:45">
      <c r="A28" s="199">
        <f ca="1">EDATE($A$26,(B28-B$26)*12)</f>
        <v>46562</v>
      </c>
      <c r="B28" s="194">
        <f>B27+1</f>
        <v>3</v>
      </c>
      <c r="C28" s="195"/>
      <c r="D28" s="196">
        <f ca="1">IF($B28&gt;$D$3,0,'Backward Cal (size discount) TC'!$K$61)</f>
        <v>561244</v>
      </c>
      <c r="E28" s="197"/>
      <c r="F28" s="198">
        <f ca="1">MIN(ROUND(D28*INDEX($AK$27:$AK$32,MATCH($A28,$AI$27:$AI$32)),2),INDEX($AL$27:$AN$32,MATCH($A28,$AI$27:$AI$32),MATCH($D$7,$AL$26:$AN$26,FALSE)))</f>
        <v>100</v>
      </c>
      <c r="G28" s="198">
        <v>0</v>
      </c>
      <c r="H28" s="198">
        <f ca="1" t="shared" si="1"/>
        <v>0</v>
      </c>
      <c r="I28" s="250">
        <f ca="1" t="shared" si="9"/>
        <v>539450.211457132</v>
      </c>
      <c r="J28" s="250">
        <f ca="1" t="shared" si="10"/>
        <v>96.1168781237985</v>
      </c>
      <c r="K28" s="251">
        <f ca="1" t="shared" si="11"/>
        <v>0</v>
      </c>
      <c r="L28" s="250">
        <f ca="1" t="shared" si="12"/>
        <v>561344</v>
      </c>
      <c r="M28" s="252">
        <f ca="1">IF($B28&gt;$D$10,0,D28+F28)</f>
        <v>0</v>
      </c>
      <c r="N28" s="252">
        <f ca="1" t="shared" si="13"/>
        <v>0</v>
      </c>
      <c r="O28" s="197"/>
      <c r="P28" s="198">
        <f ca="1" t="shared" si="14"/>
        <v>0</v>
      </c>
      <c r="Q28" s="198">
        <f ca="1" t="shared" ref="Q28:Q37" si="16">ROUND(R28-(R27+M28+N28-L28),2)</f>
        <v>19960.81</v>
      </c>
      <c r="R28" s="276">
        <f ca="1" t="shared" si="2"/>
        <v>1018001.54</v>
      </c>
      <c r="S28" s="277">
        <f t="shared" si="3"/>
        <v>0</v>
      </c>
      <c r="T28" s="277">
        <f t="shared" si="4"/>
        <v>0.961168781</v>
      </c>
      <c r="U28" s="278">
        <f ca="1">F28/(1+$D$12)^($B28-1)</f>
        <v>96.1168781237985</v>
      </c>
      <c r="V28" s="278"/>
      <c r="W28" s="278"/>
      <c r="X28" s="265">
        <f>$P$9</f>
        <v>0.038</v>
      </c>
      <c r="Y28" s="265">
        <v>0.02</v>
      </c>
      <c r="Z28" s="275">
        <f t="shared" ref="Z28:Z37" si="17">Z27+1</f>
        <v>3</v>
      </c>
      <c r="AA28" s="275">
        <f t="shared" si="5"/>
        <v>0.928122482467766</v>
      </c>
      <c r="AB28" s="275">
        <f t="shared" si="6"/>
        <v>0.961168781237985</v>
      </c>
      <c r="AC28" s="275">
        <f t="shared" si="7"/>
        <v>1.077444</v>
      </c>
      <c r="AD28" s="275">
        <f t="shared" si="8"/>
        <v>1.0404</v>
      </c>
      <c r="AE28" s="275">
        <f t="shared" si="15"/>
        <v>0.0370440000000001</v>
      </c>
      <c r="AF28" s="278"/>
      <c r="AH28" s="294" t="s">
        <v>165</v>
      </c>
      <c r="AI28" s="295">
        <v>43556</v>
      </c>
      <c r="AJ28" s="295">
        <v>43921</v>
      </c>
      <c r="AK28" s="296">
        <v>0.0006</v>
      </c>
      <c r="AL28" s="297">
        <v>60</v>
      </c>
      <c r="AM28" s="298">
        <f t="shared" ref="AM28:AN31" si="18">ROUNDDOWN($AL28/AM$24,2)</f>
        <v>7.69</v>
      </c>
      <c r="AN28" s="298">
        <f t="shared" si="18"/>
        <v>50</v>
      </c>
      <c r="AO28" s="143">
        <v>7.8</v>
      </c>
      <c r="AS28" s="300"/>
    </row>
    <row r="29" ht="16.5" hidden="1" spans="1:45">
      <c r="A29" s="199">
        <f ca="1">EDATE($A$26,(B29-B$26)*12)</f>
        <v>46928</v>
      </c>
      <c r="B29" s="194">
        <f>B28+1</f>
        <v>4</v>
      </c>
      <c r="C29" s="195"/>
      <c r="D29" s="196">
        <f ca="1">IF($B29&gt;$D$3,0,'Backward Cal (size discount) TC'!$K$61)</f>
        <v>561244</v>
      </c>
      <c r="E29" s="197"/>
      <c r="F29" s="198">
        <f ca="1">MIN(ROUND(D29*INDEX($AK$27:$AK$32,MATCH($A29,$AI$27:$AI$32)),2),INDEX($AL$27:$AN$32,MATCH($A29,$AI$27:$AI$32),MATCH($D$7,$AL$26:$AN$26,FALSE)))</f>
        <v>100</v>
      </c>
      <c r="G29" s="198">
        <v>0</v>
      </c>
      <c r="H29" s="198">
        <f ca="1" t="shared" si="1"/>
        <v>0</v>
      </c>
      <c r="I29" s="250">
        <f ca="1" t="shared" si="9"/>
        <v>528872.756330521</v>
      </c>
      <c r="J29" s="250">
        <f ca="1" t="shared" si="10"/>
        <v>94.2322334547044</v>
      </c>
      <c r="K29" s="251">
        <f ca="1" t="shared" si="11"/>
        <v>0</v>
      </c>
      <c r="L29" s="250">
        <f ca="1" t="shared" si="12"/>
        <v>561344</v>
      </c>
      <c r="M29" s="252">
        <f ca="1">IF($B29&gt;$D$10,0,D29+F29)</f>
        <v>0</v>
      </c>
      <c r="N29" s="252">
        <f ca="1" t="shared" si="13"/>
        <v>0</v>
      </c>
      <c r="O29" s="197"/>
      <c r="P29" s="198">
        <f ca="1" t="shared" si="14"/>
        <v>0</v>
      </c>
      <c r="Q29" s="198">
        <f ca="1" t="shared" si="16"/>
        <v>9133.15</v>
      </c>
      <c r="R29" s="276">
        <f ca="1" t="shared" si="2"/>
        <v>465790.69</v>
      </c>
      <c r="S29" s="277">
        <f t="shared" si="3"/>
        <v>0</v>
      </c>
      <c r="T29" s="277">
        <f t="shared" si="4"/>
        <v>0.942322335</v>
      </c>
      <c r="U29" s="278">
        <f ca="1">F29/(1+$D$12)^($B29-1)</f>
        <v>94.2322334547044</v>
      </c>
      <c r="V29" s="278"/>
      <c r="W29" s="278"/>
      <c r="X29" s="265">
        <f>$P$9</f>
        <v>0.038</v>
      </c>
      <c r="Y29" s="265">
        <v>0.02</v>
      </c>
      <c r="Z29" s="275">
        <f t="shared" si="17"/>
        <v>4</v>
      </c>
      <c r="AA29" s="275">
        <f t="shared" si="5"/>
        <v>0.89414497347569</v>
      </c>
      <c r="AB29" s="275">
        <f t="shared" si="6"/>
        <v>0.942322334547044</v>
      </c>
      <c r="AC29" s="275">
        <f t="shared" si="7"/>
        <v>1.038</v>
      </c>
      <c r="AD29" s="275">
        <f t="shared" si="8"/>
        <v>1.02</v>
      </c>
      <c r="AE29" s="275">
        <f t="shared" si="15"/>
        <v>0.018</v>
      </c>
      <c r="AF29" s="278"/>
      <c r="AH29" s="294" t="s">
        <v>166</v>
      </c>
      <c r="AI29" s="295">
        <v>43922</v>
      </c>
      <c r="AJ29" s="295">
        <v>44286</v>
      </c>
      <c r="AK29" s="296">
        <v>0.00085</v>
      </c>
      <c r="AL29" s="297">
        <v>85</v>
      </c>
      <c r="AM29" s="298">
        <f t="shared" si="18"/>
        <v>10.89</v>
      </c>
      <c r="AN29" s="298">
        <f t="shared" si="18"/>
        <v>70.83</v>
      </c>
      <c r="AO29" s="143">
        <v>7.8</v>
      </c>
      <c r="AS29" s="300"/>
    </row>
    <row r="30" ht="16.5" hidden="1" spans="1:45">
      <c r="A30" s="199">
        <f ca="1">EDATE($A$26,(B30-B$26)*12)</f>
        <v>47293</v>
      </c>
      <c r="B30" s="194">
        <f t="shared" ref="B30:B37" si="19">B29+1</f>
        <v>5</v>
      </c>
      <c r="C30" s="195"/>
      <c r="D30" s="196">
        <f ca="1">IF($B30&gt;$D$3,0,'Backward Cal (size discount) TC'!$K$61)</f>
        <v>561244</v>
      </c>
      <c r="E30" s="197"/>
      <c r="F30" s="198">
        <f ca="1">MIN(ROUND(D30*INDEX($AK$27:$AK$32,MATCH($A30,$AI$27:$AI$32)),2),INDEX($AL$27:$AN$32,MATCH($A30,$AI$27:$AI$32),MATCH($D$7,$AL$26:$AN$26,FALSE)))</f>
        <v>100</v>
      </c>
      <c r="G30" s="198">
        <v>0</v>
      </c>
      <c r="H30" s="198">
        <f ca="1" t="shared" si="1"/>
        <v>95553.31</v>
      </c>
      <c r="I30" s="250">
        <f ca="1" t="shared" si="9"/>
        <v>518502.702284825</v>
      </c>
      <c r="J30" s="250">
        <f ca="1" t="shared" si="10"/>
        <v>92.3845426026514</v>
      </c>
      <c r="K30" s="251">
        <f ca="1" t="shared" si="11"/>
        <v>88276.4883851936</v>
      </c>
      <c r="L30" s="250">
        <f ca="1" t="shared" si="12"/>
        <v>465790.69</v>
      </c>
      <c r="M30" s="252">
        <f ca="1">IF($B30&gt;$D$10,0,D30+F30)</f>
        <v>0</v>
      </c>
      <c r="N30" s="252">
        <f ca="1" t="shared" si="13"/>
        <v>0</v>
      </c>
      <c r="O30" s="197"/>
      <c r="P30" s="198">
        <f ca="1" t="shared" si="14"/>
        <v>0</v>
      </c>
      <c r="Q30" s="198">
        <f ca="1" t="shared" si="16"/>
        <v>0</v>
      </c>
      <c r="R30" s="276">
        <f ca="1" t="shared" si="2"/>
        <v>0</v>
      </c>
      <c r="S30" s="277">
        <f t="shared" si="3"/>
        <v>0</v>
      </c>
      <c r="T30" s="277">
        <f t="shared" si="4"/>
        <v>0.923845426</v>
      </c>
      <c r="U30" s="278">
        <f ca="1">F30/(1+$D$12)^($B30-1)</f>
        <v>92.3845426026514</v>
      </c>
      <c r="V30" s="278"/>
      <c r="W30" s="278"/>
      <c r="X30" s="265">
        <f>$P$9</f>
        <v>0.038</v>
      </c>
      <c r="Y30" s="265">
        <v>0.02</v>
      </c>
      <c r="Z30" s="275">
        <f t="shared" si="17"/>
        <v>5</v>
      </c>
      <c r="AA30" s="275">
        <f t="shared" si="5"/>
        <v>0.861411342462129</v>
      </c>
      <c r="AB30" s="275">
        <f t="shared" si="6"/>
        <v>0.923845426026514</v>
      </c>
      <c r="AC30" s="275">
        <f t="shared" si="7"/>
        <v>1</v>
      </c>
      <c r="AD30" s="275">
        <f t="shared" si="8"/>
        <v>1</v>
      </c>
      <c r="AE30" s="275">
        <f t="shared" si="15"/>
        <v>0</v>
      </c>
      <c r="AF30" s="278"/>
      <c r="AH30" s="294" t="s">
        <v>167</v>
      </c>
      <c r="AI30" s="295">
        <v>44287</v>
      </c>
      <c r="AJ30" s="295">
        <v>44788</v>
      </c>
      <c r="AK30" s="296">
        <v>0.001</v>
      </c>
      <c r="AL30" s="297">
        <v>100</v>
      </c>
      <c r="AM30" s="298">
        <f t="shared" si="18"/>
        <v>12.82</v>
      </c>
      <c r="AN30" s="298">
        <f t="shared" si="18"/>
        <v>83.33</v>
      </c>
      <c r="AO30" s="143">
        <v>7.8</v>
      </c>
      <c r="AS30" s="300"/>
    </row>
    <row r="31" ht="16.5" hidden="1" spans="2:41">
      <c r="B31" s="194">
        <f t="shared" si="19"/>
        <v>6</v>
      </c>
      <c r="C31" s="195"/>
      <c r="D31" s="196">
        <f ca="1">IF($B31&gt;$D$3,0,'Backward Cal (size discount) TC'!$K$61)</f>
        <v>0</v>
      </c>
      <c r="E31" s="197"/>
      <c r="F31" s="198"/>
      <c r="G31" s="198">
        <v>0</v>
      </c>
      <c r="H31" s="198">
        <f ca="1" t="shared" si="1"/>
        <v>0</v>
      </c>
      <c r="I31" s="250">
        <f ca="1" t="shared" si="9"/>
        <v>0</v>
      </c>
      <c r="J31" s="250">
        <f t="shared" si="10"/>
        <v>0</v>
      </c>
      <c r="K31" s="251">
        <f ca="1" t="shared" si="11"/>
        <v>0</v>
      </c>
      <c r="L31" s="250">
        <f ca="1" t="shared" si="12"/>
        <v>0</v>
      </c>
      <c r="M31" s="252">
        <f ca="1" t="shared" ref="M31:M37" si="20">IF($B31&gt;$D$10,0,D31)</f>
        <v>0</v>
      </c>
      <c r="N31" s="252">
        <f ca="1" t="shared" si="13"/>
        <v>0</v>
      </c>
      <c r="O31" s="197"/>
      <c r="P31" s="198">
        <f ca="1" t="shared" si="14"/>
        <v>0</v>
      </c>
      <c r="Q31" s="198">
        <f ca="1" t="shared" si="16"/>
        <v>0</v>
      </c>
      <c r="R31" s="276">
        <f ca="1" t="shared" si="2"/>
        <v>0</v>
      </c>
      <c r="S31" s="277">
        <f t="shared" si="3"/>
        <v>0</v>
      </c>
      <c r="T31" s="277">
        <f t="shared" si="4"/>
        <v>0</v>
      </c>
      <c r="U31" s="278">
        <f t="shared" ref="U31:U37" si="21">F31/(1+$D$12)^($B31-1)</f>
        <v>0</v>
      </c>
      <c r="V31" s="278"/>
      <c r="W31" s="278"/>
      <c r="X31" s="265">
        <f t="shared" ref="X31:X37" si="22">$D$11</f>
        <v>0.038</v>
      </c>
      <c r="Y31" s="265">
        <v>0.02</v>
      </c>
      <c r="Z31" s="275">
        <f t="shared" si="17"/>
        <v>6</v>
      </c>
      <c r="AA31" s="275">
        <f t="shared" si="5"/>
        <v>0</v>
      </c>
      <c r="AB31" s="275">
        <f t="shared" si="6"/>
        <v>0</v>
      </c>
      <c r="AC31" s="275">
        <f t="shared" si="7"/>
        <v>0</v>
      </c>
      <c r="AD31" s="275">
        <f t="shared" si="8"/>
        <v>0</v>
      </c>
      <c r="AE31" s="275">
        <f t="shared" si="15"/>
        <v>0</v>
      </c>
      <c r="AF31" s="278"/>
      <c r="AH31" s="294" t="s">
        <v>168</v>
      </c>
      <c r="AI31" s="295">
        <v>44789</v>
      </c>
      <c r="AJ31" s="295">
        <v>44926</v>
      </c>
      <c r="AK31" s="296">
        <v>0.001</v>
      </c>
      <c r="AL31" s="297">
        <v>100</v>
      </c>
      <c r="AM31" s="298">
        <f>ROUNDDOWN($AL31/AO$31,2)</f>
        <v>12.72</v>
      </c>
      <c r="AN31" s="298">
        <f t="shared" si="18"/>
        <v>83.33</v>
      </c>
      <c r="AO31" s="143">
        <v>7.86</v>
      </c>
    </row>
    <row r="32" ht="16.5" hidden="1" spans="2:41">
      <c r="B32" s="194">
        <f t="shared" si="19"/>
        <v>7</v>
      </c>
      <c r="C32" s="195"/>
      <c r="D32" s="196">
        <f ca="1">IF($B32&gt;$D$3,0,'Backward Cal (size discount) TC'!$K$61)</f>
        <v>0</v>
      </c>
      <c r="E32" s="197"/>
      <c r="F32" s="198"/>
      <c r="G32" s="198">
        <v>0</v>
      </c>
      <c r="H32" s="198">
        <f ca="1" t="shared" si="1"/>
        <v>0</v>
      </c>
      <c r="I32" s="250">
        <f ca="1" t="shared" si="9"/>
        <v>0</v>
      </c>
      <c r="J32" s="250">
        <f t="shared" si="10"/>
        <v>0</v>
      </c>
      <c r="K32" s="251">
        <f ca="1" t="shared" si="11"/>
        <v>0</v>
      </c>
      <c r="L32" s="250">
        <f ca="1" t="shared" si="12"/>
        <v>0</v>
      </c>
      <c r="M32" s="252">
        <f ca="1" t="shared" si="20"/>
        <v>0</v>
      </c>
      <c r="N32" s="252">
        <f ca="1" t="shared" si="13"/>
        <v>0</v>
      </c>
      <c r="O32" s="197"/>
      <c r="P32" s="198">
        <f ca="1" t="shared" si="14"/>
        <v>0</v>
      </c>
      <c r="Q32" s="198">
        <f ca="1" t="shared" si="16"/>
        <v>0</v>
      </c>
      <c r="R32" s="276">
        <f ca="1" t="shared" si="2"/>
        <v>0</v>
      </c>
      <c r="S32" s="277">
        <f t="shared" si="3"/>
        <v>0</v>
      </c>
      <c r="T32" s="277">
        <f t="shared" si="4"/>
        <v>0</v>
      </c>
      <c r="U32" s="278">
        <f t="shared" si="21"/>
        <v>0</v>
      </c>
      <c r="V32" s="278"/>
      <c r="W32" s="278"/>
      <c r="X32" s="265">
        <f t="shared" si="22"/>
        <v>0.038</v>
      </c>
      <c r="Y32" s="265">
        <v>0.02</v>
      </c>
      <c r="Z32" s="275">
        <f t="shared" si="17"/>
        <v>7</v>
      </c>
      <c r="AA32" s="275">
        <f t="shared" si="5"/>
        <v>0</v>
      </c>
      <c r="AB32" s="275">
        <f t="shared" si="6"/>
        <v>0</v>
      </c>
      <c r="AC32" s="275">
        <f t="shared" si="7"/>
        <v>0</v>
      </c>
      <c r="AD32" s="275">
        <f t="shared" si="8"/>
        <v>0</v>
      </c>
      <c r="AE32" s="275">
        <f t="shared" si="15"/>
        <v>0</v>
      </c>
      <c r="AF32" s="278"/>
      <c r="AH32" s="294" t="s">
        <v>169</v>
      </c>
      <c r="AI32" s="295">
        <v>44927</v>
      </c>
      <c r="AJ32" s="295"/>
      <c r="AK32" s="296">
        <v>0.001</v>
      </c>
      <c r="AL32" s="297">
        <v>100</v>
      </c>
      <c r="AM32" s="298">
        <v>12.82</v>
      </c>
      <c r="AN32" s="299">
        <v>87.09</v>
      </c>
      <c r="AO32" s="143">
        <v>7.86</v>
      </c>
    </row>
    <row r="33" hidden="1" spans="2:32">
      <c r="B33" s="194">
        <f t="shared" si="19"/>
        <v>8</v>
      </c>
      <c r="C33" s="195"/>
      <c r="D33" s="196">
        <f ca="1">IF($B33&gt;$D$3,0,'Backward Cal (size discount) TC'!$K$61)</f>
        <v>0</v>
      </c>
      <c r="E33" s="197"/>
      <c r="F33" s="198"/>
      <c r="G33" s="198">
        <v>0</v>
      </c>
      <c r="H33" s="198">
        <f ca="1" t="shared" si="1"/>
        <v>0</v>
      </c>
      <c r="I33" s="250">
        <f ca="1" t="shared" si="9"/>
        <v>0</v>
      </c>
      <c r="J33" s="250">
        <f t="shared" si="10"/>
        <v>0</v>
      </c>
      <c r="K33" s="251">
        <f ca="1" t="shared" si="11"/>
        <v>0</v>
      </c>
      <c r="L33" s="250">
        <f ca="1" t="shared" si="12"/>
        <v>0</v>
      </c>
      <c r="M33" s="252">
        <f ca="1" t="shared" si="20"/>
        <v>0</v>
      </c>
      <c r="N33" s="252">
        <f ca="1" t="shared" si="13"/>
        <v>0</v>
      </c>
      <c r="O33" s="197"/>
      <c r="P33" s="198">
        <f ca="1" t="shared" si="14"/>
        <v>0</v>
      </c>
      <c r="Q33" s="198">
        <f ca="1" t="shared" si="16"/>
        <v>0</v>
      </c>
      <c r="R33" s="276">
        <f ca="1" t="shared" si="2"/>
        <v>0</v>
      </c>
      <c r="S33" s="277">
        <f t="shared" si="3"/>
        <v>0</v>
      </c>
      <c r="T33" s="277">
        <f t="shared" si="4"/>
        <v>0</v>
      </c>
      <c r="U33" s="278">
        <f t="shared" si="21"/>
        <v>0</v>
      </c>
      <c r="V33" s="278"/>
      <c r="W33" s="278"/>
      <c r="X33" s="265">
        <f t="shared" si="22"/>
        <v>0.038</v>
      </c>
      <c r="Y33" s="265">
        <v>0.02</v>
      </c>
      <c r="Z33" s="275">
        <f t="shared" si="17"/>
        <v>8</v>
      </c>
      <c r="AA33" s="275">
        <f t="shared" si="5"/>
        <v>0</v>
      </c>
      <c r="AB33" s="275">
        <f t="shared" si="6"/>
        <v>0</v>
      </c>
      <c r="AC33" s="275">
        <f t="shared" si="7"/>
        <v>0</v>
      </c>
      <c r="AD33" s="275">
        <f t="shared" si="8"/>
        <v>0</v>
      </c>
      <c r="AE33" s="275">
        <f t="shared" si="15"/>
        <v>0</v>
      </c>
      <c r="AF33" s="278"/>
    </row>
    <row r="34" hidden="1" spans="2:32">
      <c r="B34" s="194">
        <f t="shared" si="19"/>
        <v>9</v>
      </c>
      <c r="C34" s="195"/>
      <c r="D34" s="196">
        <f ca="1">IF($B34&gt;$D$3,0,'Backward Cal (size discount) TC'!$K$61)</f>
        <v>0</v>
      </c>
      <c r="E34" s="197"/>
      <c r="F34" s="198"/>
      <c r="G34" s="198">
        <v>0</v>
      </c>
      <c r="H34" s="198">
        <f ca="1" t="shared" si="1"/>
        <v>0</v>
      </c>
      <c r="I34" s="250">
        <f ca="1" t="shared" si="9"/>
        <v>0</v>
      </c>
      <c r="J34" s="250">
        <f t="shared" si="10"/>
        <v>0</v>
      </c>
      <c r="K34" s="251">
        <f ca="1" t="shared" si="11"/>
        <v>0</v>
      </c>
      <c r="L34" s="250">
        <f ca="1" t="shared" si="12"/>
        <v>0</v>
      </c>
      <c r="M34" s="252">
        <f ca="1" t="shared" si="20"/>
        <v>0</v>
      </c>
      <c r="N34" s="252">
        <f ca="1" t="shared" si="13"/>
        <v>0</v>
      </c>
      <c r="O34" s="197"/>
      <c r="P34" s="198">
        <f ca="1" t="shared" si="14"/>
        <v>0</v>
      </c>
      <c r="Q34" s="198">
        <f ca="1" t="shared" si="16"/>
        <v>0</v>
      </c>
      <c r="R34" s="276">
        <f ca="1" t="shared" si="2"/>
        <v>0</v>
      </c>
      <c r="S34" s="277">
        <f t="shared" si="3"/>
        <v>0</v>
      </c>
      <c r="T34" s="277">
        <f t="shared" si="4"/>
        <v>0</v>
      </c>
      <c r="U34" s="278">
        <f t="shared" si="21"/>
        <v>0</v>
      </c>
      <c r="V34" s="278"/>
      <c r="W34" s="278"/>
      <c r="X34" s="265">
        <f t="shared" si="22"/>
        <v>0.038</v>
      </c>
      <c r="Y34" s="265">
        <v>0.02</v>
      </c>
      <c r="Z34" s="275">
        <f t="shared" si="17"/>
        <v>9</v>
      </c>
      <c r="AA34" s="275">
        <f t="shared" si="5"/>
        <v>0</v>
      </c>
      <c r="AB34" s="275">
        <f t="shared" si="6"/>
        <v>0</v>
      </c>
      <c r="AC34" s="275">
        <f t="shared" si="7"/>
        <v>0</v>
      </c>
      <c r="AD34" s="275">
        <f t="shared" si="8"/>
        <v>0</v>
      </c>
      <c r="AE34" s="275">
        <f t="shared" si="15"/>
        <v>0</v>
      </c>
      <c r="AF34" s="278"/>
    </row>
    <row r="35" hidden="1" spans="2:32">
      <c r="B35" s="194">
        <f t="shared" si="19"/>
        <v>10</v>
      </c>
      <c r="C35" s="195"/>
      <c r="D35" s="196">
        <f ca="1">IF($B35&gt;$D$3,0,'Backward Cal (size discount) TC'!$K$61)</f>
        <v>0</v>
      </c>
      <c r="E35" s="197"/>
      <c r="F35" s="198"/>
      <c r="G35" s="198">
        <v>0</v>
      </c>
      <c r="H35" s="198">
        <f ca="1" t="shared" si="1"/>
        <v>0</v>
      </c>
      <c r="I35" s="250">
        <f ca="1" t="shared" si="9"/>
        <v>0</v>
      </c>
      <c r="J35" s="250">
        <f t="shared" si="10"/>
        <v>0</v>
      </c>
      <c r="K35" s="251">
        <f ca="1" t="shared" si="11"/>
        <v>0</v>
      </c>
      <c r="L35" s="250">
        <f ca="1" t="shared" si="12"/>
        <v>0</v>
      </c>
      <c r="M35" s="252">
        <f ca="1" t="shared" si="20"/>
        <v>0</v>
      </c>
      <c r="N35" s="252">
        <f ca="1" t="shared" si="13"/>
        <v>0</v>
      </c>
      <c r="O35" s="197"/>
      <c r="P35" s="198">
        <f ca="1" t="shared" si="14"/>
        <v>0</v>
      </c>
      <c r="Q35" s="198">
        <f ca="1" t="shared" si="16"/>
        <v>0</v>
      </c>
      <c r="R35" s="276">
        <f ca="1" t="shared" si="2"/>
        <v>0</v>
      </c>
      <c r="S35" s="277">
        <f t="shared" si="3"/>
        <v>0</v>
      </c>
      <c r="T35" s="277">
        <f t="shared" si="4"/>
        <v>0</v>
      </c>
      <c r="U35" s="278">
        <f t="shared" si="21"/>
        <v>0</v>
      </c>
      <c r="V35" s="278"/>
      <c r="W35" s="278"/>
      <c r="X35" s="265">
        <f t="shared" si="22"/>
        <v>0.038</v>
      </c>
      <c r="Y35" s="265">
        <v>0.02</v>
      </c>
      <c r="Z35" s="275">
        <f t="shared" si="17"/>
        <v>10</v>
      </c>
      <c r="AA35" s="275">
        <f t="shared" si="5"/>
        <v>0</v>
      </c>
      <c r="AB35" s="275">
        <f t="shared" si="6"/>
        <v>0</v>
      </c>
      <c r="AC35" s="275">
        <f t="shared" si="7"/>
        <v>0</v>
      </c>
      <c r="AD35" s="275">
        <f t="shared" si="8"/>
        <v>0</v>
      </c>
      <c r="AE35" s="275">
        <f t="shared" si="15"/>
        <v>0</v>
      </c>
      <c r="AF35" s="278"/>
    </row>
    <row r="36" hidden="1" spans="2:32">
      <c r="B36" s="194">
        <f t="shared" si="19"/>
        <v>11</v>
      </c>
      <c r="C36" s="195"/>
      <c r="D36" s="196">
        <f ca="1">IF($B36&gt;$D$3,0,'Backward Cal (size discount) TC'!$K$61)</f>
        <v>0</v>
      </c>
      <c r="E36" s="197"/>
      <c r="F36" s="198"/>
      <c r="G36" s="198">
        <v>0</v>
      </c>
      <c r="H36" s="198">
        <f ca="1" t="shared" si="1"/>
        <v>0</v>
      </c>
      <c r="I36" s="250">
        <f ca="1" t="shared" si="9"/>
        <v>0</v>
      </c>
      <c r="J36" s="250">
        <f t="shared" si="10"/>
        <v>0</v>
      </c>
      <c r="K36" s="251">
        <f ca="1" t="shared" si="11"/>
        <v>0</v>
      </c>
      <c r="L36" s="250">
        <f ca="1" t="shared" si="12"/>
        <v>0</v>
      </c>
      <c r="M36" s="252">
        <f ca="1" t="shared" si="20"/>
        <v>0</v>
      </c>
      <c r="N36" s="252">
        <f ca="1" t="shared" si="13"/>
        <v>0</v>
      </c>
      <c r="O36" s="197"/>
      <c r="P36" s="198">
        <f ca="1" t="shared" si="14"/>
        <v>0</v>
      </c>
      <c r="Q36" s="198">
        <f ca="1" t="shared" si="16"/>
        <v>0</v>
      </c>
      <c r="R36" s="276">
        <f ca="1" t="shared" si="2"/>
        <v>0</v>
      </c>
      <c r="S36" s="277">
        <f t="shared" si="3"/>
        <v>0</v>
      </c>
      <c r="T36" s="277">
        <f t="shared" si="4"/>
        <v>0</v>
      </c>
      <c r="U36" s="278">
        <f t="shared" si="21"/>
        <v>0</v>
      </c>
      <c r="V36" s="278"/>
      <c r="W36" s="278"/>
      <c r="X36" s="265">
        <f t="shared" si="22"/>
        <v>0.038</v>
      </c>
      <c r="Y36" s="265">
        <v>0.02</v>
      </c>
      <c r="Z36" s="275">
        <f t="shared" si="17"/>
        <v>11</v>
      </c>
      <c r="AA36" s="275">
        <f t="shared" si="5"/>
        <v>0</v>
      </c>
      <c r="AB36" s="275">
        <f t="shared" si="6"/>
        <v>0</v>
      </c>
      <c r="AC36" s="275">
        <f t="shared" si="7"/>
        <v>0</v>
      </c>
      <c r="AD36" s="275">
        <f t="shared" si="8"/>
        <v>0</v>
      </c>
      <c r="AE36" s="275">
        <f t="shared" si="15"/>
        <v>0</v>
      </c>
      <c r="AF36" s="278"/>
    </row>
    <row r="37" hidden="1" spans="2:32">
      <c r="B37" s="200">
        <f t="shared" si="19"/>
        <v>12</v>
      </c>
      <c r="C37" s="195"/>
      <c r="D37" s="201">
        <f ca="1">IF($B37&gt;$D$3,0,'Backward Cal (size discount) TC'!$K$61)</f>
        <v>0</v>
      </c>
      <c r="E37" s="202"/>
      <c r="F37" s="203"/>
      <c r="G37" s="203">
        <v>0</v>
      </c>
      <c r="H37" s="203">
        <f ca="1" t="shared" si="1"/>
        <v>0</v>
      </c>
      <c r="I37" s="254">
        <f ca="1" t="shared" si="9"/>
        <v>0</v>
      </c>
      <c r="J37" s="254">
        <f t="shared" si="10"/>
        <v>0</v>
      </c>
      <c r="K37" s="255">
        <f ca="1" t="shared" si="11"/>
        <v>0</v>
      </c>
      <c r="L37" s="254">
        <f ca="1" t="shared" si="12"/>
        <v>0</v>
      </c>
      <c r="M37" s="256">
        <f ca="1" t="shared" si="20"/>
        <v>0</v>
      </c>
      <c r="N37" s="256">
        <f ca="1" t="shared" si="13"/>
        <v>0</v>
      </c>
      <c r="O37" s="202"/>
      <c r="P37" s="203">
        <f ca="1" t="shared" si="14"/>
        <v>0</v>
      </c>
      <c r="Q37" s="198">
        <f ca="1" t="shared" si="16"/>
        <v>0</v>
      </c>
      <c r="R37" s="276">
        <f ca="1" t="shared" si="2"/>
        <v>0</v>
      </c>
      <c r="S37" s="277">
        <f t="shared" si="3"/>
        <v>0</v>
      </c>
      <c r="T37" s="277">
        <f t="shared" si="4"/>
        <v>0</v>
      </c>
      <c r="U37" s="278">
        <f t="shared" si="21"/>
        <v>0</v>
      </c>
      <c r="V37" s="278"/>
      <c r="W37" s="278"/>
      <c r="X37" s="265">
        <f t="shared" si="22"/>
        <v>0.038</v>
      </c>
      <c r="Y37" s="265">
        <v>0.02</v>
      </c>
      <c r="Z37" s="275">
        <f t="shared" si="17"/>
        <v>12</v>
      </c>
      <c r="AA37" s="275">
        <f t="shared" si="5"/>
        <v>0</v>
      </c>
      <c r="AB37" s="275">
        <f t="shared" si="6"/>
        <v>0</v>
      </c>
      <c r="AC37" s="275">
        <f t="shared" si="7"/>
        <v>0</v>
      </c>
      <c r="AD37" s="275">
        <f t="shared" si="8"/>
        <v>0</v>
      </c>
      <c r="AE37" s="275">
        <f t="shared" si="15"/>
        <v>0</v>
      </c>
      <c r="AF37" s="278"/>
    </row>
    <row r="38" ht="16.5" hidden="1" spans="2:32">
      <c r="B38" s="204" t="s">
        <v>214</v>
      </c>
      <c r="C38" s="205" t="s">
        <v>171</v>
      </c>
      <c r="D38" s="206">
        <f ca="1">SUM(D26:D37)</f>
        <v>2806220</v>
      </c>
      <c r="E38" s="207" t="s">
        <v>172</v>
      </c>
      <c r="F38" s="208">
        <f ca="1" t="shared" ref="F38:K38" si="23">SUM(F26:F37)</f>
        <v>500</v>
      </c>
      <c r="G38" s="208">
        <f ca="1" t="shared" si="23"/>
        <v>112248.8</v>
      </c>
      <c r="H38" s="208">
        <f ca="1" t="shared" si="23"/>
        <v>95553.31</v>
      </c>
      <c r="I38" s="257">
        <f ca="1" t="shared" si="23"/>
        <v>2137064.88575875</v>
      </c>
      <c r="J38" s="257">
        <f ca="1" t="shared" si="23"/>
        <v>380.772869867429</v>
      </c>
      <c r="K38" s="258">
        <f ca="1" t="shared" si="23"/>
        <v>198324.331522448</v>
      </c>
      <c r="L38" s="257"/>
      <c r="M38" s="259">
        <f ca="1">SUM(M26:M37)</f>
        <v>561344</v>
      </c>
      <c r="N38" s="259">
        <f ca="1">SUM(N26:N37)</f>
        <v>1939121.33</v>
      </c>
      <c r="O38" s="260" t="s">
        <v>173</v>
      </c>
      <c r="P38" s="208">
        <f ca="1">SUM(P26:P37)</f>
        <v>2500465.33</v>
      </c>
      <c r="Q38" s="208"/>
      <c r="R38" s="259"/>
      <c r="S38" s="277">
        <f>SUM(S26:S37)</f>
        <v>1</v>
      </c>
      <c r="T38" s="277">
        <f>SUM(T26:T37)</f>
        <v>4.807728699</v>
      </c>
      <c r="U38" s="278">
        <f ca="1">SUM(U26:U30)</f>
        <v>380.772869867429</v>
      </c>
      <c r="V38" s="278"/>
      <c r="W38" s="278"/>
      <c r="AA38" s="275">
        <f>SUM(AA26:AA37)</f>
        <v>4.64706993520713</v>
      </c>
      <c r="AB38" s="275">
        <f>SUM(AB26:AB37)</f>
        <v>4.80772869867429</v>
      </c>
      <c r="AF38" s="278"/>
    </row>
    <row r="39" hidden="1" spans="2:17">
      <c r="B39" s="209"/>
      <c r="C39" s="209"/>
      <c r="D39" s="209"/>
      <c r="E39" s="209"/>
      <c r="F39" s="209"/>
      <c r="G39" s="209"/>
      <c r="H39" s="209"/>
      <c r="I39" s="209"/>
      <c r="J39" s="209"/>
      <c r="K39" s="209"/>
      <c r="L39" s="209"/>
      <c r="M39" s="209"/>
      <c r="N39" s="209"/>
      <c r="O39" s="209"/>
      <c r="P39" s="209"/>
      <c r="Q39" s="209"/>
    </row>
    <row r="40" ht="16.5" hidden="1" spans="2:20">
      <c r="B40" s="210" t="str">
        <f ca="1">"基本保費可節省"&amp;"[(a)+(b)-(c)]: "&amp;$D$7&amp;" "&amp;TEXT(D38+F38-P38,IF(D38+F38-P38&gt;1000,"0,000.00","0.00"))&amp;"(佔"&amp;D3&amp;"年應繳總保費及保費徵費之"&amp;TEXT((D38+F38-P38)/(D38+F38),"0.00%")&amp;")"</f>
        <v>基本保費可節省[(a)+(b)-(c)]: 港幣 306,254.67(佔5年應繳總保費及保費徵費之10.91%)</v>
      </c>
      <c r="C40" s="210"/>
      <c r="D40" s="210"/>
      <c r="E40" s="210"/>
      <c r="F40" s="210"/>
      <c r="G40" s="210"/>
      <c r="H40" s="210"/>
      <c r="I40" s="210"/>
      <c r="J40" s="210"/>
      <c r="K40" s="210"/>
      <c r="L40" s="210"/>
      <c r="M40" s="210"/>
      <c r="N40" s="210"/>
      <c r="O40" s="210"/>
      <c r="P40" s="210"/>
      <c r="Q40" s="210"/>
      <c r="R40" s="210"/>
      <c r="S40" s="143" t="s">
        <v>174</v>
      </c>
      <c r="T40" s="280">
        <f ca="1">ROUND(D38+F38-P38-G38-H38,2)</f>
        <v>98452.56</v>
      </c>
    </row>
    <row r="41" hidden="1" spans="19:20">
      <c r="S41" s="143" t="s">
        <v>175</v>
      </c>
      <c r="T41" s="280">
        <f ca="1">H38</f>
        <v>95553.31</v>
      </c>
    </row>
    <row r="42" ht="16.5" hidden="1" spans="2:6">
      <c r="B42" s="211" t="s">
        <v>215</v>
      </c>
      <c r="C42" s="211"/>
      <c r="D42" s="211"/>
      <c r="E42" s="211"/>
      <c r="F42" s="211"/>
    </row>
    <row r="43" ht="16.5" hidden="1" spans="2:17">
      <c r="B43" s="212" t="s">
        <v>216</v>
      </c>
      <c r="C43" s="212"/>
      <c r="D43" s="212"/>
      <c r="E43" s="212"/>
      <c r="F43" s="212"/>
      <c r="G43" s="212"/>
      <c r="H43" s="212"/>
      <c r="I43" s="212"/>
      <c r="J43" s="212"/>
      <c r="K43" s="212"/>
      <c r="L43" s="212"/>
      <c r="M43" s="212"/>
      <c r="N43" s="212"/>
      <c r="O43" s="212"/>
      <c r="P43" s="212"/>
      <c r="Q43" s="212"/>
    </row>
    <row r="44" hidden="1"/>
    <row r="45" ht="16.5" hidden="1" spans="2:19">
      <c r="B45" s="214" t="s">
        <v>217</v>
      </c>
      <c r="S45" s="281" t="s">
        <v>179</v>
      </c>
    </row>
    <row r="46" hidden="1" customHeight="1" spans="2:19">
      <c r="B46" s="215" t="s">
        <v>218</v>
      </c>
      <c r="C46" s="215"/>
      <c r="D46" s="215"/>
      <c r="E46" s="215"/>
      <c r="F46" s="215"/>
      <c r="G46" s="215"/>
      <c r="H46" s="215"/>
      <c r="I46" s="215"/>
      <c r="J46" s="215"/>
      <c r="K46" s="215"/>
      <c r="L46" s="215"/>
      <c r="M46" s="215"/>
      <c r="N46" s="215"/>
      <c r="O46" s="215"/>
      <c r="P46" s="215"/>
      <c r="Q46" s="215"/>
      <c r="R46" s="215"/>
      <c r="S46" s="282" t="str">
        <f ca="1">"相等於"&amp;$D$7&amp;TEXT($P$13,IF($P$13&gt;1000,"0,000.00","0.00"))&amp;"的首年保費回贈金額"</f>
        <v>相等於港幣112,248.80的首年保費回贈金額</v>
      </c>
    </row>
    <row r="47" ht="21.75" hidden="1" customHeight="1" spans="2:19">
      <c r="B47" s="215"/>
      <c r="C47" s="215"/>
      <c r="D47" s="215"/>
      <c r="E47" s="215"/>
      <c r="F47" s="215"/>
      <c r="G47" s="215"/>
      <c r="H47" s="215"/>
      <c r="I47" s="215"/>
      <c r="J47" s="215"/>
      <c r="K47" s="215"/>
      <c r="L47" s="215"/>
      <c r="M47" s="215"/>
      <c r="N47" s="215"/>
      <c r="O47" s="215"/>
      <c r="P47" s="215"/>
      <c r="Q47" s="215"/>
      <c r="R47" s="215"/>
      <c r="S47" s="282" t="str">
        <f ca="1">"相等於"&amp;$D$7&amp;TEXT($T$40,IF($T$40&gt;1000,"0,000.00","0.00"))&amp;"、"&amp;"在整個保費繳付期以基本年利率2厘計算的預繳保費基本利息"</f>
        <v>相等於港幣98,452.56、在整個保費繳付期以基本年利率2厘計算的預繳保費基本利息</v>
      </c>
    </row>
    <row r="48" ht="15.6" hidden="1" customHeight="1" spans="2:19">
      <c r="B48" s="215" t="s">
        <v>219</v>
      </c>
      <c r="C48" s="215"/>
      <c r="D48" s="215"/>
      <c r="E48" s="215"/>
      <c r="F48" s="215"/>
      <c r="G48" s="215"/>
      <c r="H48" s="215"/>
      <c r="I48" s="215"/>
      <c r="J48" s="215"/>
      <c r="K48" s="215"/>
      <c r="L48" s="215"/>
      <c r="M48" s="215"/>
      <c r="N48" s="215"/>
      <c r="O48" s="215"/>
      <c r="P48" s="215"/>
      <c r="Q48" s="215"/>
      <c r="R48" s="215"/>
      <c r="S48" s="282" t="str">
        <f ca="1">"相等於"&amp;$D$7&amp;TEXT($T$41,IF($T$41&gt;1000,"0,000.00","0.00"))&amp;"，"&amp;S50&amp;"計算的預繳保費額外特高利息"</f>
        <v>相等於港幣95,553.31，在整個保費繳付期以額外特高年利率1.8厘計算的預繳保費額外特高利息</v>
      </c>
    </row>
    <row r="49" hidden="1" spans="2:19">
      <c r="B49" s="215" t="s">
        <v>220</v>
      </c>
      <c r="C49" s="215"/>
      <c r="D49" s="215"/>
      <c r="E49" s="215"/>
      <c r="F49" s="215"/>
      <c r="G49" s="215"/>
      <c r="H49" s="215"/>
      <c r="I49" s="215"/>
      <c r="J49" s="215"/>
      <c r="K49" s="215"/>
      <c r="L49" s="215"/>
      <c r="M49" s="215"/>
      <c r="N49" s="215"/>
      <c r="O49" s="215"/>
      <c r="P49" s="215"/>
      <c r="Q49" s="215"/>
      <c r="R49" s="215"/>
      <c r="S49" s="282" t="str">
        <f ca="1">" 客戶需於"&amp;Date!$G$3&amp;"至"&amp;Date!$G$4&amp;"遞交"&amp;B17&amp;"的申請， 並於"&amp;Date!$G$5&amp;"或之前獲批核， 方可享有此"&amp;IF(AND($P$8="Y",$P$13&gt;0),"等","")&amp;"優惠。"</f>
        <v> 客戶需於2025年5月31日至6月30日遞交「匠心 • 傳承」儲蓄壽險計劃 2（尊尚版）的申請， 並於2025年7月31日或之前獲批核， 方可享有此等優惠。</v>
      </c>
    </row>
    <row r="50" ht="64.15" hidden="1" customHeight="1" spans="2:19">
      <c r="B50" s="216" t="str">
        <f ca="1">"4)上列首年繳交款項總額已反映"&amp;IF(AND($P$8="N",$P$13=0),$S$47&amp;"。",IF(AND($P$8="Y",$P$13&gt;0),"（i）"&amp;$S$46&amp;"，（ii）"&amp;$S$47&amp;"，及（iii）"&amp;$S$48,IF(AND($P$8="Y",$P$13=0),"（i） "&amp;$S$47&amp;"及（ii） "&amp;$S$48,IF(AND($P$8="N",$P$13&gt;0),"（i） "&amp;$S$46&amp;"及（ii）"&amp;$S$47,"")))&amp;"。"&amp;IF($P$13&gt;0,"首年保費回贈金額及","")&amp;"預繳保費利息將用作繳交往後保費。"&amp;$S$49)</f>
        <v>4)上列首年繳交款項總額已反映（i）相等於港幣112,248.80的首年保費回贈金額，（ii）相等於港幣98,452.56、在整個保費繳付期以基本年利率2厘計算的預繳保費基本利息，及（iii）相等於港幣95,553.31，在整個保費繳付期以額外特高年利率1.8厘計算的預繳保費額外特高利息。首年保費回贈金額及預繳保費利息將用作繳交往後保費。 客戶需於2025年5月31日至6月30日遞交「匠心 • 傳承」儲蓄壽險計劃 2（尊尚版）的申請， 並於2025年7月31日或之前獲批核， 方可享有此等優惠。</v>
      </c>
      <c r="C50" s="216"/>
      <c r="D50" s="216"/>
      <c r="E50" s="216"/>
      <c r="F50" s="216"/>
      <c r="G50" s="216"/>
      <c r="H50" s="216"/>
      <c r="I50" s="216"/>
      <c r="J50" s="216"/>
      <c r="K50" s="216"/>
      <c r="L50" s="216"/>
      <c r="M50" s="216"/>
      <c r="N50" s="216"/>
      <c r="O50" s="216"/>
      <c r="P50" s="216"/>
      <c r="Q50" s="216"/>
      <c r="R50" s="216"/>
      <c r="S50" s="143" t="str">
        <f>"在整個保費繳付期以額外特高年利率"&amp;(P9*100-2)&amp;"厘"</f>
        <v>在整個保費繳付期以額外特高年利率1.8厘</v>
      </c>
    </row>
    <row r="51" ht="18.75" hidden="1" customHeight="1" spans="2:19">
      <c r="B51" s="215" t="str">
        <f>"5) 在原定"&amp;D3&amp;"年的保費繳付年期內，年繳保費 (包含保費徵費) 將從保費儲存戶口內扣除，否則閣下須於保單週年日繳付應繳保費(包括保費徵費)。"</f>
        <v>5) 在原定5年的保費繳付年期內，年繳保費 (包含保費徵費) 將從保費儲存戶口內扣除，否則閣下須於保單週年日繳付應繳保費(包括保費徵費)。</v>
      </c>
      <c r="C51" s="215"/>
      <c r="D51" s="215"/>
      <c r="E51" s="215"/>
      <c r="F51" s="215"/>
      <c r="G51" s="215"/>
      <c r="H51" s="215"/>
      <c r="I51" s="215"/>
      <c r="J51" s="215"/>
      <c r="K51" s="215"/>
      <c r="L51" s="215"/>
      <c r="M51" s="215"/>
      <c r="N51" s="215"/>
      <c r="O51" s="215"/>
      <c r="P51" s="215"/>
      <c r="Q51" s="215"/>
      <c r="R51" s="215"/>
      <c r="S51" s="143" t="s">
        <v>221</v>
      </c>
    </row>
    <row r="52" ht="48.75" hidden="1" customHeight="1" spans="2:19">
      <c r="B52" s="216" t="str">
        <f>IF(P8="N","6) 積存在保費儲存戶口的金額將可獲派利息。現時年利率為2%，惟此利率並非保證，本公司保留更改有關利率之權利，毋須事先通知。","6)以"&amp;TEXT(P9,"0.0%")&amp;"的年利率(「預繳保費保證利率優惠年利率」)積存在保費儲存戶口的金額將可獲派利息。預繳保費保證利率優惠年利率為"&amp;TEXT((P9-2%),"0.0%")&amp;"額外年利率（「額外年利率」） 及基本預繳保費年利率（現時年利率為2%，惟此利率並非保證）。如非保證之基本預繳保費年利率有增加或減少，額外年利率會作相應調整以確保此優惠之年利率達至保證"&amp;TEXT(P9,"0.0%")&amp;"。")</f>
        <v>6)以3.8%的年利率(「預繳保費保證利率優惠年利率」)積存在保費儲存戶口的金額將可獲派利息。預繳保費保證利率優惠年利率為1.8%額外年利率（「額外年利率」） 及基本預繳保費年利率（現時年利率為2%，惟此利率並非保證）。如非保證之基本預繳保費年利率有增加或減少，額外年利率會作相應調整以確保此優惠之年利率達至保證3.8%。</v>
      </c>
      <c r="C52" s="216"/>
      <c r="D52" s="216"/>
      <c r="E52" s="216"/>
      <c r="F52" s="216"/>
      <c r="G52" s="216"/>
      <c r="H52" s="216"/>
      <c r="I52" s="216"/>
      <c r="J52" s="216"/>
      <c r="K52" s="216"/>
      <c r="L52" s="216"/>
      <c r="M52" s="216"/>
      <c r="N52" s="216"/>
      <c r="O52" s="216"/>
      <c r="P52" s="216"/>
      <c r="Q52" s="216"/>
      <c r="R52" s="216"/>
      <c r="S52" s="162" t="s">
        <v>222</v>
      </c>
    </row>
    <row r="53" ht="19.15" hidden="1" customHeight="1" spans="2:19">
      <c r="B53" s="308" t="str">
        <f>IF($P$8="N",S55,S54)</f>
        <v>7)預繳保費保證利率優惠之利息將根據應繳保費於保單繕發日至最後一期的保費繳付到期日的每年於扣除年繳保費和保單徵費並加上累積的利息後計算，額外年利率之利息總額將於最後一期的保費繳付到期日前自動存入保費儲存戶口以繳付該年度應繳的保費（包括保單徵費）。而基本預繳保費年利率之利息，會於相關保單週年日自動存入保費儲存戶口。</v>
      </c>
      <c r="C53" s="308"/>
      <c r="D53" s="308"/>
      <c r="E53" s="308"/>
      <c r="F53" s="308"/>
      <c r="G53" s="308"/>
      <c r="H53" s="308"/>
      <c r="I53" s="308"/>
      <c r="J53" s="308"/>
      <c r="K53" s="308"/>
      <c r="L53" s="308"/>
      <c r="M53" s="308"/>
      <c r="N53" s="308"/>
      <c r="O53" s="308"/>
      <c r="P53" s="308"/>
      <c r="Q53" s="308"/>
      <c r="R53" s="308"/>
      <c r="S53" s="143" t="s">
        <v>223</v>
      </c>
    </row>
    <row r="54" ht="37.9" hidden="1" customHeight="1" spans="2:19">
      <c r="B54" s="308"/>
      <c r="C54" s="308"/>
      <c r="D54" s="308"/>
      <c r="E54" s="308"/>
      <c r="F54" s="308"/>
      <c r="G54" s="308"/>
      <c r="H54" s="308"/>
      <c r="I54" s="308"/>
      <c r="J54" s="308"/>
      <c r="K54" s="308"/>
      <c r="L54" s="308"/>
      <c r="M54" s="308"/>
      <c r="N54" s="308"/>
      <c r="O54" s="308"/>
      <c r="P54" s="308"/>
      <c r="Q54" s="308"/>
      <c r="R54" s="308"/>
      <c r="S54" s="162" t="s">
        <v>224</v>
      </c>
    </row>
    <row r="55" ht="18.75" hidden="1" customHeight="1" spans="2:19">
      <c r="B55" s="215" t="str">
        <f>IF($D$3=2,8,8)&amp;") 請注意，在保單期滿或保單終止前，閣下可全數提取保費儲存戶口內之金額，但我們將會收回任何已派發的利息。我們對任何保費儲存戶口的提取要求保留最終決定權。"</f>
        <v>8) 請注意，在保單期滿或保單終止前，閣下可全數提取保費儲存戶口內之金額，但我們將會收回任何已派發的利息。我們對任何保費儲存戶口的提取要求保留最終決定權。</v>
      </c>
      <c r="C55" s="215"/>
      <c r="D55" s="215"/>
      <c r="E55" s="215"/>
      <c r="F55" s="215"/>
      <c r="G55" s="215"/>
      <c r="H55" s="215"/>
      <c r="I55" s="215"/>
      <c r="J55" s="215"/>
      <c r="K55" s="215"/>
      <c r="L55" s="215"/>
      <c r="M55" s="215"/>
      <c r="N55" s="215"/>
      <c r="O55" s="215"/>
      <c r="P55" s="215"/>
      <c r="Q55" s="215"/>
      <c r="R55" s="215"/>
      <c r="S55" s="143" t="s">
        <v>225</v>
      </c>
    </row>
    <row r="56" ht="21" hidden="1" customHeight="1" spans="2:18">
      <c r="B56" s="215" t="str">
        <f>IF($D$3=2,9,9)&amp;") 於保單終止或期滿時，如保費儲存戶口內有任何餘額，將會退還予閣下。"</f>
        <v>9) 於保單終止或期滿時，如保費儲存戶口內有任何餘額，將會退還予閣下。</v>
      </c>
      <c r="C56" s="215"/>
      <c r="D56" s="215"/>
      <c r="E56" s="215"/>
      <c r="F56" s="215"/>
      <c r="G56" s="215"/>
      <c r="H56" s="215"/>
      <c r="I56" s="215"/>
      <c r="J56" s="215"/>
      <c r="K56" s="215"/>
      <c r="L56" s="215"/>
      <c r="M56" s="215"/>
      <c r="N56" s="215"/>
      <c r="O56" s="215"/>
      <c r="P56" s="215"/>
      <c r="Q56" s="215"/>
      <c r="R56" s="215"/>
    </row>
    <row r="57" ht="20.25" hidden="1" customHeight="1" spans="2:18">
      <c r="B57" s="215" t="str">
        <f>IF($D$3=2,10,10)&amp;") 如受保人身故，保費儲存戶口內之金額將成為保單持有人之財產／遺產，故不會成為付予受益人的給付金額之一部份。"</f>
        <v>10) 如受保人身故，保費儲存戶口內之金額將成為保單持有人之財產／遺產，故不會成為付予受益人的給付金額之一部份。</v>
      </c>
      <c r="C57" s="215"/>
      <c r="D57" s="215"/>
      <c r="E57" s="215"/>
      <c r="F57" s="215"/>
      <c r="G57" s="215"/>
      <c r="H57" s="215"/>
      <c r="I57" s="215"/>
      <c r="J57" s="215"/>
      <c r="K57" s="215"/>
      <c r="L57" s="215"/>
      <c r="M57" s="215"/>
      <c r="N57" s="215"/>
      <c r="O57" s="215"/>
      <c r="P57" s="215"/>
      <c r="Q57" s="215"/>
      <c r="R57" s="215"/>
    </row>
    <row r="58" ht="24.75" hidden="1" customHeight="1" spans="2:18">
      <c r="B58" s="215" t="str">
        <f>IF($D$3=2,11,11)&amp;") 本公司保留不接受存款到保費儲存戶口之權利。"</f>
        <v>11) 本公司保留不接受存款到保費儲存戶口之權利。</v>
      </c>
      <c r="C58" s="215"/>
      <c r="D58" s="215"/>
      <c r="E58" s="215"/>
      <c r="F58" s="215"/>
      <c r="G58" s="215"/>
      <c r="H58" s="215"/>
      <c r="I58" s="215"/>
      <c r="J58" s="215"/>
      <c r="K58" s="215"/>
      <c r="L58" s="215"/>
      <c r="M58" s="215"/>
      <c r="N58" s="215"/>
      <c r="O58" s="215"/>
      <c r="P58" s="215"/>
      <c r="Q58" s="215"/>
      <c r="R58" s="215"/>
    </row>
    <row r="59" hidden="1"/>
    <row r="60" ht="15.6" hidden="1" customHeight="1" spans="2:18">
      <c r="B60" s="217" t="s">
        <v>226</v>
      </c>
      <c r="C60" s="217"/>
      <c r="D60" s="217"/>
      <c r="E60" s="217"/>
      <c r="F60" s="217"/>
      <c r="G60" s="217"/>
      <c r="H60" s="217"/>
      <c r="I60" s="217"/>
      <c r="J60" s="217"/>
      <c r="K60" s="217"/>
      <c r="L60" s="217"/>
      <c r="M60" s="217"/>
      <c r="N60" s="217"/>
      <c r="O60" s="217"/>
      <c r="P60" s="217"/>
      <c r="Q60" s="217"/>
      <c r="R60" s="217"/>
    </row>
    <row r="61" hidden="1" spans="2:18">
      <c r="B61" s="217"/>
      <c r="C61" s="217"/>
      <c r="D61" s="217"/>
      <c r="E61" s="217"/>
      <c r="F61" s="217"/>
      <c r="G61" s="217"/>
      <c r="H61" s="217"/>
      <c r="I61" s="217"/>
      <c r="J61" s="217"/>
      <c r="K61" s="217"/>
      <c r="L61" s="217"/>
      <c r="M61" s="217"/>
      <c r="N61" s="217"/>
      <c r="O61" s="217"/>
      <c r="P61" s="217"/>
      <c r="Q61" s="217"/>
      <c r="R61" s="217"/>
    </row>
    <row r="62" hidden="1" spans="2:18">
      <c r="B62" s="217"/>
      <c r="C62" s="217"/>
      <c r="D62" s="217"/>
      <c r="E62" s="217"/>
      <c r="F62" s="217"/>
      <c r="G62" s="217"/>
      <c r="H62" s="217"/>
      <c r="I62" s="217"/>
      <c r="J62" s="217"/>
      <c r="K62" s="217"/>
      <c r="L62" s="217"/>
      <c r="M62" s="217"/>
      <c r="N62" s="217"/>
      <c r="O62" s="217"/>
      <c r="P62" s="217"/>
      <c r="Q62" s="217"/>
      <c r="R62" s="217"/>
    </row>
    <row r="63" ht="19.5" hidden="1" customHeight="1" spans="2:18">
      <c r="B63" s="217"/>
      <c r="C63" s="217"/>
      <c r="D63" s="217"/>
      <c r="E63" s="217"/>
      <c r="F63" s="217"/>
      <c r="G63" s="217"/>
      <c r="H63" s="217"/>
      <c r="I63" s="217"/>
      <c r="J63" s="217"/>
      <c r="K63" s="217"/>
      <c r="L63" s="217"/>
      <c r="M63" s="217"/>
      <c r="N63" s="217"/>
      <c r="O63" s="217"/>
      <c r="P63" s="217"/>
      <c r="Q63" s="217"/>
      <c r="R63" s="217"/>
    </row>
    <row r="64" ht="19.5" hidden="1" customHeight="1" spans="2:17">
      <c r="B64" s="218"/>
      <c r="C64" s="218"/>
      <c r="D64" s="218"/>
      <c r="E64" s="218"/>
      <c r="F64" s="218"/>
      <c r="G64" s="218"/>
      <c r="H64" s="218"/>
      <c r="I64" s="218"/>
      <c r="J64" s="218"/>
      <c r="K64" s="218"/>
      <c r="L64" s="218"/>
      <c r="M64" s="218"/>
      <c r="N64" s="218"/>
      <c r="O64" s="218"/>
      <c r="P64" s="218"/>
      <c r="Q64" s="218"/>
    </row>
    <row r="65" hidden="1"/>
    <row r="66" ht="16.5" hidden="1" spans="2:18">
      <c r="B66" s="143" t="s">
        <v>227</v>
      </c>
      <c r="C66" s="301"/>
      <c r="D66" s="309"/>
      <c r="E66" s="309"/>
      <c r="F66" s="309"/>
      <c r="G66" s="309"/>
      <c r="H66" s="309"/>
      <c r="I66" s="309"/>
      <c r="J66" s="309"/>
      <c r="K66" s="309"/>
      <c r="N66" s="143" t="s">
        <v>228</v>
      </c>
      <c r="O66" s="304"/>
      <c r="P66" s="304"/>
      <c r="Q66" s="304"/>
      <c r="R66" s="304"/>
    </row>
    <row r="67" hidden="1"/>
    <row r="68" hidden="1"/>
    <row r="69" ht="16.5" hidden="1" spans="2:18">
      <c r="B69" s="143" t="s">
        <v>229</v>
      </c>
      <c r="C69" s="301"/>
      <c r="D69" s="301"/>
      <c r="E69" s="301"/>
      <c r="F69" s="301"/>
      <c r="G69" s="301"/>
      <c r="H69" s="301"/>
      <c r="I69" s="301"/>
      <c r="J69" s="301"/>
      <c r="K69" s="301"/>
      <c r="N69" s="143" t="s">
        <v>230</v>
      </c>
      <c r="O69" s="301"/>
      <c r="P69" s="301"/>
      <c r="Q69" s="301"/>
      <c r="R69" s="301"/>
    </row>
    <row r="70" hidden="1"/>
    <row r="71" hidden="1" spans="2:10">
      <c r="B71" s="143" t="str" cm="1">
        <f t="array" ref="B71">"MW2I"&amp;_xlfn.SWITCH($D$7,"美元","U(A/T)","港幣","H(A)","人民幣","C(A)")</f>
        <v>MW2IH(A)</v>
      </c>
      <c r="E71" s="218"/>
      <c r="F71" s="218"/>
      <c r="H71" s="218"/>
      <c r="I71" s="218"/>
      <c r="J71" s="218"/>
    </row>
    <row r="72" hidden="1"/>
    <row r="73" hidden="1"/>
    <row r="74" hidden="1"/>
    <row r="75" hidden="1"/>
    <row r="76" hidden="1" spans="8:10">
      <c r="H76" s="303"/>
      <c r="I76" s="303"/>
      <c r="J76" s="303"/>
    </row>
    <row r="77" hidden="1"/>
  </sheetData>
  <sheetProtection algorithmName="SHA-512" hashValue="1Z75xiKpPYpW6jZklu7lnXMQO/gL61DSTCYSUwrwGqeuJMiTZ6BnilYQYtf2CkEZ0Gci2weo0O9PjVIHHvzcXw==" saltValue="3EtcZFwGWXxOYM7bo709JQ==" spinCount="100000" sheet="1" selectLockedCells="1" objects="1" scenarios="1"/>
  <mergeCells count="35">
    <mergeCell ref="F5:P5"/>
    <mergeCell ref="B20:R20"/>
    <mergeCell ref="S22:T22"/>
    <mergeCell ref="C23:D23"/>
    <mergeCell ref="O23:P23"/>
    <mergeCell ref="C24:D24"/>
    <mergeCell ref="E24:F24"/>
    <mergeCell ref="O24:P24"/>
    <mergeCell ref="B40:R40"/>
    <mergeCell ref="B43:P43"/>
    <mergeCell ref="B48:R48"/>
    <mergeCell ref="B49:R49"/>
    <mergeCell ref="B50:R50"/>
    <mergeCell ref="B51:R51"/>
    <mergeCell ref="B52:R52"/>
    <mergeCell ref="B55:R55"/>
    <mergeCell ref="B56:R56"/>
    <mergeCell ref="B57:R57"/>
    <mergeCell ref="B58:R58"/>
    <mergeCell ref="D66:K66"/>
    <mergeCell ref="B23:B24"/>
    <mergeCell ref="S23:S24"/>
    <mergeCell ref="T23:T24"/>
    <mergeCell ref="U23:U24"/>
    <mergeCell ref="X23:X24"/>
    <mergeCell ref="Y23:Y24"/>
    <mergeCell ref="Z23:Z24"/>
    <mergeCell ref="AA23:AA24"/>
    <mergeCell ref="AB23:AB24"/>
    <mergeCell ref="AC23:AC24"/>
    <mergeCell ref="AD23:AD24"/>
    <mergeCell ref="AE23:AE24"/>
    <mergeCell ref="B60:R63"/>
    <mergeCell ref="B53:R54"/>
    <mergeCell ref="B46:R47"/>
  </mergeCells>
  <conditionalFormatting sqref="E12">
    <cfRule type="expression" dxfId="2" priority="4">
      <formula>English!$D$3=5</formula>
    </cfRule>
  </conditionalFormatting>
  <conditionalFormatting sqref="B12 D12">
    <cfRule type="expression" dxfId="0" priority="5">
      <formula>$D$3=5</formula>
    </cfRule>
  </conditionalFormatting>
  <conditionalFormatting sqref="M12:Q12 Q13">
    <cfRule type="expression" dxfId="1" priority="1">
      <formula>$D$3=2</formula>
    </cfRule>
  </conditionalFormatting>
  <dataValidations count="4">
    <dataValidation type="list" allowBlank="1" showInputMessage="1" showErrorMessage="1" sqref="D3">
      <formula1>"2,5"</formula1>
    </dataValidation>
    <dataValidation type="list" allowBlank="1" showInputMessage="1" showErrorMessage="1" sqref="B4">
      <formula1>$S$2:$S$3</formula1>
    </dataValidation>
    <dataValidation type="list" allowBlank="1" showInputMessage="1" showErrorMessage="1" sqref="D7">
      <formula1>$AD$7:$AD$9</formula1>
    </dataValidation>
    <dataValidation type="list" allowBlank="1" showInputMessage="1" showErrorMessage="1" sqref="P11:Q11">
      <formula1>$S$8:$S$9</formula1>
    </dataValidation>
  </dataValidations>
  <pageMargins left="0.748031496062992" right="0.748031496062992" top="0.984251968503937" bottom="0.984251968503937" header="0.511811023622047" footer="0.511811023622047"/>
  <pageSetup paperSize="9" fitToHeight="0"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169" name="Button 49" r:id="rId3">
              <controlPr print="0" defaultSize="0">
                <anchor moveWithCells="1" sizeWithCells="1">
                  <from>
                    <xdr:col>5</xdr:col>
                    <xdr:colOff>95250</xdr:colOff>
                    <xdr:row>1</xdr:row>
                    <xdr:rowOff>114300</xdr:rowOff>
                  </from>
                  <to>
                    <xdr:col>15</xdr:col>
                    <xdr:colOff>438150</xdr:colOff>
                    <xdr:row>4</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AS77"/>
  <sheetViews>
    <sheetView zoomScale="75" zoomScaleNormal="75" topLeftCell="B1" workbookViewId="0">
      <selection activeCell="D3" sqref="D3"/>
    </sheetView>
  </sheetViews>
  <sheetFormatPr defaultColWidth="9" defaultRowHeight="15.75"/>
  <cols>
    <col min="1" max="1" width="11.125" style="143" hidden="1" customWidth="1"/>
    <col min="2" max="2" width="21.125" style="143" customWidth="1"/>
    <col min="3" max="3" width="3.125" style="143" customWidth="1"/>
    <col min="4" max="4" width="18" style="143" customWidth="1"/>
    <col min="5" max="5" width="3.125" style="143" customWidth="1"/>
    <col min="6" max="6" width="16.125" style="143" customWidth="1"/>
    <col min="7" max="7" width="12.625" style="143" customWidth="1"/>
    <col min="8" max="8" width="16.125" style="143" customWidth="1"/>
    <col min="9" max="10" width="12.625" style="143" hidden="1" customWidth="1"/>
    <col min="11" max="11" width="14.125" style="143" hidden="1" customWidth="1"/>
    <col min="12" max="12" width="18" style="143" hidden="1" customWidth="1"/>
    <col min="13" max="14" width="18" style="143" customWidth="1"/>
    <col min="15" max="15" width="3.5" style="143" customWidth="1"/>
    <col min="16" max="18" width="21" style="143" customWidth="1"/>
    <col min="19" max="19" width="12.5" style="143" hidden="1" customWidth="1"/>
    <col min="20" max="32" width="9" style="143" hidden="1" customWidth="1"/>
    <col min="33" max="34" width="22.125" style="143" hidden="1" customWidth="1"/>
    <col min="35" max="43" width="9" style="143" hidden="1" customWidth="1"/>
    <col min="44" max="44" width="13.625" style="143" hidden="1" customWidth="1"/>
    <col min="45" max="60" width="9" style="143" customWidth="1"/>
    <col min="61" max="16384" width="9" style="143"/>
  </cols>
  <sheetData>
    <row r="1" spans="4:4">
      <c r="D1" s="144" t="s">
        <v>80</v>
      </c>
    </row>
    <row r="2" spans="2:32">
      <c r="B2" s="145" t="s">
        <v>108</v>
      </c>
      <c r="C2" s="145"/>
      <c r="S2" s="167" t="s">
        <v>90</v>
      </c>
      <c r="AF2" s="281"/>
    </row>
    <row r="3" spans="2:19">
      <c r="B3" s="143" t="s">
        <v>81</v>
      </c>
      <c r="D3" s="146">
        <v>5</v>
      </c>
      <c r="K3" s="167" t="s">
        <v>109</v>
      </c>
      <c r="S3" s="167" t="s">
        <v>93</v>
      </c>
    </row>
    <row r="4" ht="26.25" spans="2:19">
      <c r="B4" s="147" t="s">
        <v>90</v>
      </c>
      <c r="D4" s="148">
        <v>78</v>
      </c>
      <c r="E4" s="149"/>
      <c r="F4" s="150">
        <f>IF(AND($B$4=$S$2,VLOOKUP($D$7&amp;$B$4&amp;$D$3,'Black hole_Mapping'!$B:$G,5,FALSE)&lt;=$D$4,$D$4&lt;=VLOOKUP($D$7&amp;$B$4&amp;$D$3,'Black hole_Mapping'!$B:$G,6,FALSE)),VLOOKUP($D$7&amp;$B$4&amp;$D$3,'Black hole_Mapping'!$B:$G,6,FALSE),$D$4)</f>
        <v>78</v>
      </c>
      <c r="I4" s="219">
        <f ca="1">IF(B4=S2,F4,K9)</f>
        <v>78</v>
      </c>
      <c r="J4" s="219"/>
      <c r="K4" s="220">
        <f ca="1">ROUND(F4/(AA11-'Backward Cal (size discount) SC'!X21*AA7),2)</f>
        <v>16.78</v>
      </c>
      <c r="S4" s="261">
        <v>2</v>
      </c>
    </row>
    <row r="5" ht="90" customHeight="1" spans="2:19">
      <c r="B5" s="151" t="s">
        <v>112</v>
      </c>
      <c r="C5" s="152"/>
      <c r="D5" s="153">
        <f ca="1">'Backward Cal (size discount) SC'!K61-0.01</f>
        <v>77.99</v>
      </c>
      <c r="E5" s="154" t="s">
        <v>113</v>
      </c>
      <c r="F5" s="155" t="s">
        <v>114</v>
      </c>
      <c r="G5" s="155"/>
      <c r="H5" s="155"/>
      <c r="I5" s="155"/>
      <c r="J5" s="155"/>
      <c r="K5" s="155"/>
      <c r="L5" s="155"/>
      <c r="M5" s="155"/>
      <c r="N5" s="155"/>
      <c r="O5" s="155"/>
      <c r="P5" s="155"/>
      <c r="Q5" s="155"/>
      <c r="S5" s="261">
        <v>5</v>
      </c>
    </row>
    <row r="6" ht="37.5" spans="2:27">
      <c r="B6" s="156" t="s">
        <v>116</v>
      </c>
      <c r="C6" s="152"/>
      <c r="D6" s="157">
        <f ca="1">D26</f>
        <v>78</v>
      </c>
      <c r="E6" s="154"/>
      <c r="F6" s="155"/>
      <c r="G6" s="155"/>
      <c r="H6" s="155"/>
      <c r="I6" s="155"/>
      <c r="J6" s="155"/>
      <c r="K6" s="155"/>
      <c r="L6" s="155"/>
      <c r="M6" s="155"/>
      <c r="N6" s="155"/>
      <c r="O6" s="155"/>
      <c r="P6" s="155"/>
      <c r="Q6" s="155"/>
      <c r="S6" s="261"/>
      <c r="X6" s="262">
        <f>$D$11</f>
        <v>0.038</v>
      </c>
      <c r="Y6" s="265">
        <v>0.02</v>
      </c>
      <c r="Z6" s="275">
        <v>1</v>
      </c>
      <c r="AA6" s="275">
        <f>IF($Z6&gt;$D$3,0,IF($Z6=1,1,AA5/(1+X6)))</f>
        <v>1</v>
      </c>
    </row>
    <row r="7" ht="16.5" spans="2:34">
      <c r="B7" s="143" t="s">
        <v>118</v>
      </c>
      <c r="D7" s="158" t="s">
        <v>106</v>
      </c>
      <c r="X7" s="262">
        <f>$D$11</f>
        <v>0.038</v>
      </c>
      <c r="Y7" s="265">
        <v>0.02</v>
      </c>
      <c r="Z7" s="275">
        <f>Z6+1</f>
        <v>2</v>
      </c>
      <c r="AA7" s="275">
        <f>IF($Z7&gt;$D$3,0,IF($Z7=1,1,AA6/(1+X6)))</f>
        <v>0.963391136801541</v>
      </c>
      <c r="AD7" s="283" t="s">
        <v>102</v>
      </c>
      <c r="AE7" s="284">
        <f>IF($D$3=2,AF7,IF($D$4&gt;=VLOOKUP($D$7&amp;$B$4&amp;$D$3,'Black hole_Mapping'!$B:$G,5,FALSE),AG7,AH7))</f>
        <v>0.04</v>
      </c>
      <c r="AF7" s="285">
        <v>0.068</v>
      </c>
      <c r="AG7" s="285">
        <v>0.05</v>
      </c>
      <c r="AH7" s="286">
        <v>0.04</v>
      </c>
    </row>
    <row r="8" hidden="1" spans="2:34">
      <c r="B8" s="159"/>
      <c r="C8" s="159"/>
      <c r="D8" s="160"/>
      <c r="K8" s="167" t="s">
        <v>119</v>
      </c>
      <c r="M8" s="221" t="s">
        <v>120</v>
      </c>
      <c r="N8" s="221"/>
      <c r="O8" s="221"/>
      <c r="P8" s="222" t="str">
        <f>IF(D7="人民币","N","Y")</f>
        <v>Y</v>
      </c>
      <c r="Q8" s="222"/>
      <c r="S8" s="263" t="s">
        <v>121</v>
      </c>
      <c r="X8" s="262">
        <f>$D$11</f>
        <v>0.038</v>
      </c>
      <c r="Y8" s="265">
        <v>0.02</v>
      </c>
      <c r="Z8" s="275">
        <f>Z7+1</f>
        <v>3</v>
      </c>
      <c r="AA8" s="275">
        <f>IF($Z8&gt;$D$3,0,IF($Z8=1,1,AA7/(1+X7)))</f>
        <v>0.928122482467766</v>
      </c>
      <c r="AD8" s="283" t="s">
        <v>106</v>
      </c>
      <c r="AE8" s="284">
        <f>IF($D$4&gt;=VLOOKUP($D$7&amp;$B$4&amp;$D$3,'Black hole_Mapping'!$B:$G,5,FALSE),AG8,AH8)</f>
        <v>0.038</v>
      </c>
      <c r="AF8" s="285"/>
      <c r="AG8" s="285">
        <v>0.048</v>
      </c>
      <c r="AH8" s="285">
        <v>0.038</v>
      </c>
    </row>
    <row r="9" ht="16.5" hidden="1" spans="2:34">
      <c r="B9" s="145" t="s">
        <v>122</v>
      </c>
      <c r="C9" s="145"/>
      <c r="K9" s="220">
        <f ca="1">IF(AND($B$4=$S$3,VLOOKUP($D$7&amp;$B$4&amp;$D$3,'Black hole_Mapping'!$B:$G,5,FALSE)&lt;=$D$4,$D$4&lt;=VLOOKUP($D$7&amp;$B$4&amp;$D$3,'Black hole_Mapping'!$B:$G,6,FALSE)),VLOOKUP($D$7&amp;$S$2&amp;$D$3,'Black hole_Mapping'!$B:$G,6,FALSE),ROUND(F4/(AA11-'Backward Cal (size discount) SC'!X22*AA7),2))</f>
        <v>16.78</v>
      </c>
      <c r="M9" s="223" t="s">
        <v>123</v>
      </c>
      <c r="N9" s="223"/>
      <c r="O9" s="221"/>
      <c r="P9" s="224">
        <f>VLOOKUP(D7,AD7:AE9,2,FALSE)</f>
        <v>0.038</v>
      </c>
      <c r="Q9" s="224"/>
      <c r="S9" s="263" t="s">
        <v>124</v>
      </c>
      <c r="T9" s="143" t="s">
        <v>231</v>
      </c>
      <c r="X9" s="262">
        <f>$D$11</f>
        <v>0.038</v>
      </c>
      <c r="Y9" s="265">
        <v>0.02</v>
      </c>
      <c r="Z9" s="275">
        <f>Z8+1</f>
        <v>4</v>
      </c>
      <c r="AA9" s="275">
        <f>IF($Z9&gt;$D$3,0,IF($Z9=1,1,AA8/(1+X8)))</f>
        <v>0.89414497347569</v>
      </c>
      <c r="AD9" s="283" t="s">
        <v>107</v>
      </c>
      <c r="AE9" s="284">
        <v>0.02</v>
      </c>
      <c r="AF9" s="285"/>
      <c r="AG9" s="285">
        <v>0.02</v>
      </c>
      <c r="AH9" s="285">
        <v>0.02</v>
      </c>
    </row>
    <row r="10" ht="16.5" hidden="1" spans="2:27">
      <c r="B10" s="143" t="s">
        <v>125</v>
      </c>
      <c r="D10" s="161">
        <v>1</v>
      </c>
      <c r="T10" s="143" t="s">
        <v>232</v>
      </c>
      <c r="X10" s="262">
        <f>$D$11</f>
        <v>0.038</v>
      </c>
      <c r="Y10" s="265">
        <v>0.02</v>
      </c>
      <c r="Z10" s="275">
        <f>Z9+1</f>
        <v>5</v>
      </c>
      <c r="AA10" s="275">
        <f>IF($Z10&gt;$D$3,0,IF($Z10=1,1,AA9/(1+X9)))</f>
        <v>0.861411342462129</v>
      </c>
    </row>
    <row r="11" ht="36" hidden="1" customHeight="1" spans="2:27">
      <c r="B11" s="162" t="str">
        <f>IF(D7="美元","Guaranteed Interest Rate for Prepaid Premium","Interest Rate for Prepaid Premium")</f>
        <v>Interest Rate for Prepaid Premium</v>
      </c>
      <c r="D11" s="163">
        <f>P9</f>
        <v>0.038</v>
      </c>
      <c r="K11" s="225">
        <f>(1+D11)*((1+D12)^D10-1)/D12</f>
        <v>1.038</v>
      </c>
      <c r="M11" s="143" t="s">
        <v>126</v>
      </c>
      <c r="P11" s="226" t="s">
        <v>121</v>
      </c>
      <c r="Q11" s="226"/>
      <c r="T11" s="264"/>
      <c r="X11" s="265"/>
      <c r="Y11" s="265"/>
      <c r="Z11" s="275"/>
      <c r="AA11" s="275">
        <f>SUM(AA6:AA10)</f>
        <v>4.64706993520713</v>
      </c>
    </row>
    <row r="12" hidden="1" spans="2:20">
      <c r="B12" s="164" t="s">
        <v>127</v>
      </c>
      <c r="D12" s="165">
        <v>0.02</v>
      </c>
      <c r="K12" s="225">
        <f>(1+D12)^(D3-D10)</f>
        <v>1.08243216</v>
      </c>
      <c r="M12" s="164" t="s">
        <v>200</v>
      </c>
      <c r="N12" s="164"/>
      <c r="O12" s="164"/>
      <c r="P12" s="227">
        <v>0</v>
      </c>
      <c r="Q12" s="227"/>
      <c r="S12" s="199">
        <v>43040</v>
      </c>
      <c r="T12" s="264"/>
    </row>
    <row r="13" hidden="1" spans="2:20">
      <c r="B13" s="143" t="s">
        <v>129</v>
      </c>
      <c r="D13" s="166">
        <f ca="1">IF(AND($P$11="N",OR($P$8="N",D11=D12)),ROUNDUP('Backward Cal (size discount) SC'!K61*(1-(1+D11)^(D10-D3))/((1+D11)^D10-1),2),D14)*0+ROUNDUP(($I$38+$J$38-$K$38)/$K$11/$K$12,2)*0+ROUNDUP(($I$38+$J$38-$K$38),2)</f>
        <v>284.77</v>
      </c>
      <c r="M13" s="143" t="s">
        <v>130</v>
      </c>
      <c r="P13" s="228">
        <f ca="1">IF($P$11="Y",'Backward Cal (size discount) SC'!$T$22,0)</f>
        <v>0</v>
      </c>
      <c r="Q13" s="227"/>
      <c r="T13" s="264"/>
    </row>
    <row r="14" hidden="1" spans="2:17">
      <c r="B14" s="167" t="s">
        <v>131</v>
      </c>
      <c r="C14" s="167"/>
      <c r="D14" s="168">
        <f ca="1">0*ROUNDUP(('Backward Cal (size discount) SC'!K61*(T38-S38)-$P$13*$T$27)/(S38+T27*IF(P8="Y",P9-D12,0))+U38,2)</f>
        <v>0</v>
      </c>
      <c r="E14" s="169"/>
      <c r="F14" s="169"/>
      <c r="H14" s="169"/>
      <c r="M14" s="229"/>
      <c r="N14" s="229"/>
      <c r="O14" s="229"/>
      <c r="P14" s="230"/>
      <c r="Q14" s="230"/>
    </row>
    <row r="15" hidden="1" spans="2:12">
      <c r="B15" s="167"/>
      <c r="C15" s="167"/>
      <c r="D15" s="169"/>
      <c r="K15" s="169"/>
      <c r="L15" s="231"/>
    </row>
    <row r="16" ht="45" hidden="1" customHeight="1" spans="2:8">
      <c r="B16" s="167"/>
      <c r="C16" s="167"/>
      <c r="D16" s="169"/>
      <c r="E16" s="169"/>
      <c r="F16" s="169"/>
      <c r="H16" s="169"/>
    </row>
    <row r="17" ht="99" hidden="1" customHeight="1" spans="2:18">
      <c r="B17" s="170" t="str">
        <f>+"「匠心 • 传承」储蓄寿险计划 2（尊尚版）"</f>
        <v>「匠心 • 传承」储蓄寿险计划 2（尊尚版）</v>
      </c>
      <c r="C17" s="171"/>
      <c r="D17" s="172"/>
      <c r="E17" s="172"/>
      <c r="F17" s="172"/>
      <c r="G17" s="173"/>
      <c r="H17" s="172"/>
      <c r="I17" s="173"/>
      <c r="J17" s="173"/>
      <c r="K17" s="173"/>
      <c r="L17" s="173"/>
      <c r="M17" s="173"/>
      <c r="N17" s="173"/>
      <c r="O17" s="173"/>
      <c r="P17" s="173"/>
      <c r="Q17" s="173"/>
      <c r="R17" s="173"/>
    </row>
    <row r="18" ht="22.5" hidden="1" spans="2:11">
      <c r="B18" s="167"/>
      <c r="C18" s="167"/>
      <c r="D18" s="169"/>
      <c r="E18" s="169"/>
      <c r="F18" s="169"/>
      <c r="H18" s="169"/>
      <c r="K18" s="232"/>
    </row>
    <row r="19" ht="22.5" hidden="1" spans="2:11">
      <c r="B19" s="174" t="s">
        <v>233</v>
      </c>
      <c r="C19" s="174"/>
      <c r="D19" s="169"/>
      <c r="E19" s="169"/>
      <c r="F19" s="169"/>
      <c r="H19" s="169"/>
      <c r="K19" s="232"/>
    </row>
    <row r="20" ht="52.5" hidden="1" customHeight="1" spans="2:18">
      <c r="B20" s="175" t="str">
        <f>"您可选择在1年内提早清缴保费。您只需于投保时，除缴交首年应缴保费之外，同时缴交下列首年额外缴交款项，该额外款项将存入保费储存户口积存非保证利息（如有），在第2"&amp;IF(D3=2,"","至5")&amp;"个保单年度之保费到期时，保费储存户口的结余便会如下列说明所示支付有关保费(包括保费征费)。"</f>
        <v>您可选择在1年内提早清缴保费。您只需于投保时，除缴交首年应缴保费之外，同时缴交下列首年额外缴交款项，该额外款项将存入保费储存户口积存非保证利息（如有），在第2至5个保单年度之保费到期时，保费储存户口的结余便会如下列说明所示支付有关保费(包括保费征费)。</v>
      </c>
      <c r="C20" s="175"/>
      <c r="D20" s="175"/>
      <c r="E20" s="175"/>
      <c r="F20" s="175"/>
      <c r="G20" s="175"/>
      <c r="H20" s="175"/>
      <c r="I20" s="175"/>
      <c r="J20" s="175"/>
      <c r="K20" s="175"/>
      <c r="L20" s="175"/>
      <c r="M20" s="175"/>
      <c r="N20" s="175"/>
      <c r="O20" s="175"/>
      <c r="P20" s="175"/>
      <c r="Q20" s="175"/>
      <c r="R20" s="175"/>
    </row>
    <row r="21" hidden="1"/>
    <row r="22" hidden="1" spans="2:20">
      <c r="B22" s="176"/>
      <c r="C22" s="177" t="str">
        <f>$D$3&amp;"年供款"</f>
        <v>5年供款</v>
      </c>
      <c r="D22" s="178"/>
      <c r="E22" s="179"/>
      <c r="F22" s="179"/>
      <c r="G22" s="179"/>
      <c r="H22" s="179"/>
      <c r="I22" s="179"/>
      <c r="J22" s="179"/>
      <c r="K22" s="179"/>
      <c r="L22" s="179"/>
      <c r="M22" s="233" t="str">
        <f>D10&amp;" 年"&amp;IF(D10=1,"","s")&amp;"清缴保费"</f>
        <v>1 年清缴保费</v>
      </c>
      <c r="N22" s="234"/>
      <c r="O22" s="234"/>
      <c r="P22" s="234"/>
      <c r="Q22" s="234"/>
      <c r="R22" s="266"/>
      <c r="S22" s="267" t="s">
        <v>134</v>
      </c>
      <c r="T22" s="268"/>
    </row>
    <row r="23" ht="47.25" hidden="1" spans="2:32">
      <c r="B23" s="180" t="s">
        <v>234</v>
      </c>
      <c r="C23" s="181" t="s">
        <v>235</v>
      </c>
      <c r="D23" s="182"/>
      <c r="E23" s="183" t="s">
        <v>236</v>
      </c>
      <c r="F23" s="184"/>
      <c r="G23" s="181" t="s">
        <v>237</v>
      </c>
      <c r="H23" s="181" t="s">
        <v>238</v>
      </c>
      <c r="I23" s="235" t="s">
        <v>140</v>
      </c>
      <c r="J23" s="235" t="s">
        <v>141</v>
      </c>
      <c r="K23" s="236" t="s">
        <v>142</v>
      </c>
      <c r="L23" s="237" t="s">
        <v>207</v>
      </c>
      <c r="M23" s="237" t="s">
        <v>239</v>
      </c>
      <c r="N23" s="238" t="s">
        <v>240</v>
      </c>
      <c r="O23" s="239" t="s">
        <v>241</v>
      </c>
      <c r="P23" s="240"/>
      <c r="Q23" s="240" t="s">
        <v>242</v>
      </c>
      <c r="R23" s="238" t="s">
        <v>243</v>
      </c>
      <c r="S23" s="269" t="s">
        <v>149</v>
      </c>
      <c r="T23" s="270" t="s">
        <v>150</v>
      </c>
      <c r="U23" s="271" t="s">
        <v>151</v>
      </c>
      <c r="V23" s="271"/>
      <c r="W23" s="271"/>
      <c r="X23" s="272" t="s">
        <v>152</v>
      </c>
      <c r="Y23" s="272" t="s">
        <v>153</v>
      </c>
      <c r="Z23" s="272" t="s">
        <v>154</v>
      </c>
      <c r="AA23" s="272" t="s">
        <v>155</v>
      </c>
      <c r="AB23" s="272" t="s">
        <v>156</v>
      </c>
      <c r="AC23" s="272" t="s">
        <v>157</v>
      </c>
      <c r="AD23" s="272" t="s">
        <v>158</v>
      </c>
      <c r="AE23" s="272" t="s">
        <v>159</v>
      </c>
      <c r="AF23" s="271"/>
    </row>
    <row r="24" ht="16.5" hidden="1" spans="2:40">
      <c r="B24" s="185"/>
      <c r="C24" s="186" t="str">
        <f>"("&amp;$D$7&amp;")"</f>
        <v>(港币)</v>
      </c>
      <c r="D24" s="187"/>
      <c r="E24" s="186" t="str">
        <f>"("&amp;$D$7&amp;")"</f>
        <v>(港币)</v>
      </c>
      <c r="F24" s="187"/>
      <c r="G24" s="186" t="str">
        <f t="shared" ref="G24:O24" si="0">"("&amp;$D$7&amp;")"</f>
        <v>(港币)</v>
      </c>
      <c r="H24" s="186" t="str">
        <f t="shared" si="0"/>
        <v>(港币)</v>
      </c>
      <c r="I24" s="241" t="str">
        <f t="shared" si="0"/>
        <v>(港币)</v>
      </c>
      <c r="J24" s="241" t="str">
        <f t="shared" si="0"/>
        <v>(港币)</v>
      </c>
      <c r="K24" s="242" t="str">
        <f t="shared" si="0"/>
        <v>(港币)</v>
      </c>
      <c r="L24" s="243" t="str">
        <f t="shared" si="0"/>
        <v>(港币)</v>
      </c>
      <c r="M24" s="186" t="str">
        <f t="shared" si="0"/>
        <v>(港币)</v>
      </c>
      <c r="N24" s="186" t="str">
        <f t="shared" si="0"/>
        <v>(港币)</v>
      </c>
      <c r="O24" s="186" t="str">
        <f t="shared" si="0"/>
        <v>(港币)</v>
      </c>
      <c r="P24" s="187"/>
      <c r="Q24" s="273" t="s">
        <v>213</v>
      </c>
      <c r="R24" s="274" t="str">
        <f>"("&amp;$D$7&amp;")"</f>
        <v>(港币)</v>
      </c>
      <c r="S24" s="269"/>
      <c r="T24" s="270"/>
      <c r="U24" s="271"/>
      <c r="V24" s="271"/>
      <c r="W24" s="271"/>
      <c r="X24" s="272"/>
      <c r="Y24" s="272"/>
      <c r="Z24" s="272"/>
      <c r="AA24" s="272"/>
      <c r="AB24" s="272"/>
      <c r="AC24" s="272"/>
      <c r="AD24" s="272"/>
      <c r="AE24" s="272"/>
      <c r="AF24" s="271"/>
      <c r="AM24" s="143">
        <v>7.8</v>
      </c>
      <c r="AN24" s="143">
        <v>1.2</v>
      </c>
    </row>
    <row r="25" ht="16.5" hidden="1" spans="2:45">
      <c r="B25" s="188"/>
      <c r="C25" s="189"/>
      <c r="D25" s="190"/>
      <c r="E25" s="191"/>
      <c r="F25" s="192"/>
      <c r="G25" s="192"/>
      <c r="H25" s="192"/>
      <c r="I25" s="244"/>
      <c r="J25" s="244"/>
      <c r="K25" s="245"/>
      <c r="L25" s="246"/>
      <c r="M25" s="247"/>
      <c r="N25" s="247"/>
      <c r="O25" s="248"/>
      <c r="P25" s="249"/>
      <c r="Q25" s="188"/>
      <c r="R25" s="188"/>
      <c r="S25" s="167"/>
      <c r="T25" s="167"/>
      <c r="X25" s="275"/>
      <c r="Y25" s="275"/>
      <c r="Z25" s="275"/>
      <c r="AA25" s="275"/>
      <c r="AB25" s="275"/>
      <c r="AC25" s="275"/>
      <c r="AD25" s="275"/>
      <c r="AE25" s="275"/>
      <c r="AH25" s="287" t="s">
        <v>161</v>
      </c>
      <c r="AI25" s="287" t="s">
        <v>82</v>
      </c>
      <c r="AJ25" s="287" t="s">
        <v>83</v>
      </c>
      <c r="AK25" s="287" t="s">
        <v>162</v>
      </c>
      <c r="AL25" s="288" t="s">
        <v>163</v>
      </c>
      <c r="AM25" s="289"/>
      <c r="AN25" s="290"/>
      <c r="AS25" s="280"/>
    </row>
    <row r="26" ht="16.5" hidden="1" spans="1:45">
      <c r="A26" s="193">
        <f ca="1">MAX(Date!$D$3,TODAY())</f>
        <v>45832</v>
      </c>
      <c r="B26" s="194">
        <v>1</v>
      </c>
      <c r="C26" s="195"/>
      <c r="D26" s="196">
        <f ca="1">IF($B26&gt;$D$3,0,'Backward Cal (size discount) SC'!$K$61)</f>
        <v>78</v>
      </c>
      <c r="E26" s="197"/>
      <c r="F26" s="198">
        <f ca="1">MIN(ROUND(D26*INDEX($AK$27:$AK$32,MATCH($A26,$AI$27:$AI$32)),2),INDEX($AL$27:$AN$32,MATCH($A26,$AI$27:$AI$32),MATCH($D$7,$AL$26:$AN$26,FALSE)))</f>
        <v>0.08</v>
      </c>
      <c r="G26" s="198">
        <v>0</v>
      </c>
      <c r="H26" s="198">
        <f ca="1" t="shared" ref="H26:H37" si="1">IF($P$8="N",0,IF($B26=$D$3,ROUND(((SUMPRODUCT($D$27:$D$37,$AB$27:$AB$37)+SUMPRODUCT($F$27:$F$37,$AB$27:$AB$37)-SUMPRODUCT($G$27:$G$37,$AB$27:$AB$37))-(SUMPRODUCT($D$27:$D$37,$AE$27:$AE$37)+SUMPRODUCT($F$27:$F$37,$AE$27:$AE$37)-SUMPRODUCT($G$27:$G$37,$AE$27:$AE$37))/$AE$26)/(1/$AE$26+$AB26),2),0))</f>
        <v>0</v>
      </c>
      <c r="I26" s="250">
        <f ca="1">IF($B26&lt;=$D$10,0,D26*$AB26+0*D26*(1+$D$11)*(1+$D$12)^($D$3-$B26))</f>
        <v>0</v>
      </c>
      <c r="J26" s="250">
        <f ca="1">IF($B26&lt;=$D$10,0,F26*$AB26+0*(1+$D$11)*(1+$D$12)^($D$3-$B26))</f>
        <v>0</v>
      </c>
      <c r="K26" s="251">
        <f ca="1">IF($B26&lt;=$D$10,0,(G26+H26)*$AB26+0*(1+$D$11)*(1+$D$12)^($D$3-$B26))</f>
        <v>0</v>
      </c>
      <c r="L26" s="250">
        <f ca="1">D26+F26-G26-H26</f>
        <v>78.08</v>
      </c>
      <c r="M26" s="252">
        <f ca="1">IF($B26&gt;$D$10,0,D26+F26)</f>
        <v>78.08</v>
      </c>
      <c r="N26" s="252">
        <f ca="1">$D$13</f>
        <v>284.77</v>
      </c>
      <c r="O26" s="197"/>
      <c r="P26" s="253">
        <f ca="1">M26+N26</f>
        <v>362.85</v>
      </c>
      <c r="Q26" s="198">
        <f ca="1">ROUND(R25+R26-(M26+N26-L26),2)</f>
        <v>5.7</v>
      </c>
      <c r="R26" s="276">
        <f ca="1" t="shared" ref="R26:R37" si="2">MAX(0,ROUND((R25+N26-(L26-M26))*(1+D$12),2))</f>
        <v>290.47</v>
      </c>
      <c r="S26" s="277">
        <f t="shared" ref="S26:S37" si="3">ROUND(IF(B26&gt;$D$10,0,(1+$D$12)^(-B26+1)),9)</f>
        <v>1</v>
      </c>
      <c r="T26" s="277">
        <f t="shared" ref="T26:T37" si="4">ROUND(IF(B26&gt;$D$3,0,(1+$D$12)^(-B26+1)),9)</f>
        <v>1</v>
      </c>
      <c r="U26" s="278"/>
      <c r="V26" s="278"/>
      <c r="W26" s="278"/>
      <c r="X26" s="279">
        <f>$P$9</f>
        <v>0.038</v>
      </c>
      <c r="Y26" s="265">
        <v>0.02</v>
      </c>
      <c r="Z26" s="275">
        <v>1</v>
      </c>
      <c r="AA26" s="275">
        <f t="shared" ref="AA26:AA37" si="5">IF($Z26&gt;$D$3,0,IF($Z26=1,1,AA25/(1+X26)))</f>
        <v>1</v>
      </c>
      <c r="AB26" s="275">
        <f t="shared" ref="AB26:AB37" si="6">IF($Z26&gt;$D$3,0,IF($Z26=1,1,AB25/(1+Y26)))</f>
        <v>1</v>
      </c>
      <c r="AC26" s="275">
        <f t="shared" ref="AC26:AC37" si="7">IF($Z26&gt;$D$3,0,IF($Z26=$D$3,1,AC27*(1+X26)))</f>
        <v>1.160885573136</v>
      </c>
      <c r="AD26" s="275">
        <f t="shared" ref="AD26:AD37" si="8">IF($Z26&gt;$D$3,0,IF($Z26=$D$3,1,AD27*(1+Y26)))</f>
        <v>1.08243216</v>
      </c>
      <c r="AE26" s="275">
        <f>AC26-AD26</f>
        <v>0.0784534131360002</v>
      </c>
      <c r="AF26" s="278"/>
      <c r="AH26" s="291"/>
      <c r="AI26" s="291"/>
      <c r="AJ26" s="291"/>
      <c r="AK26" s="291"/>
      <c r="AL26" s="292" t="s">
        <v>106</v>
      </c>
      <c r="AM26" s="293" t="s">
        <v>102</v>
      </c>
      <c r="AN26" s="292" t="s">
        <v>107</v>
      </c>
      <c r="AS26" s="300"/>
    </row>
    <row r="27" ht="16.5" hidden="1" spans="1:45">
      <c r="A27" s="199">
        <f ca="1">EDATE($A$26,(B27-B$26)*12)</f>
        <v>46197</v>
      </c>
      <c r="B27" s="194">
        <f>B26+1</f>
        <v>2</v>
      </c>
      <c r="C27" s="195"/>
      <c r="D27" s="196">
        <f ca="1">IF($B27&gt;$D$3,0,'Backward Cal (size discount) SC'!$K$61)</f>
        <v>78</v>
      </c>
      <c r="E27" s="197"/>
      <c r="F27" s="198">
        <f ca="1">MIN(ROUND(D27*INDEX($AK$27:$AK$32,MATCH($A27,$AI$27:$AI$32)),2),INDEX($AL$27:$AN$32,MATCH($A27,$AI$27:$AI$32),MATCH($D$7,$AL$26:$AN$26,FALSE)))</f>
        <v>0.08</v>
      </c>
      <c r="G27" s="198">
        <f ca="1">$P$13+0*$D$14*IF($P$8="Y",$P$9-$D$12,0)</f>
        <v>0</v>
      </c>
      <c r="H27" s="198">
        <f ca="1" t="shared" si="1"/>
        <v>0</v>
      </c>
      <c r="I27" s="250">
        <f ca="1" t="shared" ref="I27:I37" si="9">IF($B27&lt;=$D$10,0,D27*$AB27+0*D27*(1+$D$11)*(1+$D$12)^($D$3-$B27))</f>
        <v>76.4705882352941</v>
      </c>
      <c r="J27" s="250">
        <f ca="1" t="shared" ref="J27:J37" si="10">IF($B27&lt;=$D$10,0,F27*$AB27+0*(1+$D$11)*(1+$D$12)^($D$3-$B27))</f>
        <v>0.0784313725490196</v>
      </c>
      <c r="K27" s="251">
        <f ca="1" t="shared" ref="K27:K37" si="11">IF($B27&lt;=$D$10,0,(G27+H27)*$AB27+0*(1+$D$11)*(1+$D$12)^($D$3-$B27))</f>
        <v>0</v>
      </c>
      <c r="L27" s="250">
        <f ca="1" t="shared" ref="L27:L37" si="12">D27+F27-G27-H27</f>
        <v>78.08</v>
      </c>
      <c r="M27" s="252">
        <f ca="1">IF($B27&gt;$D$10,0,D27+F27)</f>
        <v>0</v>
      </c>
      <c r="N27" s="252">
        <f ca="1" t="shared" ref="N27:N37" si="13">IF($B27&gt;$D$10,0,$D$13)</f>
        <v>0</v>
      </c>
      <c r="O27" s="197"/>
      <c r="P27" s="198">
        <f ca="1" t="shared" ref="P27:P37" si="14">IF($B27&gt;$D$10,0,M27+N27)</f>
        <v>0</v>
      </c>
      <c r="Q27" s="198">
        <f ca="1">ROUND(R27-(R26+M27+N27-L27),2)</f>
        <v>4.25</v>
      </c>
      <c r="R27" s="276">
        <f ca="1" t="shared" si="2"/>
        <v>216.64</v>
      </c>
      <c r="S27" s="277">
        <f t="shared" si="3"/>
        <v>0</v>
      </c>
      <c r="T27" s="277">
        <f t="shared" si="4"/>
        <v>0.980392157</v>
      </c>
      <c r="U27" s="278">
        <f ca="1">F27/(1+$D$12)^($B27-1)</f>
        <v>0.0784313725490196</v>
      </c>
      <c r="V27" s="278"/>
      <c r="W27" s="278"/>
      <c r="X27" s="279">
        <f>$P$9</f>
        <v>0.038</v>
      </c>
      <c r="Y27" s="265">
        <v>0.02</v>
      </c>
      <c r="Z27" s="275">
        <f>Z26+1</f>
        <v>2</v>
      </c>
      <c r="AA27" s="275">
        <f t="shared" si="5"/>
        <v>0.963391136801541</v>
      </c>
      <c r="AB27" s="275">
        <f t="shared" si="6"/>
        <v>0.980392156862745</v>
      </c>
      <c r="AC27" s="275">
        <f t="shared" si="7"/>
        <v>1.118386872</v>
      </c>
      <c r="AD27" s="275">
        <f t="shared" si="8"/>
        <v>1.061208</v>
      </c>
      <c r="AE27" s="275">
        <f t="shared" ref="AE27:AE37" si="15">AC27-AD27</f>
        <v>0.0571788720000002</v>
      </c>
      <c r="AF27" s="278"/>
      <c r="AH27" s="294" t="s">
        <v>164</v>
      </c>
      <c r="AI27" s="295">
        <v>43101</v>
      </c>
      <c r="AJ27" s="295">
        <v>43555</v>
      </c>
      <c r="AK27" s="296">
        <v>0.0004</v>
      </c>
      <c r="AL27" s="297">
        <v>40</v>
      </c>
      <c r="AM27" s="298">
        <f>ROUNDDOWN($AL27/AM$24,2)</f>
        <v>5.12</v>
      </c>
      <c r="AN27" s="298">
        <f>ROUNDDOWN($AL27/AN$24,2)</f>
        <v>33.33</v>
      </c>
      <c r="AO27" s="143">
        <v>7.8</v>
      </c>
      <c r="AS27" s="300"/>
    </row>
    <row r="28" ht="16.5" hidden="1" spans="1:45">
      <c r="A28" s="199">
        <f ca="1">EDATE($A$26,(B28-B$26)*12)</f>
        <v>46562</v>
      </c>
      <c r="B28" s="194">
        <f>B27+1</f>
        <v>3</v>
      </c>
      <c r="C28" s="195"/>
      <c r="D28" s="196">
        <f ca="1">IF($B28&gt;$D$3,0,'Backward Cal (size discount) SC'!$K$61)</f>
        <v>78</v>
      </c>
      <c r="E28" s="197"/>
      <c r="F28" s="198">
        <f ca="1">MIN(ROUND(D28*INDEX($AK$27:$AK$32,MATCH($A28,$AI$27:$AI$32)),2),INDEX($AL$27:$AN$32,MATCH($A28,$AI$27:$AI$32),MATCH($D$7,$AL$26:$AN$26,FALSE)))</f>
        <v>0.08</v>
      </c>
      <c r="G28" s="198">
        <v>0</v>
      </c>
      <c r="H28" s="198">
        <f ca="1" t="shared" si="1"/>
        <v>0</v>
      </c>
      <c r="I28" s="250">
        <f ca="1" t="shared" si="9"/>
        <v>74.9711649365629</v>
      </c>
      <c r="J28" s="250">
        <f ca="1" t="shared" si="10"/>
        <v>0.0768935024990388</v>
      </c>
      <c r="K28" s="251">
        <f ca="1" t="shared" si="11"/>
        <v>0</v>
      </c>
      <c r="L28" s="250">
        <f ca="1" t="shared" si="12"/>
        <v>78.08</v>
      </c>
      <c r="M28" s="252">
        <f ca="1">IF($B28&gt;$D$10,0,D28+F28)</f>
        <v>0</v>
      </c>
      <c r="N28" s="252">
        <f ca="1" t="shared" si="13"/>
        <v>0</v>
      </c>
      <c r="O28" s="197"/>
      <c r="P28" s="198">
        <f ca="1" t="shared" si="14"/>
        <v>0</v>
      </c>
      <c r="Q28" s="198">
        <f ca="1" t="shared" ref="Q28:Q37" si="16">ROUND(R28-(R27+M28+N28-L28),2)</f>
        <v>2.77</v>
      </c>
      <c r="R28" s="276">
        <f ca="1" t="shared" si="2"/>
        <v>141.33</v>
      </c>
      <c r="S28" s="277">
        <f t="shared" si="3"/>
        <v>0</v>
      </c>
      <c r="T28" s="277">
        <f t="shared" si="4"/>
        <v>0.961168781</v>
      </c>
      <c r="U28" s="278">
        <f ca="1">F28/(1+$D$12)^($B28-1)</f>
        <v>0.0768935024990388</v>
      </c>
      <c r="V28" s="278"/>
      <c r="W28" s="278"/>
      <c r="X28" s="279">
        <f>$P$9</f>
        <v>0.038</v>
      </c>
      <c r="Y28" s="265">
        <v>0.02</v>
      </c>
      <c r="Z28" s="275">
        <f t="shared" ref="Z28:Z37" si="17">Z27+1</f>
        <v>3</v>
      </c>
      <c r="AA28" s="275">
        <f t="shared" si="5"/>
        <v>0.928122482467766</v>
      </c>
      <c r="AB28" s="275">
        <f t="shared" si="6"/>
        <v>0.961168781237985</v>
      </c>
      <c r="AC28" s="275">
        <f t="shared" si="7"/>
        <v>1.077444</v>
      </c>
      <c r="AD28" s="275">
        <f t="shared" si="8"/>
        <v>1.0404</v>
      </c>
      <c r="AE28" s="275">
        <f t="shared" si="15"/>
        <v>0.0370440000000001</v>
      </c>
      <c r="AF28" s="278"/>
      <c r="AH28" s="294" t="s">
        <v>165</v>
      </c>
      <c r="AI28" s="295">
        <v>43556</v>
      </c>
      <c r="AJ28" s="295">
        <v>43921</v>
      </c>
      <c r="AK28" s="296">
        <v>0.0006</v>
      </c>
      <c r="AL28" s="297">
        <v>60</v>
      </c>
      <c r="AM28" s="298">
        <f t="shared" ref="AM28:AN31" si="18">ROUNDDOWN($AL28/AM$24,2)</f>
        <v>7.69</v>
      </c>
      <c r="AN28" s="298">
        <f t="shared" si="18"/>
        <v>50</v>
      </c>
      <c r="AO28" s="143">
        <v>7.8</v>
      </c>
      <c r="AS28" s="300"/>
    </row>
    <row r="29" ht="16.5" hidden="1" spans="1:45">
      <c r="A29" s="199">
        <f ca="1">EDATE($A$26,(B29-B$26)*12)</f>
        <v>46928</v>
      </c>
      <c r="B29" s="194">
        <f>B28+1</f>
        <v>4</v>
      </c>
      <c r="C29" s="195"/>
      <c r="D29" s="196">
        <f ca="1">IF($B29&gt;$D$3,0,'Backward Cal (size discount) SC'!$K$61)</f>
        <v>78</v>
      </c>
      <c r="E29" s="197"/>
      <c r="F29" s="198">
        <f ca="1">MIN(ROUND(D29*INDEX($AK$27:$AK$32,MATCH($A29,$AI$27:$AI$32)),2),INDEX($AL$27:$AN$32,MATCH($A29,$AI$27:$AI$32),MATCH($D$7,$AL$26:$AN$26,FALSE)))</f>
        <v>0.08</v>
      </c>
      <c r="G29" s="198">
        <v>0</v>
      </c>
      <c r="H29" s="198">
        <f ca="1" t="shared" si="1"/>
        <v>0</v>
      </c>
      <c r="I29" s="250">
        <f ca="1" t="shared" si="9"/>
        <v>73.5011420946695</v>
      </c>
      <c r="J29" s="250">
        <f ca="1" t="shared" si="10"/>
        <v>0.0753857867637635</v>
      </c>
      <c r="K29" s="251">
        <f ca="1" t="shared" si="11"/>
        <v>0</v>
      </c>
      <c r="L29" s="250">
        <f ca="1" t="shared" si="12"/>
        <v>78.08</v>
      </c>
      <c r="M29" s="252">
        <f ca="1">IF($B29&gt;$D$10,0,D29+F29)</f>
        <v>0</v>
      </c>
      <c r="N29" s="252">
        <f ca="1" t="shared" si="13"/>
        <v>0</v>
      </c>
      <c r="O29" s="197"/>
      <c r="P29" s="198">
        <f ca="1" t="shared" si="14"/>
        <v>0</v>
      </c>
      <c r="Q29" s="198">
        <f ca="1" t="shared" si="16"/>
        <v>1.27</v>
      </c>
      <c r="R29" s="276">
        <f ca="1" t="shared" si="2"/>
        <v>64.52</v>
      </c>
      <c r="S29" s="277">
        <f t="shared" si="3"/>
        <v>0</v>
      </c>
      <c r="T29" s="277">
        <f t="shared" si="4"/>
        <v>0.942322335</v>
      </c>
      <c r="U29" s="278">
        <f ca="1">F29/(1+$D$12)^($B29-1)</f>
        <v>0.0753857867637635</v>
      </c>
      <c r="V29" s="278"/>
      <c r="W29" s="278"/>
      <c r="X29" s="279">
        <f>$P$9</f>
        <v>0.038</v>
      </c>
      <c r="Y29" s="265">
        <v>0.02</v>
      </c>
      <c r="Z29" s="275">
        <f t="shared" si="17"/>
        <v>4</v>
      </c>
      <c r="AA29" s="275">
        <f t="shared" si="5"/>
        <v>0.89414497347569</v>
      </c>
      <c r="AB29" s="275">
        <f t="shared" si="6"/>
        <v>0.942322334547044</v>
      </c>
      <c r="AC29" s="275">
        <f t="shared" si="7"/>
        <v>1.038</v>
      </c>
      <c r="AD29" s="275">
        <f t="shared" si="8"/>
        <v>1.02</v>
      </c>
      <c r="AE29" s="275">
        <f t="shared" si="15"/>
        <v>0.018</v>
      </c>
      <c r="AF29" s="278"/>
      <c r="AH29" s="294" t="s">
        <v>166</v>
      </c>
      <c r="AI29" s="295">
        <v>43922</v>
      </c>
      <c r="AJ29" s="295">
        <v>44286</v>
      </c>
      <c r="AK29" s="296">
        <v>0.00085</v>
      </c>
      <c r="AL29" s="297">
        <v>85</v>
      </c>
      <c r="AM29" s="298">
        <f t="shared" si="18"/>
        <v>10.89</v>
      </c>
      <c r="AN29" s="298">
        <f t="shared" si="18"/>
        <v>70.83</v>
      </c>
      <c r="AO29" s="143">
        <v>7.8</v>
      </c>
      <c r="AS29" s="300"/>
    </row>
    <row r="30" ht="16.5" hidden="1" spans="1:45">
      <c r="A30" s="199">
        <f ca="1">EDATE($A$26,(B30-B$26)*12)</f>
        <v>47293</v>
      </c>
      <c r="B30" s="194">
        <f t="shared" ref="B30:B37" si="19">B29+1</f>
        <v>5</v>
      </c>
      <c r="C30" s="195"/>
      <c r="D30" s="196">
        <f ca="1">IF($B30&gt;$D$3,0,'Backward Cal (size discount) SC'!$K$61)</f>
        <v>78</v>
      </c>
      <c r="E30" s="197"/>
      <c r="F30" s="198">
        <f ca="1">MIN(ROUND(D30*INDEX($AK$27:$AK$32,MATCH($A30,$AI$27:$AI$32)),2),INDEX($AL$27:$AN$32,MATCH($A30,$AI$27:$AI$32),MATCH($D$7,$AL$26:$AN$26,FALSE)))</f>
        <v>0.08</v>
      </c>
      <c r="G30" s="198">
        <v>0</v>
      </c>
      <c r="H30" s="198">
        <f ca="1" t="shared" si="1"/>
        <v>13.58</v>
      </c>
      <c r="I30" s="250">
        <f ca="1" t="shared" si="9"/>
        <v>72.0599432300681</v>
      </c>
      <c r="J30" s="250">
        <f ca="1" t="shared" si="10"/>
        <v>0.0739076340821211</v>
      </c>
      <c r="K30" s="251">
        <f ca="1" t="shared" si="11"/>
        <v>12.5458208854401</v>
      </c>
      <c r="L30" s="250">
        <f ca="1" t="shared" si="12"/>
        <v>64.5</v>
      </c>
      <c r="M30" s="252">
        <f ca="1">IF($B30&gt;$D$10,0,D30+F30)</f>
        <v>0</v>
      </c>
      <c r="N30" s="252">
        <f ca="1" t="shared" si="13"/>
        <v>0</v>
      </c>
      <c r="O30" s="197"/>
      <c r="P30" s="198">
        <f ca="1" t="shared" si="14"/>
        <v>0</v>
      </c>
      <c r="Q30" s="198">
        <f ca="1" t="shared" si="16"/>
        <v>0</v>
      </c>
      <c r="R30" s="276">
        <f ca="1" t="shared" si="2"/>
        <v>0.02</v>
      </c>
      <c r="S30" s="277">
        <f t="shared" si="3"/>
        <v>0</v>
      </c>
      <c r="T30" s="277">
        <f t="shared" si="4"/>
        <v>0.923845426</v>
      </c>
      <c r="U30" s="278">
        <f ca="1">F30/(1+$D$12)^($B30-1)</f>
        <v>0.0739076340821211</v>
      </c>
      <c r="V30" s="278"/>
      <c r="W30" s="278"/>
      <c r="X30" s="279">
        <f>$P$9</f>
        <v>0.038</v>
      </c>
      <c r="Y30" s="265">
        <v>0.02</v>
      </c>
      <c r="Z30" s="275">
        <f t="shared" si="17"/>
        <v>5</v>
      </c>
      <c r="AA30" s="275">
        <f t="shared" si="5"/>
        <v>0.861411342462129</v>
      </c>
      <c r="AB30" s="275">
        <f t="shared" si="6"/>
        <v>0.923845426026514</v>
      </c>
      <c r="AC30" s="275">
        <f t="shared" si="7"/>
        <v>1</v>
      </c>
      <c r="AD30" s="275">
        <f t="shared" si="8"/>
        <v>1</v>
      </c>
      <c r="AE30" s="275">
        <f t="shared" si="15"/>
        <v>0</v>
      </c>
      <c r="AF30" s="278"/>
      <c r="AH30" s="294" t="s">
        <v>167</v>
      </c>
      <c r="AI30" s="295">
        <v>44287</v>
      </c>
      <c r="AJ30" s="295">
        <v>44788</v>
      </c>
      <c r="AK30" s="296">
        <v>0.001</v>
      </c>
      <c r="AL30" s="297">
        <v>100</v>
      </c>
      <c r="AM30" s="298">
        <f t="shared" si="18"/>
        <v>12.82</v>
      </c>
      <c r="AN30" s="298">
        <f t="shared" si="18"/>
        <v>83.33</v>
      </c>
      <c r="AO30" s="143">
        <v>7.8</v>
      </c>
      <c r="AS30" s="300"/>
    </row>
    <row r="31" ht="16.5" hidden="1" spans="2:41">
      <c r="B31" s="194">
        <f t="shared" si="19"/>
        <v>6</v>
      </c>
      <c r="C31" s="195"/>
      <c r="D31" s="196">
        <f ca="1">IF($B31&gt;$D$3,0,'Backward Cal (size discount) SC'!$K$61)</f>
        <v>0</v>
      </c>
      <c r="E31" s="197"/>
      <c r="F31" s="198"/>
      <c r="G31" s="198">
        <v>0</v>
      </c>
      <c r="H31" s="198">
        <f ca="1" t="shared" si="1"/>
        <v>0</v>
      </c>
      <c r="I31" s="250">
        <f ca="1" t="shared" si="9"/>
        <v>0</v>
      </c>
      <c r="J31" s="250">
        <f t="shared" si="10"/>
        <v>0</v>
      </c>
      <c r="K31" s="251">
        <f ca="1" t="shared" si="11"/>
        <v>0</v>
      </c>
      <c r="L31" s="250">
        <f ca="1" t="shared" si="12"/>
        <v>0</v>
      </c>
      <c r="M31" s="252">
        <f ca="1" t="shared" ref="M31:M37" si="20">IF($B31&gt;$D$10,0,D31)</f>
        <v>0</v>
      </c>
      <c r="N31" s="252">
        <f ca="1" t="shared" si="13"/>
        <v>0</v>
      </c>
      <c r="O31" s="197"/>
      <c r="P31" s="198">
        <f ca="1" t="shared" si="14"/>
        <v>0</v>
      </c>
      <c r="Q31" s="198">
        <f ca="1" t="shared" si="16"/>
        <v>0</v>
      </c>
      <c r="R31" s="276">
        <f ca="1" t="shared" si="2"/>
        <v>0.02</v>
      </c>
      <c r="S31" s="277">
        <f t="shared" si="3"/>
        <v>0</v>
      </c>
      <c r="T31" s="277">
        <f t="shared" si="4"/>
        <v>0</v>
      </c>
      <c r="U31" s="278"/>
      <c r="V31" s="278"/>
      <c r="W31" s="278"/>
      <c r="X31" s="265">
        <f t="shared" ref="X31:X37" si="21">$D$11</f>
        <v>0.038</v>
      </c>
      <c r="Y31" s="265">
        <v>0.02</v>
      </c>
      <c r="Z31" s="275">
        <f t="shared" si="17"/>
        <v>6</v>
      </c>
      <c r="AA31" s="275">
        <f t="shared" si="5"/>
        <v>0</v>
      </c>
      <c r="AB31" s="275">
        <f t="shared" si="6"/>
        <v>0</v>
      </c>
      <c r="AC31" s="275">
        <f t="shared" si="7"/>
        <v>0</v>
      </c>
      <c r="AD31" s="275">
        <f t="shared" si="8"/>
        <v>0</v>
      </c>
      <c r="AE31" s="275">
        <f t="shared" si="15"/>
        <v>0</v>
      </c>
      <c r="AF31" s="278"/>
      <c r="AH31" s="294" t="s">
        <v>168</v>
      </c>
      <c r="AI31" s="295">
        <v>44789</v>
      </c>
      <c r="AJ31" s="295">
        <v>44926</v>
      </c>
      <c r="AK31" s="296">
        <v>0.001</v>
      </c>
      <c r="AL31" s="297">
        <v>100</v>
      </c>
      <c r="AM31" s="298">
        <f>ROUNDDOWN($AL31/AO$31,2)</f>
        <v>12.72</v>
      </c>
      <c r="AN31" s="298">
        <f t="shared" si="18"/>
        <v>83.33</v>
      </c>
      <c r="AO31" s="143">
        <v>7.86</v>
      </c>
    </row>
    <row r="32" ht="16.5" hidden="1" spans="2:41">
      <c r="B32" s="194">
        <f t="shared" si="19"/>
        <v>7</v>
      </c>
      <c r="C32" s="195"/>
      <c r="D32" s="196">
        <f ca="1">IF($B32&gt;$D$3,0,'Backward Cal (size discount) SC'!$K$61)</f>
        <v>0</v>
      </c>
      <c r="E32" s="197"/>
      <c r="F32" s="198"/>
      <c r="G32" s="198">
        <v>0</v>
      </c>
      <c r="H32" s="198">
        <f ca="1" t="shared" si="1"/>
        <v>0</v>
      </c>
      <c r="I32" s="250">
        <f ca="1" t="shared" si="9"/>
        <v>0</v>
      </c>
      <c r="J32" s="250">
        <f t="shared" si="10"/>
        <v>0</v>
      </c>
      <c r="K32" s="251">
        <f ca="1" t="shared" si="11"/>
        <v>0</v>
      </c>
      <c r="L32" s="250">
        <f ca="1" t="shared" si="12"/>
        <v>0</v>
      </c>
      <c r="M32" s="252">
        <f ca="1" t="shared" si="20"/>
        <v>0</v>
      </c>
      <c r="N32" s="252">
        <f ca="1" t="shared" si="13"/>
        <v>0</v>
      </c>
      <c r="O32" s="197"/>
      <c r="P32" s="198">
        <f ca="1" t="shared" si="14"/>
        <v>0</v>
      </c>
      <c r="Q32" s="198">
        <f ca="1" t="shared" si="16"/>
        <v>0</v>
      </c>
      <c r="R32" s="276">
        <f ca="1" t="shared" si="2"/>
        <v>0.02</v>
      </c>
      <c r="S32" s="277">
        <f t="shared" si="3"/>
        <v>0</v>
      </c>
      <c r="T32" s="277">
        <f t="shared" si="4"/>
        <v>0</v>
      </c>
      <c r="U32" s="278"/>
      <c r="V32" s="278"/>
      <c r="W32" s="278"/>
      <c r="X32" s="265">
        <f t="shared" si="21"/>
        <v>0.038</v>
      </c>
      <c r="Y32" s="265">
        <v>0.02</v>
      </c>
      <c r="Z32" s="275">
        <f t="shared" si="17"/>
        <v>7</v>
      </c>
      <c r="AA32" s="275">
        <f t="shared" si="5"/>
        <v>0</v>
      </c>
      <c r="AB32" s="275">
        <f t="shared" si="6"/>
        <v>0</v>
      </c>
      <c r="AC32" s="275">
        <f t="shared" si="7"/>
        <v>0</v>
      </c>
      <c r="AD32" s="275">
        <f t="shared" si="8"/>
        <v>0</v>
      </c>
      <c r="AE32" s="275">
        <f t="shared" si="15"/>
        <v>0</v>
      </c>
      <c r="AF32" s="278"/>
      <c r="AH32" s="294" t="s">
        <v>169</v>
      </c>
      <c r="AI32" s="295">
        <v>44927</v>
      </c>
      <c r="AJ32" s="295"/>
      <c r="AK32" s="296">
        <v>0.001</v>
      </c>
      <c r="AL32" s="297">
        <v>100</v>
      </c>
      <c r="AM32" s="298">
        <v>12.82</v>
      </c>
      <c r="AN32" s="299">
        <v>87.09</v>
      </c>
      <c r="AO32" s="143">
        <v>7.8</v>
      </c>
    </row>
    <row r="33" hidden="1" spans="2:32">
      <c r="B33" s="194">
        <f t="shared" si="19"/>
        <v>8</v>
      </c>
      <c r="C33" s="195"/>
      <c r="D33" s="196">
        <f ca="1">IF($B33&gt;$D$3,0,'Backward Cal (size discount) SC'!$K$61)</f>
        <v>0</v>
      </c>
      <c r="E33" s="197"/>
      <c r="F33" s="198"/>
      <c r="G33" s="198">
        <v>0</v>
      </c>
      <c r="H33" s="198">
        <f ca="1" t="shared" si="1"/>
        <v>0</v>
      </c>
      <c r="I33" s="250">
        <f ca="1" t="shared" si="9"/>
        <v>0</v>
      </c>
      <c r="J33" s="250">
        <f t="shared" si="10"/>
        <v>0</v>
      </c>
      <c r="K33" s="251">
        <f ca="1" t="shared" si="11"/>
        <v>0</v>
      </c>
      <c r="L33" s="250">
        <f ca="1" t="shared" si="12"/>
        <v>0</v>
      </c>
      <c r="M33" s="252">
        <f ca="1" t="shared" si="20"/>
        <v>0</v>
      </c>
      <c r="N33" s="252">
        <f ca="1" t="shared" si="13"/>
        <v>0</v>
      </c>
      <c r="O33" s="197"/>
      <c r="P33" s="198">
        <f ca="1" t="shared" si="14"/>
        <v>0</v>
      </c>
      <c r="Q33" s="198">
        <f ca="1" t="shared" si="16"/>
        <v>0</v>
      </c>
      <c r="R33" s="276">
        <f ca="1" t="shared" si="2"/>
        <v>0.02</v>
      </c>
      <c r="S33" s="277">
        <f t="shared" si="3"/>
        <v>0</v>
      </c>
      <c r="T33" s="277">
        <f t="shared" si="4"/>
        <v>0</v>
      </c>
      <c r="U33" s="278"/>
      <c r="V33" s="278"/>
      <c r="W33" s="278"/>
      <c r="X33" s="265">
        <f t="shared" si="21"/>
        <v>0.038</v>
      </c>
      <c r="Y33" s="265">
        <v>0.02</v>
      </c>
      <c r="Z33" s="275">
        <f t="shared" si="17"/>
        <v>8</v>
      </c>
      <c r="AA33" s="275">
        <f t="shared" si="5"/>
        <v>0</v>
      </c>
      <c r="AB33" s="275">
        <f t="shared" si="6"/>
        <v>0</v>
      </c>
      <c r="AC33" s="275">
        <f t="shared" si="7"/>
        <v>0</v>
      </c>
      <c r="AD33" s="275">
        <f t="shared" si="8"/>
        <v>0</v>
      </c>
      <c r="AE33" s="275">
        <f t="shared" si="15"/>
        <v>0</v>
      </c>
      <c r="AF33" s="278"/>
    </row>
    <row r="34" hidden="1" spans="2:32">
      <c r="B34" s="194">
        <f t="shared" si="19"/>
        <v>9</v>
      </c>
      <c r="C34" s="195"/>
      <c r="D34" s="196">
        <f ca="1">IF($B34&gt;$D$3,0,'Backward Cal (size discount) SC'!$K$61)</f>
        <v>0</v>
      </c>
      <c r="E34" s="197"/>
      <c r="F34" s="198"/>
      <c r="G34" s="198">
        <v>0</v>
      </c>
      <c r="H34" s="198">
        <f ca="1" t="shared" si="1"/>
        <v>0</v>
      </c>
      <c r="I34" s="250">
        <f ca="1" t="shared" si="9"/>
        <v>0</v>
      </c>
      <c r="J34" s="250">
        <f t="shared" si="10"/>
        <v>0</v>
      </c>
      <c r="K34" s="251">
        <f ca="1" t="shared" si="11"/>
        <v>0</v>
      </c>
      <c r="L34" s="250">
        <f ca="1" t="shared" si="12"/>
        <v>0</v>
      </c>
      <c r="M34" s="252">
        <f ca="1" t="shared" si="20"/>
        <v>0</v>
      </c>
      <c r="N34" s="252">
        <f ca="1" t="shared" si="13"/>
        <v>0</v>
      </c>
      <c r="O34" s="197"/>
      <c r="P34" s="198">
        <f ca="1" t="shared" si="14"/>
        <v>0</v>
      </c>
      <c r="Q34" s="198">
        <f ca="1" t="shared" si="16"/>
        <v>0</v>
      </c>
      <c r="R34" s="276">
        <f ca="1" t="shared" si="2"/>
        <v>0.02</v>
      </c>
      <c r="S34" s="277">
        <f t="shared" si="3"/>
        <v>0</v>
      </c>
      <c r="T34" s="277">
        <f t="shared" si="4"/>
        <v>0</v>
      </c>
      <c r="U34" s="278"/>
      <c r="V34" s="278"/>
      <c r="W34" s="278"/>
      <c r="X34" s="265">
        <f t="shared" si="21"/>
        <v>0.038</v>
      </c>
      <c r="Y34" s="265">
        <v>0.02</v>
      </c>
      <c r="Z34" s="275">
        <f t="shared" si="17"/>
        <v>9</v>
      </c>
      <c r="AA34" s="275">
        <f t="shared" si="5"/>
        <v>0</v>
      </c>
      <c r="AB34" s="275">
        <f t="shared" si="6"/>
        <v>0</v>
      </c>
      <c r="AC34" s="275">
        <f t="shared" si="7"/>
        <v>0</v>
      </c>
      <c r="AD34" s="275">
        <f t="shared" si="8"/>
        <v>0</v>
      </c>
      <c r="AE34" s="275">
        <f t="shared" si="15"/>
        <v>0</v>
      </c>
      <c r="AF34" s="278"/>
    </row>
    <row r="35" hidden="1" spans="2:32">
      <c r="B35" s="194">
        <f t="shared" si="19"/>
        <v>10</v>
      </c>
      <c r="C35" s="195"/>
      <c r="D35" s="196">
        <f ca="1">IF($B35&gt;$D$3,0,'Backward Cal (size discount) SC'!$K$61)</f>
        <v>0</v>
      </c>
      <c r="E35" s="197"/>
      <c r="F35" s="198"/>
      <c r="G35" s="198">
        <v>0</v>
      </c>
      <c r="H35" s="198">
        <f ca="1" t="shared" si="1"/>
        <v>0</v>
      </c>
      <c r="I35" s="250">
        <f ca="1" t="shared" si="9"/>
        <v>0</v>
      </c>
      <c r="J35" s="250">
        <f t="shared" si="10"/>
        <v>0</v>
      </c>
      <c r="K35" s="251">
        <f ca="1" t="shared" si="11"/>
        <v>0</v>
      </c>
      <c r="L35" s="250">
        <f ca="1" t="shared" si="12"/>
        <v>0</v>
      </c>
      <c r="M35" s="252">
        <f ca="1" t="shared" si="20"/>
        <v>0</v>
      </c>
      <c r="N35" s="252">
        <f ca="1" t="shared" si="13"/>
        <v>0</v>
      </c>
      <c r="O35" s="197"/>
      <c r="P35" s="198">
        <f ca="1" t="shared" si="14"/>
        <v>0</v>
      </c>
      <c r="Q35" s="198">
        <f ca="1" t="shared" si="16"/>
        <v>0</v>
      </c>
      <c r="R35" s="276">
        <f ca="1" t="shared" si="2"/>
        <v>0.02</v>
      </c>
      <c r="S35" s="277">
        <f t="shared" si="3"/>
        <v>0</v>
      </c>
      <c r="T35" s="277">
        <f t="shared" si="4"/>
        <v>0</v>
      </c>
      <c r="U35" s="278"/>
      <c r="V35" s="278"/>
      <c r="W35" s="278"/>
      <c r="X35" s="265">
        <f t="shared" si="21"/>
        <v>0.038</v>
      </c>
      <c r="Y35" s="265">
        <v>0.02</v>
      </c>
      <c r="Z35" s="275">
        <f t="shared" si="17"/>
        <v>10</v>
      </c>
      <c r="AA35" s="275">
        <f t="shared" si="5"/>
        <v>0</v>
      </c>
      <c r="AB35" s="275">
        <f t="shared" si="6"/>
        <v>0</v>
      </c>
      <c r="AC35" s="275">
        <f t="shared" si="7"/>
        <v>0</v>
      </c>
      <c r="AD35" s="275">
        <f t="shared" si="8"/>
        <v>0</v>
      </c>
      <c r="AE35" s="275">
        <f t="shared" si="15"/>
        <v>0</v>
      </c>
      <c r="AF35" s="278"/>
    </row>
    <row r="36" hidden="1" spans="2:32">
      <c r="B36" s="194">
        <f t="shared" si="19"/>
        <v>11</v>
      </c>
      <c r="C36" s="195"/>
      <c r="D36" s="196">
        <f ca="1">IF($B36&gt;$D$3,0,'Backward Cal (size discount) SC'!$K$61)</f>
        <v>0</v>
      </c>
      <c r="E36" s="197"/>
      <c r="F36" s="198"/>
      <c r="G36" s="198">
        <v>0</v>
      </c>
      <c r="H36" s="198">
        <f ca="1" t="shared" si="1"/>
        <v>0</v>
      </c>
      <c r="I36" s="250">
        <f ca="1" t="shared" si="9"/>
        <v>0</v>
      </c>
      <c r="J36" s="250">
        <f t="shared" si="10"/>
        <v>0</v>
      </c>
      <c r="K36" s="251">
        <f ca="1" t="shared" si="11"/>
        <v>0</v>
      </c>
      <c r="L36" s="250">
        <f ca="1" t="shared" si="12"/>
        <v>0</v>
      </c>
      <c r="M36" s="252">
        <f ca="1" t="shared" si="20"/>
        <v>0</v>
      </c>
      <c r="N36" s="252">
        <f ca="1" t="shared" si="13"/>
        <v>0</v>
      </c>
      <c r="O36" s="197"/>
      <c r="P36" s="198">
        <f ca="1" t="shared" si="14"/>
        <v>0</v>
      </c>
      <c r="Q36" s="198">
        <f ca="1" t="shared" si="16"/>
        <v>0</v>
      </c>
      <c r="R36" s="276">
        <f ca="1" t="shared" si="2"/>
        <v>0.02</v>
      </c>
      <c r="S36" s="277">
        <f t="shared" si="3"/>
        <v>0</v>
      </c>
      <c r="T36" s="277">
        <f t="shared" si="4"/>
        <v>0</v>
      </c>
      <c r="U36" s="278"/>
      <c r="V36" s="278"/>
      <c r="W36" s="278"/>
      <c r="X36" s="265">
        <f t="shared" si="21"/>
        <v>0.038</v>
      </c>
      <c r="Y36" s="265">
        <v>0.02</v>
      </c>
      <c r="Z36" s="275">
        <f t="shared" si="17"/>
        <v>11</v>
      </c>
      <c r="AA36" s="275">
        <f t="shared" si="5"/>
        <v>0</v>
      </c>
      <c r="AB36" s="275">
        <f t="shared" si="6"/>
        <v>0</v>
      </c>
      <c r="AC36" s="275">
        <f t="shared" si="7"/>
        <v>0</v>
      </c>
      <c r="AD36" s="275">
        <f t="shared" si="8"/>
        <v>0</v>
      </c>
      <c r="AE36" s="275">
        <f t="shared" si="15"/>
        <v>0</v>
      </c>
      <c r="AF36" s="278"/>
    </row>
    <row r="37" hidden="1" spans="2:32">
      <c r="B37" s="200">
        <f t="shared" si="19"/>
        <v>12</v>
      </c>
      <c r="C37" s="195"/>
      <c r="D37" s="201">
        <f ca="1">IF($B37&gt;$D$3,0,'Backward Cal (size discount) SC'!$K$61)</f>
        <v>0</v>
      </c>
      <c r="E37" s="202"/>
      <c r="F37" s="203"/>
      <c r="G37" s="203">
        <v>0</v>
      </c>
      <c r="H37" s="203">
        <f ca="1" t="shared" si="1"/>
        <v>0</v>
      </c>
      <c r="I37" s="254">
        <f ca="1" t="shared" si="9"/>
        <v>0</v>
      </c>
      <c r="J37" s="254">
        <f t="shared" si="10"/>
        <v>0</v>
      </c>
      <c r="K37" s="255">
        <f ca="1" t="shared" si="11"/>
        <v>0</v>
      </c>
      <c r="L37" s="254">
        <f ca="1" t="shared" si="12"/>
        <v>0</v>
      </c>
      <c r="M37" s="256">
        <f ca="1" t="shared" si="20"/>
        <v>0</v>
      </c>
      <c r="N37" s="256">
        <f ca="1" t="shared" si="13"/>
        <v>0</v>
      </c>
      <c r="O37" s="202"/>
      <c r="P37" s="203">
        <f ca="1" t="shared" si="14"/>
        <v>0</v>
      </c>
      <c r="Q37" s="198">
        <f ca="1" t="shared" si="16"/>
        <v>0</v>
      </c>
      <c r="R37" s="276">
        <f ca="1" t="shared" si="2"/>
        <v>0.02</v>
      </c>
      <c r="S37" s="277">
        <f t="shared" si="3"/>
        <v>0</v>
      </c>
      <c r="T37" s="277">
        <f t="shared" si="4"/>
        <v>0</v>
      </c>
      <c r="U37" s="278"/>
      <c r="V37" s="278"/>
      <c r="W37" s="278"/>
      <c r="X37" s="265">
        <f t="shared" si="21"/>
        <v>0.038</v>
      </c>
      <c r="Y37" s="265">
        <v>0.02</v>
      </c>
      <c r="Z37" s="275">
        <f t="shared" si="17"/>
        <v>12</v>
      </c>
      <c r="AA37" s="275">
        <f t="shared" si="5"/>
        <v>0</v>
      </c>
      <c r="AB37" s="275">
        <f t="shared" si="6"/>
        <v>0</v>
      </c>
      <c r="AC37" s="275">
        <f t="shared" si="7"/>
        <v>0</v>
      </c>
      <c r="AD37" s="275">
        <f t="shared" si="8"/>
        <v>0</v>
      </c>
      <c r="AE37" s="275">
        <f t="shared" si="15"/>
        <v>0</v>
      </c>
      <c r="AF37" s="278"/>
    </row>
    <row r="38" ht="16.5" hidden="1" spans="2:32">
      <c r="B38" s="204" t="s">
        <v>244</v>
      </c>
      <c r="C38" s="205" t="s">
        <v>171</v>
      </c>
      <c r="D38" s="206">
        <f ca="1">SUM(D26:D37)</f>
        <v>390</v>
      </c>
      <c r="E38" s="207" t="s">
        <v>172</v>
      </c>
      <c r="F38" s="208">
        <f ca="1" t="shared" ref="F38:K38" si="22">SUM(F26:F37)</f>
        <v>0.4</v>
      </c>
      <c r="G38" s="208">
        <f ca="1" t="shared" si="22"/>
        <v>0</v>
      </c>
      <c r="H38" s="208">
        <f ca="1" t="shared" si="22"/>
        <v>13.58</v>
      </c>
      <c r="I38" s="257">
        <f ca="1" t="shared" si="22"/>
        <v>297.002838496595</v>
      </c>
      <c r="J38" s="257">
        <f ca="1" t="shared" si="22"/>
        <v>0.304618295893943</v>
      </c>
      <c r="K38" s="258">
        <f ca="1" t="shared" si="22"/>
        <v>12.5458208854401</v>
      </c>
      <c r="L38" s="257"/>
      <c r="M38" s="259">
        <f ca="1">SUM(M26:M37)</f>
        <v>78.08</v>
      </c>
      <c r="N38" s="259">
        <f ca="1">SUM(N26:N37)</f>
        <v>284.77</v>
      </c>
      <c r="O38" s="260" t="s">
        <v>173</v>
      </c>
      <c r="P38" s="208">
        <f ca="1">SUM(P26:P37)</f>
        <v>362.85</v>
      </c>
      <c r="Q38" s="208"/>
      <c r="R38" s="259"/>
      <c r="S38" s="277">
        <f>SUM(S26:S37)</f>
        <v>1</v>
      </c>
      <c r="T38" s="277">
        <f>SUM(T26:T37)</f>
        <v>4.807728699</v>
      </c>
      <c r="U38" s="278">
        <f ca="1">SUM(U26:U30)</f>
        <v>0.304618295893943</v>
      </c>
      <c r="V38" s="278"/>
      <c r="W38" s="278"/>
      <c r="AA38" s="275">
        <f>SUM(AA26:AA37)</f>
        <v>4.64706993520713</v>
      </c>
      <c r="AB38" s="275">
        <f>SUM(AB26:AB37)</f>
        <v>4.80772869867429</v>
      </c>
      <c r="AF38" s="278"/>
    </row>
    <row r="39" hidden="1" spans="2:17">
      <c r="B39" s="209"/>
      <c r="C39" s="209"/>
      <c r="D39" s="209"/>
      <c r="E39" s="209"/>
      <c r="F39" s="209"/>
      <c r="G39" s="209"/>
      <c r="H39" s="209"/>
      <c r="I39" s="209"/>
      <c r="J39" s="209"/>
      <c r="K39" s="209"/>
      <c r="L39" s="209"/>
      <c r="M39" s="209"/>
      <c r="N39" s="209"/>
      <c r="O39" s="209"/>
      <c r="P39" s="209"/>
      <c r="Q39" s="209"/>
    </row>
    <row r="40" ht="16.5" hidden="1" spans="2:20">
      <c r="B40" s="210" t="str">
        <f ca="1">"基本保费可节省"&amp;"[(a)+(b)-(c)]: "&amp;$D$7&amp;" "&amp;TEXT(D38+F38-P38,IF(D38+F38-P38&gt;1000,"0,000.00","0.00"))&amp;"(占"&amp;D3&amp;"年应缴总保费及保费征费之"&amp;TEXT((D38+F38-P38)/(D38+F38),"0.00%")&amp;")"</f>
        <v>基本保费可节省[(a)+(b)-(c)]: 港币 27.55(占5年应缴总保费及保费征费之7.06%)</v>
      </c>
      <c r="C40" s="210"/>
      <c r="D40" s="210"/>
      <c r="E40" s="210"/>
      <c r="F40" s="210"/>
      <c r="G40" s="210"/>
      <c r="H40" s="210"/>
      <c r="I40" s="210"/>
      <c r="J40" s="210"/>
      <c r="K40" s="210"/>
      <c r="L40" s="210"/>
      <c r="M40" s="210"/>
      <c r="N40" s="210"/>
      <c r="O40" s="210"/>
      <c r="P40" s="210"/>
      <c r="Q40" s="210"/>
      <c r="R40" s="210"/>
      <c r="S40" s="143" t="s">
        <v>174</v>
      </c>
      <c r="T40" s="280">
        <f ca="1">ROUND(D38+F38-P38-G38-H38,2)</f>
        <v>13.97</v>
      </c>
    </row>
    <row r="41" hidden="1" spans="19:20">
      <c r="S41" s="143" t="s">
        <v>175</v>
      </c>
      <c r="T41" s="280">
        <f ca="1">H38</f>
        <v>13.58</v>
      </c>
    </row>
    <row r="42" ht="16.5" hidden="1" spans="2:12">
      <c r="B42" s="211" t="s">
        <v>245</v>
      </c>
      <c r="C42" s="211"/>
      <c r="D42" s="211"/>
      <c r="E42" s="211"/>
      <c r="F42" s="211"/>
      <c r="G42" s="211"/>
      <c r="H42" s="211"/>
      <c r="I42" s="211"/>
      <c r="J42" s="211"/>
      <c r="K42" s="211"/>
      <c r="L42" s="211"/>
    </row>
    <row r="43" ht="16.5" hidden="1" spans="2:17">
      <c r="B43" s="212" t="s">
        <v>246</v>
      </c>
      <c r="C43" s="212"/>
      <c r="D43" s="212"/>
      <c r="E43" s="212"/>
      <c r="F43" s="212"/>
      <c r="G43" s="212"/>
      <c r="H43" s="212"/>
      <c r="I43" s="212"/>
      <c r="J43" s="212"/>
      <c r="K43" s="212"/>
      <c r="L43" s="212"/>
      <c r="M43" s="212"/>
      <c r="N43" s="212"/>
      <c r="O43" s="212"/>
      <c r="P43" s="212"/>
      <c r="Q43" s="212"/>
    </row>
    <row r="44" ht="19.5" hidden="1" spans="2:2">
      <c r="B44" s="360" t="s">
        <v>247</v>
      </c>
    </row>
    <row r="45" ht="16.5" hidden="1" spans="2:19">
      <c r="B45" s="214" t="s">
        <v>248</v>
      </c>
      <c r="S45" s="281" t="s">
        <v>179</v>
      </c>
    </row>
    <row r="46" hidden="1" customHeight="1" spans="2:19">
      <c r="B46" s="215" t="s">
        <v>249</v>
      </c>
      <c r="C46" s="215"/>
      <c r="D46" s="215"/>
      <c r="E46" s="215"/>
      <c r="F46" s="215"/>
      <c r="G46" s="215"/>
      <c r="H46" s="215"/>
      <c r="I46" s="215"/>
      <c r="J46" s="215"/>
      <c r="K46" s="215"/>
      <c r="L46" s="215"/>
      <c r="M46" s="215"/>
      <c r="N46" s="215"/>
      <c r="O46" s="215"/>
      <c r="P46" s="215"/>
      <c r="Q46" s="215"/>
      <c r="R46" s="215"/>
      <c r="S46" s="282" t="str">
        <f ca="1">"相等于"&amp;$D$7&amp;TEXT($P$13,IF($P$13&gt;1000,"0,000.00","0.00"))&amp;"的首年保费回赠金额"</f>
        <v>相等于港币0.00的首年保费回赠金额</v>
      </c>
    </row>
    <row r="47" hidden="1" spans="2:19">
      <c r="B47" s="215"/>
      <c r="C47" s="215"/>
      <c r="D47" s="215"/>
      <c r="E47" s="215"/>
      <c r="F47" s="215"/>
      <c r="G47" s="215"/>
      <c r="H47" s="215"/>
      <c r="I47" s="215"/>
      <c r="J47" s="215"/>
      <c r="K47" s="215"/>
      <c r="L47" s="215"/>
      <c r="M47" s="215"/>
      <c r="N47" s="215"/>
      <c r="O47" s="215"/>
      <c r="P47" s="215"/>
      <c r="Q47" s="215"/>
      <c r="R47" s="215"/>
      <c r="S47" s="282" t="str">
        <f ca="1">"相等于"&amp;$D$7&amp;TEXT($T$40,IF($T$40&gt;1000,"0,000.00","0.00"))&amp;"、"&amp;"在整个保费缴付期以基本年利率2厘计算的预缴保费基本利息"</f>
        <v>相等于港币13.97、在整个保费缴付期以基本年利率2厘计算的预缴保费基本利息</v>
      </c>
    </row>
    <row r="48" ht="15.6" hidden="1" customHeight="1" spans="2:19">
      <c r="B48" s="215" t="s">
        <v>250</v>
      </c>
      <c r="C48" s="215"/>
      <c r="D48" s="215"/>
      <c r="E48" s="215"/>
      <c r="F48" s="215"/>
      <c r="G48" s="215"/>
      <c r="H48" s="215"/>
      <c r="I48" s="215"/>
      <c r="J48" s="215"/>
      <c r="K48" s="215"/>
      <c r="L48" s="215"/>
      <c r="M48" s="215"/>
      <c r="N48" s="215"/>
      <c r="O48" s="215"/>
      <c r="P48" s="215"/>
      <c r="Q48" s="215"/>
      <c r="R48" s="215"/>
      <c r="S48" s="282" t="str">
        <f ca="1">"相等于"&amp;$D$7&amp;TEXT($T$41,IF($T$41&gt;1000,"0,000.00","0.00"))&amp;"，"&amp;S50&amp;"计算的预缴保费额外特高利息"</f>
        <v>相等于港币13.58，在整个保费缴付期以额外特高年利率1.8厘计算的预缴保费额外特高利息</v>
      </c>
    </row>
    <row r="49" ht="15.6" hidden="1" customHeight="1" spans="2:19">
      <c r="B49" s="215" t="s">
        <v>251</v>
      </c>
      <c r="C49" s="215"/>
      <c r="D49" s="215"/>
      <c r="E49" s="215"/>
      <c r="F49" s="215"/>
      <c r="G49" s="215"/>
      <c r="H49" s="215"/>
      <c r="I49" s="215"/>
      <c r="J49" s="215"/>
      <c r="K49" s="215"/>
      <c r="L49" s="215"/>
      <c r="M49" s="215"/>
      <c r="N49" s="215"/>
      <c r="O49" s="215"/>
      <c r="P49" s="215"/>
      <c r="Q49" s="215"/>
      <c r="R49" s="215"/>
      <c r="S49" s="282" t="str">
        <f ca="1">" 客戶需于"&amp;Date!$G$3&amp;"至"&amp;Date!$G$4&amp;"递交"&amp;B17&amp;"的申请， 并于"&amp;Date!$G$5&amp;"或之前获批核， 方可享有此"&amp;IF(AND($P$8="Y",$P$13&gt;0),"等","")&amp;"优惠。"</f>
        <v> 客戶需于2025年5月31日至6月30日递交「匠心 • 传承」储蓄寿险计划 2（尊尚版）的申请， 并于2025年7月31日或之前获批核， 方可享有此优惠。</v>
      </c>
    </row>
    <row r="50" ht="54" hidden="1" customHeight="1" spans="2:19">
      <c r="B50" s="216" t="str">
        <f ca="1">"4)上列首年缴交款项总额已反映"&amp;IF(AND($P$8="N",$P$13=0),$S$47&amp;".",IF(AND($P$8="Y",$P$13&gt;0),"（i）"&amp;$S$46&amp;"，（ii）"&amp;$S$47&amp;"，及（iii）"&amp;$S$48,IF(AND($P$8="Y",$P$13=0),"（i） "&amp;$S$47&amp;"及（ii） "&amp;$S$48,IF(AND($P$8="N",$P$13&gt;0),"（i） "&amp;$S$46&amp;"及（ii）"&amp;$S$47,"")))&amp;"。"&amp;IF($P$13&gt;0,"首年保费回赠金额及","")&amp;"预缴保费利息将用作缴交往后保费。"&amp;$S$49)</f>
        <v>4)上列首年缴交款项总额已反映（i） 相等于港币13.97、在整个保费缴付期以基本年利率2厘计算的预缴保费基本利息及（ii） 相等于港币13.58，在整个保费缴付期以额外特高年利率1.8厘计算的预缴保费额外特高利息。预缴保费利息将用作缴交往后保费。 客戶需于2025年5月31日至6月30日递交「匠心 • 传承」储蓄寿险计划 2（尊尚版）的申请， 并于2025年7月31日或之前获批核， 方可享有此优惠。</v>
      </c>
      <c r="C50" s="216"/>
      <c r="D50" s="216"/>
      <c r="E50" s="216"/>
      <c r="F50" s="216"/>
      <c r="G50" s="216"/>
      <c r="H50" s="216"/>
      <c r="I50" s="216"/>
      <c r="J50" s="216"/>
      <c r="K50" s="216"/>
      <c r="L50" s="216"/>
      <c r="M50" s="216"/>
      <c r="N50" s="216"/>
      <c r="O50" s="216"/>
      <c r="P50" s="216"/>
      <c r="Q50" s="216"/>
      <c r="R50" s="216"/>
      <c r="S50" s="143" t="str">
        <f>"在整个保费缴付期以额外特高年利率"&amp;(P9*100-2)&amp;"厘"</f>
        <v>在整个保费缴付期以额外特高年利率1.8厘</v>
      </c>
    </row>
    <row r="51" ht="18.75" hidden="1" customHeight="1" spans="2:19">
      <c r="B51" s="215" t="str">
        <f>"5) 在原定"&amp;D3&amp;"年的保费缴付年期内，年缴保费 (包含保费征费) 将从保费储存户口内扣除，否则您须于保单周年日缴付应缴保费 (包括保费征费)。"</f>
        <v>5) 在原定5年的保费缴付年期内，年缴保费 (包含保费征费) 将从保费储存户口内扣除，否则您须于保单周年日缴付应缴保费 (包括保费征费)。</v>
      </c>
      <c r="C51" s="215"/>
      <c r="D51" s="215"/>
      <c r="E51" s="215"/>
      <c r="F51" s="215"/>
      <c r="G51" s="215"/>
      <c r="H51" s="215"/>
      <c r="I51" s="215"/>
      <c r="J51" s="215"/>
      <c r="K51" s="215"/>
      <c r="L51" s="215"/>
      <c r="M51" s="215"/>
      <c r="N51" s="215"/>
      <c r="O51" s="215"/>
      <c r="P51" s="215"/>
      <c r="Q51" s="215"/>
      <c r="R51" s="215"/>
      <c r="S51" s="143" t="s">
        <v>252</v>
      </c>
    </row>
    <row r="52" ht="48" hidden="1" customHeight="1" spans="2:19">
      <c r="B52" s="216" t="str">
        <f>IF(P8="N","6) 积存在保费储存户口的金额将可获派利息。现时年利率为2%，惟此利率并非保证，本公司保留更改有关利率之权力，毋須事先通知。","6)以"&amp;TEXT(P9,"0.0%")&amp;"的年利率(「预缴保费保证利率优惠年利率」)积存在保费储存户口的金额将可获派利息。预缴保费保证利率优惠年利率为"&amp;TEXT((P9-2%),"0.0%")&amp;"额外年利率（「额外年利率」） 及基本预缴保费年利率（现时年利率为2%，惟此利率并非保证）。如非保证之基本预缴保费年利率有增加或减少，额外年利率会作相应调整以确保此优惠之年利率达至保证"&amp;TEXT(P9,"0.0%")&amp;"。")</f>
        <v>6)以3.8%的年利率(「预缴保费保证利率优惠年利率」)积存在保费储存户口的金额将可获派利息。预缴保费保证利率优惠年利率为1.8%额外年利率（「额外年利率」） 及基本预缴保费年利率（现时年利率为2%，惟此利率并非保证）。如非保证之基本预缴保费年利率有增加或减少，额外年利率会作相应调整以确保此优惠之年利率达至保证3.8%。</v>
      </c>
      <c r="C52" s="216"/>
      <c r="D52" s="216"/>
      <c r="E52" s="216"/>
      <c r="F52" s="216"/>
      <c r="G52" s="216"/>
      <c r="H52" s="216"/>
      <c r="I52" s="216"/>
      <c r="J52" s="216"/>
      <c r="K52" s="216"/>
      <c r="L52" s="216"/>
      <c r="M52" s="216"/>
      <c r="N52" s="216"/>
      <c r="O52" s="216"/>
      <c r="P52" s="216"/>
      <c r="Q52" s="216"/>
      <c r="R52" s="216"/>
      <c r="S52" s="143" t="s">
        <v>253</v>
      </c>
    </row>
    <row r="53" ht="15.6" hidden="1" customHeight="1" spans="2:19">
      <c r="B53" s="215" t="str">
        <f>IF($P$8="N",S55,S54)</f>
        <v>7)预缴保费保证利率优惠之利息将根据应缴保费于保单缮发日至最后一期的保费缴付到期日的每年于扣除年缴保费和保单征费并加上累积的利息后计算，额外年利率之利息总额将于最后一期的保费缴付到期日前自动存入保费储存户口以缴付该年度应缴的保费（包括保单征费）。而基本预缴保费年利率之利息，会于相关保单周年日自动存入保费储存户口。</v>
      </c>
      <c r="C53" s="215"/>
      <c r="D53" s="215"/>
      <c r="E53" s="215"/>
      <c r="F53" s="215"/>
      <c r="G53" s="215"/>
      <c r="H53" s="215"/>
      <c r="I53" s="215"/>
      <c r="J53" s="215"/>
      <c r="K53" s="215"/>
      <c r="L53" s="215"/>
      <c r="M53" s="215"/>
      <c r="N53" s="215"/>
      <c r="O53" s="215"/>
      <c r="P53" s="215"/>
      <c r="Q53" s="215"/>
      <c r="R53" s="215"/>
      <c r="S53" s="143" t="s">
        <v>254</v>
      </c>
    </row>
    <row r="54" ht="33.6" hidden="1" customHeight="1" spans="2:19">
      <c r="B54" s="215"/>
      <c r="C54" s="215"/>
      <c r="D54" s="215"/>
      <c r="E54" s="215"/>
      <c r="F54" s="215"/>
      <c r="G54" s="215"/>
      <c r="H54" s="215"/>
      <c r="I54" s="215"/>
      <c r="J54" s="215"/>
      <c r="K54" s="215"/>
      <c r="L54" s="215"/>
      <c r="M54" s="215"/>
      <c r="N54" s="215"/>
      <c r="O54" s="215"/>
      <c r="P54" s="215"/>
      <c r="Q54" s="215"/>
      <c r="R54" s="215"/>
      <c r="S54" s="162" t="s">
        <v>255</v>
      </c>
    </row>
    <row r="55" ht="18.75" hidden="1" customHeight="1" spans="2:19">
      <c r="B55" s="215" t="str">
        <f>IF($D$3=2,8,8)&amp;") 请注意，在保单期满或保单终止前，阁下可全数提取保费储存户口内之金额，但我们将会收回任何已派发的利息。我们对任何保费储存户口的提取要求保留最终决定权。"</f>
        <v>8) 请注意，在保单期满或保单终止前，阁下可全数提取保费储存户口内之金额，但我们将会收回任何已派发的利息。我们对任何保费储存户口的提取要求保留最终决定权。</v>
      </c>
      <c r="C55" s="215"/>
      <c r="D55" s="215"/>
      <c r="E55" s="215"/>
      <c r="F55" s="215"/>
      <c r="G55" s="215"/>
      <c r="H55" s="215"/>
      <c r="I55" s="215"/>
      <c r="J55" s="215"/>
      <c r="K55" s="215"/>
      <c r="L55" s="215"/>
      <c r="M55" s="215"/>
      <c r="N55" s="215"/>
      <c r="O55" s="215"/>
      <c r="P55" s="215"/>
      <c r="Q55" s="215"/>
      <c r="R55" s="215"/>
      <c r="S55" s="143" t="s">
        <v>256</v>
      </c>
    </row>
    <row r="56" ht="21" hidden="1" customHeight="1" spans="2:18">
      <c r="B56" s="215" t="str">
        <f>IF($D$3=2,9,9)&amp;") 于保单终止或期满时，如保费储存户口内有任何余额，将会退还予阁下。"</f>
        <v>9) 于保单终止或期满时，如保费储存户口内有任何余额，将会退还予阁下。</v>
      </c>
      <c r="C56" s="215"/>
      <c r="D56" s="215"/>
      <c r="E56" s="215"/>
      <c r="F56" s="215"/>
      <c r="G56" s="215"/>
      <c r="H56" s="215"/>
      <c r="I56" s="215"/>
      <c r="J56" s="215"/>
      <c r="K56" s="215"/>
      <c r="L56" s="215"/>
      <c r="M56" s="215"/>
      <c r="N56" s="215"/>
      <c r="O56" s="215"/>
      <c r="P56" s="215"/>
      <c r="Q56" s="215"/>
      <c r="R56" s="215"/>
    </row>
    <row r="57" ht="20.25" hidden="1" customHeight="1" spans="2:18">
      <c r="B57" s="215" t="str">
        <f>IF($D$3=2,10,10)&amp;") 如受保人身故，保费储存户口内之金额将成为保单持有人之财产／遗产，故不会成为付予受益人的给付金额之一部份。"</f>
        <v>10) 如受保人身故，保费储存户口内之金额将成为保单持有人之财产／遗产，故不会成为付予受益人的给付金额之一部份。</v>
      </c>
      <c r="C57" s="215"/>
      <c r="D57" s="215"/>
      <c r="E57" s="215"/>
      <c r="F57" s="215"/>
      <c r="G57" s="215"/>
      <c r="H57" s="215"/>
      <c r="I57" s="215"/>
      <c r="J57" s="215"/>
      <c r="K57" s="215"/>
      <c r="L57" s="215"/>
      <c r="M57" s="215"/>
      <c r="N57" s="215"/>
      <c r="O57" s="215"/>
      <c r="P57" s="215"/>
      <c r="Q57" s="215"/>
      <c r="R57" s="215"/>
    </row>
    <row r="58" ht="24.75" hidden="1" customHeight="1" spans="2:18">
      <c r="B58" s="215" t="str">
        <f>IF($D$3=2,11,11)&amp;") 本公司保留不接受存款到保费储存户口之权利。"</f>
        <v>11) 本公司保留不接受存款到保费储存户口之权利。</v>
      </c>
      <c r="C58" s="215"/>
      <c r="D58" s="215"/>
      <c r="E58" s="215"/>
      <c r="F58" s="215"/>
      <c r="G58" s="215"/>
      <c r="H58" s="215"/>
      <c r="I58" s="215"/>
      <c r="J58" s="215"/>
      <c r="K58" s="215"/>
      <c r="L58" s="215"/>
      <c r="M58" s="215"/>
      <c r="N58" s="215"/>
      <c r="O58" s="215"/>
      <c r="P58" s="215"/>
      <c r="Q58" s="215"/>
      <c r="R58" s="215"/>
    </row>
    <row r="59" hidden="1"/>
    <row r="60" ht="15.6" hidden="1" customHeight="1" spans="2:18">
      <c r="B60" s="217" t="s">
        <v>257</v>
      </c>
      <c r="C60" s="217"/>
      <c r="D60" s="217"/>
      <c r="E60" s="217"/>
      <c r="F60" s="217"/>
      <c r="G60" s="217"/>
      <c r="H60" s="217"/>
      <c r="I60" s="217"/>
      <c r="J60" s="217"/>
      <c r="K60" s="217"/>
      <c r="L60" s="217"/>
      <c r="M60" s="217"/>
      <c r="N60" s="217"/>
      <c r="O60" s="217"/>
      <c r="P60" s="217"/>
      <c r="Q60" s="217"/>
      <c r="R60" s="217"/>
    </row>
    <row r="61" hidden="1" spans="2:18">
      <c r="B61" s="217"/>
      <c r="C61" s="217"/>
      <c r="D61" s="217"/>
      <c r="E61" s="217"/>
      <c r="F61" s="217"/>
      <c r="G61" s="217"/>
      <c r="H61" s="217"/>
      <c r="I61" s="217"/>
      <c r="J61" s="217"/>
      <c r="K61" s="217"/>
      <c r="L61" s="217"/>
      <c r="M61" s="217"/>
      <c r="N61" s="217"/>
      <c r="O61" s="217"/>
      <c r="P61" s="217"/>
      <c r="Q61" s="217"/>
      <c r="R61" s="217"/>
    </row>
    <row r="62" hidden="1" spans="2:18">
      <c r="B62" s="217"/>
      <c r="C62" s="217"/>
      <c r="D62" s="217"/>
      <c r="E62" s="217"/>
      <c r="F62" s="217"/>
      <c r="G62" s="217"/>
      <c r="H62" s="217"/>
      <c r="I62" s="217"/>
      <c r="J62" s="217"/>
      <c r="K62" s="217"/>
      <c r="L62" s="217"/>
      <c r="M62" s="217"/>
      <c r="N62" s="217"/>
      <c r="O62" s="217"/>
      <c r="P62" s="217"/>
      <c r="Q62" s="217"/>
      <c r="R62" s="217"/>
    </row>
    <row r="63" ht="19.5" hidden="1" customHeight="1" spans="2:18">
      <c r="B63" s="217"/>
      <c r="C63" s="217"/>
      <c r="D63" s="217"/>
      <c r="E63" s="217"/>
      <c r="F63" s="217"/>
      <c r="G63" s="217"/>
      <c r="H63" s="217"/>
      <c r="I63" s="217"/>
      <c r="J63" s="217"/>
      <c r="K63" s="217"/>
      <c r="L63" s="217"/>
      <c r="M63" s="217"/>
      <c r="N63" s="217"/>
      <c r="O63" s="217"/>
      <c r="P63" s="217"/>
      <c r="Q63" s="217"/>
      <c r="R63" s="217"/>
    </row>
    <row r="64" ht="19.5" hidden="1" customHeight="1" spans="2:17">
      <c r="B64" s="218"/>
      <c r="C64" s="218"/>
      <c r="D64" s="218"/>
      <c r="E64" s="218"/>
      <c r="F64" s="218"/>
      <c r="G64" s="218"/>
      <c r="H64" s="218"/>
      <c r="I64" s="218"/>
      <c r="J64" s="218"/>
      <c r="K64" s="218"/>
      <c r="L64" s="218"/>
      <c r="M64" s="218"/>
      <c r="N64" s="218"/>
      <c r="O64" s="218"/>
      <c r="P64" s="218"/>
      <c r="Q64" s="218"/>
    </row>
    <row r="65" hidden="1" spans="5:10">
      <c r="E65" s="218"/>
      <c r="F65" s="218"/>
      <c r="H65" s="218"/>
      <c r="I65" s="218"/>
      <c r="J65" s="218"/>
    </row>
    <row r="66" ht="16.5" hidden="1" spans="2:18">
      <c r="B66" s="143" t="s">
        <v>258</v>
      </c>
      <c r="C66" s="301"/>
      <c r="D66" s="302"/>
      <c r="E66" s="302"/>
      <c r="F66" s="302"/>
      <c r="G66" s="302"/>
      <c r="H66" s="302"/>
      <c r="I66" s="302"/>
      <c r="J66" s="302"/>
      <c r="K66" s="302"/>
      <c r="N66" s="143" t="s">
        <v>228</v>
      </c>
      <c r="O66" s="304"/>
      <c r="P66" s="304"/>
      <c r="Q66" s="304"/>
      <c r="R66" s="304"/>
    </row>
    <row r="67" hidden="1"/>
    <row r="68" hidden="1"/>
    <row r="69" ht="16.5" hidden="1" spans="2:18">
      <c r="B69" s="143" t="s">
        <v>259</v>
      </c>
      <c r="C69" s="301"/>
      <c r="D69" s="301"/>
      <c r="E69" s="301"/>
      <c r="F69" s="301"/>
      <c r="G69" s="301"/>
      <c r="H69" s="301"/>
      <c r="I69" s="301"/>
      <c r="J69" s="301"/>
      <c r="K69" s="301"/>
      <c r="N69" s="143" t="s">
        <v>260</v>
      </c>
      <c r="O69" s="301"/>
      <c r="P69" s="301"/>
      <c r="Q69" s="301"/>
      <c r="R69" s="301"/>
    </row>
    <row r="70" hidden="1" spans="8:10">
      <c r="H70" s="303"/>
      <c r="I70" s="303"/>
      <c r="J70" s="303"/>
    </row>
    <row r="71" hidden="1" spans="2:2">
      <c r="B71" s="143" t="str" cm="1">
        <f t="array" ref="B71">"MW2I"&amp;_xlfn.SWITCH($D$7,"美元","U(A/T)","港币","H(A)","人民币","C(A)")</f>
        <v>MW2IH(A)</v>
      </c>
    </row>
    <row r="72" hidden="1" spans="5:10">
      <c r="E72" s="218"/>
      <c r="F72" s="218"/>
      <c r="H72" s="218"/>
      <c r="I72" s="218"/>
      <c r="J72" s="218"/>
    </row>
    <row r="73" hidden="1"/>
    <row r="74" hidden="1"/>
    <row r="75" hidden="1"/>
    <row r="76" hidden="1"/>
    <row r="77" hidden="1" spans="8:10">
      <c r="H77" s="303"/>
      <c r="I77" s="303"/>
      <c r="J77" s="303"/>
    </row>
  </sheetData>
  <sheetProtection algorithmName="SHA-512" hashValue="YSVhHT1/Pd2KZ1amb7jSjnBvbxJ0HVOUFBti+7WG6T0TflBc4hfBZ/sGqUbGqTA3zO9zA2I2GRK09XJGvGDbMw==" saltValue="bRpTN5s3609JteuzcLSPPw==" spinCount="100000" sheet="1" selectLockedCells="1" objects="1" scenarios="1"/>
  <mergeCells count="34">
    <mergeCell ref="F5:P5"/>
    <mergeCell ref="B20:R20"/>
    <mergeCell ref="S22:T22"/>
    <mergeCell ref="C23:D23"/>
    <mergeCell ref="O23:P23"/>
    <mergeCell ref="C24:D24"/>
    <mergeCell ref="E24:F24"/>
    <mergeCell ref="O24:P24"/>
    <mergeCell ref="B40:R40"/>
    <mergeCell ref="B43:P43"/>
    <mergeCell ref="B48:R48"/>
    <mergeCell ref="B49:R49"/>
    <mergeCell ref="B50:R50"/>
    <mergeCell ref="B51:R51"/>
    <mergeCell ref="B52:R52"/>
    <mergeCell ref="B55:R55"/>
    <mergeCell ref="B56:R56"/>
    <mergeCell ref="B57:R57"/>
    <mergeCell ref="B58:R58"/>
    <mergeCell ref="B23:B24"/>
    <mergeCell ref="S23:S24"/>
    <mergeCell ref="T23:T24"/>
    <mergeCell ref="U23:U24"/>
    <mergeCell ref="X23:X24"/>
    <mergeCell ref="Y23:Y24"/>
    <mergeCell ref="Z23:Z24"/>
    <mergeCell ref="AA23:AA24"/>
    <mergeCell ref="AB23:AB24"/>
    <mergeCell ref="AC23:AC24"/>
    <mergeCell ref="AD23:AD24"/>
    <mergeCell ref="AE23:AE24"/>
    <mergeCell ref="B46:R47"/>
    <mergeCell ref="B60:R63"/>
    <mergeCell ref="B53:R54"/>
  </mergeCells>
  <conditionalFormatting sqref="E12">
    <cfRule type="expression" dxfId="2" priority="4">
      <formula>English!$D$3=5</formula>
    </cfRule>
  </conditionalFormatting>
  <conditionalFormatting sqref="D12 B12">
    <cfRule type="expression" dxfId="0" priority="5">
      <formula>$D$3=5</formula>
    </cfRule>
  </conditionalFormatting>
  <conditionalFormatting sqref="M12:Q12 Q13">
    <cfRule type="expression" dxfId="1" priority="1">
      <formula>$D$3=2</formula>
    </cfRule>
  </conditionalFormatting>
  <dataValidations count="4">
    <dataValidation type="list" allowBlank="1" showInputMessage="1" showErrorMessage="1" sqref="D3">
      <formula1>"2,5"</formula1>
    </dataValidation>
    <dataValidation type="list" allowBlank="1" showInputMessage="1" showErrorMessage="1" sqref="B4">
      <formula1>$S$2:$S$3</formula1>
    </dataValidation>
    <dataValidation type="list" allowBlank="1" showInputMessage="1" showErrorMessage="1" sqref="D7">
      <formula1>$AD$7:$AD$9</formula1>
    </dataValidation>
    <dataValidation type="list" allowBlank="1" showInputMessage="1" showErrorMessage="1" sqref="P11:Q11">
      <formula1>$S$8:$S$9</formula1>
    </dataValidation>
  </dataValidations>
  <pageMargins left="0.748031496062992" right="0.748031496062992" top="0.984251968503937" bottom="0.984251968503937" header="0.511811023622047" footer="0.511811023622047"/>
  <pageSetup paperSize="9" fitToHeight="0"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name="Button 1" r:id="rId3">
              <controlPr print="0" defaultSize="0">
                <anchor moveWithCells="1" sizeWithCells="1">
                  <from>
                    <xdr:col>5</xdr:col>
                    <xdr:colOff>19050</xdr:colOff>
                    <xdr:row>0</xdr:row>
                    <xdr:rowOff>133350</xdr:rowOff>
                  </from>
                  <to>
                    <xdr:col>15</xdr:col>
                    <xdr:colOff>361950</xdr:colOff>
                    <xdr:row>3</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G32"/>
  <sheetViews>
    <sheetView workbookViewId="0">
      <selection activeCell="A1" sqref="A1"/>
    </sheetView>
  </sheetViews>
  <sheetFormatPr defaultColWidth="9" defaultRowHeight="15.75" outlineLevelCol="6"/>
  <cols>
    <col min="2" max="2" width="17.125" customWidth="1"/>
    <col min="3" max="3" width="13.625" customWidth="1"/>
    <col min="4" max="6" width="16.75" customWidth="1"/>
    <col min="7" max="7" width="18.125" customWidth="1"/>
  </cols>
  <sheetData>
    <row r="2" spans="2:2">
      <c r="B2" s="21" t="s">
        <v>108</v>
      </c>
    </row>
    <row r="3" spans="2:3">
      <c r="B3" t="s">
        <v>81</v>
      </c>
      <c r="C3" s="117">
        <f>English!D3</f>
        <v>2</v>
      </c>
    </row>
    <row r="4" spans="2:3">
      <c r="B4" t="s">
        <v>73</v>
      </c>
      <c r="C4" s="118">
        <f ca="1">'Backward Cal (size discount) EN'!K61</f>
        <v>637003.29</v>
      </c>
    </row>
    <row r="5" spans="2:3">
      <c r="B5" t="s">
        <v>118</v>
      </c>
      <c r="C5" s="118" t="s">
        <v>97</v>
      </c>
    </row>
    <row r="6" spans="3:3">
      <c r="C6" s="117"/>
    </row>
    <row r="7" spans="2:3">
      <c r="B7" s="21" t="s">
        <v>122</v>
      </c>
      <c r="C7" s="117"/>
    </row>
    <row r="8" spans="2:3">
      <c r="B8" t="s">
        <v>125</v>
      </c>
      <c r="C8" s="117">
        <f>English!D10</f>
        <v>1</v>
      </c>
    </row>
    <row r="9" spans="2:5">
      <c r="B9" t="s">
        <v>261</v>
      </c>
      <c r="C9" s="119">
        <v>0.02</v>
      </c>
      <c r="E9" s="112"/>
    </row>
    <row r="11" spans="2:3">
      <c r="B11" t="s">
        <v>129</v>
      </c>
      <c r="C11" s="120">
        <f ca="1">ROUNDUP(C4*(1-(1+C9)^(C8-C3))/((1+C9)^C8-1),2)</f>
        <v>624513.03</v>
      </c>
    </row>
    <row r="14" spans="2:7">
      <c r="B14" s="121" t="str">
        <f>$C$3&amp;" years payment"</f>
        <v>2 years payment</v>
      </c>
      <c r="C14" s="122"/>
      <c r="D14" s="123" t="str">
        <f>"Pay Up the Policy in "&amp;C8&amp;" year"&amp;IF(C8=1,"","s")</f>
        <v>Pay Up the Policy in 1 year</v>
      </c>
      <c r="E14" s="124"/>
      <c r="F14" s="124"/>
      <c r="G14" s="122"/>
    </row>
    <row r="15" ht="47.25" spans="2:7">
      <c r="B15" s="125" t="s">
        <v>262</v>
      </c>
      <c r="C15" s="126" t="s">
        <v>136</v>
      </c>
      <c r="D15" s="125" t="s">
        <v>136</v>
      </c>
      <c r="E15" s="125" t="s">
        <v>263</v>
      </c>
      <c r="F15" s="125" t="s">
        <v>264</v>
      </c>
      <c r="G15" s="125" t="s">
        <v>265</v>
      </c>
    </row>
    <row r="16" spans="2:7">
      <c r="B16" s="127"/>
      <c r="C16" s="128" t="str">
        <f>"("&amp;$C$5&amp;")"</f>
        <v>(HKD)</v>
      </c>
      <c r="D16" s="128" t="str">
        <f>"("&amp;$C$5&amp;")"</f>
        <v>(HKD)</v>
      </c>
      <c r="E16" s="128" t="str">
        <f>"("&amp;$C$5&amp;")"</f>
        <v>(HKD)</v>
      </c>
      <c r="F16" s="128" t="str">
        <f>"("&amp;$C$5&amp;")"</f>
        <v>(HKD)</v>
      </c>
      <c r="G16" s="127" t="str">
        <f>"("&amp;$C$5&amp;")"</f>
        <v>(HKD)</v>
      </c>
    </row>
    <row r="17" spans="2:7">
      <c r="B17" s="129"/>
      <c r="C17" s="130"/>
      <c r="D17" s="130"/>
      <c r="E17" s="130"/>
      <c r="F17" s="130"/>
      <c r="G17" s="129"/>
    </row>
    <row r="18" spans="2:7">
      <c r="B18" s="131">
        <v>1</v>
      </c>
      <c r="C18" s="132">
        <f ca="1">IF($B18&gt;$C$3,0,$C$4)</f>
        <v>637003.29</v>
      </c>
      <c r="D18" s="133">
        <f ca="1">C18</f>
        <v>637003.29</v>
      </c>
      <c r="E18" s="133">
        <f ca="1">$C$11</f>
        <v>624513.03</v>
      </c>
      <c r="F18" s="133">
        <f ca="1">D18+E18</f>
        <v>1261516.32</v>
      </c>
      <c r="G18" s="133">
        <f ca="1" t="shared" ref="G18:G29" si="0">ROUND((G17+E18-(C18-D18))*(1+C$9),2)</f>
        <v>637003.29</v>
      </c>
    </row>
    <row r="19" spans="2:7">
      <c r="B19" s="131">
        <f>B18+1</f>
        <v>2</v>
      </c>
      <c r="C19" s="132">
        <f ca="1" t="shared" ref="C19:C29" si="1">IF($B19&gt;$C$3,0,$C$4)</f>
        <v>637003.29</v>
      </c>
      <c r="D19" s="133">
        <f ca="1">IF($B19&gt;$C$8,0,C19)</f>
        <v>0</v>
      </c>
      <c r="E19" s="133">
        <f ca="1">IF($B19&gt;$C$8,0,$C$11)</f>
        <v>0</v>
      </c>
      <c r="F19" s="133">
        <f ca="1">IF($B19&gt;$C$8,0,D19+E19)</f>
        <v>0</v>
      </c>
      <c r="G19" s="133">
        <f ca="1" t="shared" si="0"/>
        <v>0</v>
      </c>
    </row>
    <row r="20" spans="2:7">
      <c r="B20" s="131">
        <f>B19+1</f>
        <v>3</v>
      </c>
      <c r="C20" s="132">
        <f ca="1" t="shared" si="1"/>
        <v>0</v>
      </c>
      <c r="D20" s="133">
        <f ca="1" t="shared" ref="D20:D29" si="2">IF($B20&gt;$C$8,0,C20)</f>
        <v>0</v>
      </c>
      <c r="E20" s="133">
        <f ca="1" t="shared" ref="E20:E29" si="3">IF($B20&gt;$C$8,0,$C$11)</f>
        <v>0</v>
      </c>
      <c r="F20" s="133">
        <f ca="1" t="shared" ref="F20:F29" si="4">IF($B20&gt;$C$8,0,D20+E20)</f>
        <v>0</v>
      </c>
      <c r="G20" s="133">
        <f ca="1" t="shared" si="0"/>
        <v>0</v>
      </c>
    </row>
    <row r="21" spans="2:7">
      <c r="B21" s="131">
        <f>B20+1</f>
        <v>4</v>
      </c>
      <c r="C21" s="132">
        <f ca="1" t="shared" si="1"/>
        <v>0</v>
      </c>
      <c r="D21" s="133">
        <f ca="1" t="shared" si="2"/>
        <v>0</v>
      </c>
      <c r="E21" s="133">
        <f ca="1" t="shared" si="3"/>
        <v>0</v>
      </c>
      <c r="F21" s="133">
        <f ca="1" t="shared" si="4"/>
        <v>0</v>
      </c>
      <c r="G21" s="133">
        <f ca="1" t="shared" si="0"/>
        <v>0</v>
      </c>
    </row>
    <row r="22" spans="2:7">
      <c r="B22" s="131">
        <f t="shared" ref="B22:B29" si="5">B21+1</f>
        <v>5</v>
      </c>
      <c r="C22" s="132">
        <f ca="1" t="shared" si="1"/>
        <v>0</v>
      </c>
      <c r="D22" s="133">
        <f ca="1" t="shared" si="2"/>
        <v>0</v>
      </c>
      <c r="E22" s="133">
        <f ca="1" t="shared" si="3"/>
        <v>0</v>
      </c>
      <c r="F22" s="133">
        <f ca="1" t="shared" si="4"/>
        <v>0</v>
      </c>
      <c r="G22" s="133">
        <f ca="1" t="shared" si="0"/>
        <v>0</v>
      </c>
    </row>
    <row r="23" spans="2:7">
      <c r="B23" s="131">
        <f t="shared" si="5"/>
        <v>6</v>
      </c>
      <c r="C23" s="132">
        <f ca="1" t="shared" si="1"/>
        <v>0</v>
      </c>
      <c r="D23" s="133">
        <f ca="1" t="shared" si="2"/>
        <v>0</v>
      </c>
      <c r="E23" s="133">
        <f ca="1" t="shared" si="3"/>
        <v>0</v>
      </c>
      <c r="F23" s="133">
        <f ca="1" t="shared" si="4"/>
        <v>0</v>
      </c>
      <c r="G23" s="133">
        <f ca="1" t="shared" si="0"/>
        <v>0</v>
      </c>
    </row>
    <row r="24" spans="2:7">
      <c r="B24" s="131">
        <f t="shared" si="5"/>
        <v>7</v>
      </c>
      <c r="C24" s="132">
        <f ca="1" t="shared" si="1"/>
        <v>0</v>
      </c>
      <c r="D24" s="133">
        <f ca="1" t="shared" si="2"/>
        <v>0</v>
      </c>
      <c r="E24" s="133">
        <f ca="1" t="shared" si="3"/>
        <v>0</v>
      </c>
      <c r="F24" s="133">
        <f ca="1" t="shared" si="4"/>
        <v>0</v>
      </c>
      <c r="G24" s="133">
        <f ca="1" t="shared" si="0"/>
        <v>0</v>
      </c>
    </row>
    <row r="25" spans="2:7">
      <c r="B25" s="131">
        <f t="shared" si="5"/>
        <v>8</v>
      </c>
      <c r="C25" s="132">
        <f ca="1" t="shared" si="1"/>
        <v>0</v>
      </c>
      <c r="D25" s="133">
        <f ca="1" t="shared" si="2"/>
        <v>0</v>
      </c>
      <c r="E25" s="133">
        <f ca="1" t="shared" si="3"/>
        <v>0</v>
      </c>
      <c r="F25" s="133">
        <f ca="1" t="shared" si="4"/>
        <v>0</v>
      </c>
      <c r="G25" s="133">
        <f ca="1" t="shared" si="0"/>
        <v>0</v>
      </c>
    </row>
    <row r="26" spans="2:7">
      <c r="B26" s="131">
        <f t="shared" si="5"/>
        <v>9</v>
      </c>
      <c r="C26" s="132">
        <f ca="1" t="shared" si="1"/>
        <v>0</v>
      </c>
      <c r="D26" s="133">
        <f ca="1" t="shared" si="2"/>
        <v>0</v>
      </c>
      <c r="E26" s="133">
        <f ca="1" t="shared" si="3"/>
        <v>0</v>
      </c>
      <c r="F26" s="133">
        <f ca="1" t="shared" si="4"/>
        <v>0</v>
      </c>
      <c r="G26" s="133">
        <f ca="1" t="shared" si="0"/>
        <v>0</v>
      </c>
    </row>
    <row r="27" spans="2:7">
      <c r="B27" s="131">
        <f t="shared" si="5"/>
        <v>10</v>
      </c>
      <c r="C27" s="132">
        <f ca="1" t="shared" si="1"/>
        <v>0</v>
      </c>
      <c r="D27" s="133">
        <f ca="1" t="shared" si="2"/>
        <v>0</v>
      </c>
      <c r="E27" s="133">
        <f ca="1" t="shared" si="3"/>
        <v>0</v>
      </c>
      <c r="F27" s="133">
        <f ca="1" t="shared" si="4"/>
        <v>0</v>
      </c>
      <c r="G27" s="133">
        <f ca="1" t="shared" si="0"/>
        <v>0</v>
      </c>
    </row>
    <row r="28" spans="2:7">
      <c r="B28" s="131">
        <f t="shared" si="5"/>
        <v>11</v>
      </c>
      <c r="C28" s="132">
        <f ca="1" t="shared" si="1"/>
        <v>0</v>
      </c>
      <c r="D28" s="133">
        <f ca="1" t="shared" si="2"/>
        <v>0</v>
      </c>
      <c r="E28" s="133">
        <f ca="1" t="shared" si="3"/>
        <v>0</v>
      </c>
      <c r="F28" s="133">
        <f ca="1" t="shared" si="4"/>
        <v>0</v>
      </c>
      <c r="G28" s="133">
        <f ca="1" t="shared" si="0"/>
        <v>0</v>
      </c>
    </row>
    <row r="29" spans="2:7">
      <c r="B29" s="134">
        <f t="shared" si="5"/>
        <v>12</v>
      </c>
      <c r="C29" s="135">
        <f ca="1" t="shared" si="1"/>
        <v>0</v>
      </c>
      <c r="D29" s="136">
        <f ca="1" t="shared" si="2"/>
        <v>0</v>
      </c>
      <c r="E29" s="136">
        <f ca="1" t="shared" si="3"/>
        <v>0</v>
      </c>
      <c r="F29" s="136">
        <f ca="1" t="shared" si="4"/>
        <v>0</v>
      </c>
      <c r="G29" s="136">
        <f ca="1" t="shared" si="0"/>
        <v>0</v>
      </c>
    </row>
    <row r="30" spans="2:7">
      <c r="B30" s="137" t="s">
        <v>170</v>
      </c>
      <c r="C30" s="138">
        <f ca="1">SUM(C18:C29)</f>
        <v>1274006.58</v>
      </c>
      <c r="D30" s="139">
        <f ca="1">SUM(D18:D29)</f>
        <v>637003.29</v>
      </c>
      <c r="E30" s="139">
        <f ca="1">SUM(E18:E29)</f>
        <v>624513.03</v>
      </c>
      <c r="F30" s="139">
        <f ca="1">SUM(F18:F29)</f>
        <v>1261516.32</v>
      </c>
      <c r="G30" s="139"/>
    </row>
    <row r="31" spans="2:7">
      <c r="B31" s="140"/>
      <c r="C31" s="140"/>
      <c r="D31" s="140"/>
      <c r="E31" s="140"/>
      <c r="F31" s="140"/>
      <c r="G31" s="140"/>
    </row>
    <row r="32" spans="2:7">
      <c r="B32" s="140"/>
      <c r="C32" s="140"/>
      <c r="D32" s="141" t="s">
        <v>266</v>
      </c>
      <c r="E32" s="142">
        <f ca="1">C30-F30</f>
        <v>12490.26</v>
      </c>
      <c r="F32" s="140"/>
      <c r="G32" s="140"/>
    </row>
  </sheetData>
  <sheetProtection algorithmName="SHA-512" hashValue="xtw3+46xRitLdwPDmpDXaqZHrGygRDUp7wCIfaNXH1qh7YR+ZPfCk4kPWYfWekT3lNLXE0lf+S5rNbV/2ZlgvA==" saltValue="1ZRxKoCb7Ue2tF20QumCRw==" spinCount="100000" sheet="1" objects="1" scenarios="1"/>
  <pageMargins left="0.75" right="0.75" top="1" bottom="1" header="0.5" footer="0.5"/>
  <pageSetup paperSize="9"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2:G32"/>
  <sheetViews>
    <sheetView workbookViewId="0">
      <selection activeCell="A1" sqref="A1"/>
    </sheetView>
  </sheetViews>
  <sheetFormatPr defaultColWidth="9" defaultRowHeight="15.75" outlineLevelCol="6"/>
  <cols>
    <col min="2" max="2" width="17.125" customWidth="1"/>
    <col min="3" max="3" width="13.625" customWidth="1"/>
    <col min="4" max="6" width="16.75" customWidth="1"/>
    <col min="7" max="7" width="18.125" customWidth="1"/>
  </cols>
  <sheetData>
    <row r="2" spans="2:2">
      <c r="B2" s="21" t="s">
        <v>108</v>
      </c>
    </row>
    <row r="3" spans="2:3">
      <c r="B3" t="s">
        <v>81</v>
      </c>
      <c r="C3" s="117">
        <f>'Trad Chinese'!D3</f>
        <v>5</v>
      </c>
    </row>
    <row r="4" spans="2:3">
      <c r="B4" t="s">
        <v>73</v>
      </c>
      <c r="C4" s="118">
        <f ca="1">'Backward Cal (size discount) TC'!K61</f>
        <v>561244</v>
      </c>
    </row>
    <row r="5" spans="2:3">
      <c r="B5" t="s">
        <v>118</v>
      </c>
      <c r="C5" s="118" t="s">
        <v>97</v>
      </c>
    </row>
    <row r="6" spans="3:3">
      <c r="C6" s="117"/>
    </row>
    <row r="7" spans="2:3">
      <c r="B7" s="21" t="s">
        <v>122</v>
      </c>
      <c r="C7" s="117"/>
    </row>
    <row r="8" spans="2:3">
      <c r="B8" t="s">
        <v>125</v>
      </c>
      <c r="C8" s="117">
        <f>'Trad Chinese'!D10</f>
        <v>1</v>
      </c>
    </row>
    <row r="9" spans="2:5">
      <c r="B9" t="s">
        <v>261</v>
      </c>
      <c r="C9" s="119">
        <v>0.02</v>
      </c>
      <c r="E9" s="112"/>
    </row>
    <row r="11" spans="2:3">
      <c r="B11" t="s">
        <v>129</v>
      </c>
      <c r="C11" s="120">
        <f ca="1">ROUNDUP(C4*(1-(1+C9)^(C8-C3))/((1+C9)^C8-1),2)</f>
        <v>2137064.89</v>
      </c>
    </row>
    <row r="14" spans="2:7">
      <c r="B14" s="121" t="str">
        <f>$C$3&amp;" years payment"</f>
        <v>5 years payment</v>
      </c>
      <c r="C14" s="122"/>
      <c r="D14" s="123" t="str">
        <f>"Pay Up the Policy in "&amp;C8&amp;" year"&amp;IF(C8=1,"","s")</f>
        <v>Pay Up the Policy in 1 year</v>
      </c>
      <c r="E14" s="124"/>
      <c r="F14" s="124"/>
      <c r="G14" s="122"/>
    </row>
    <row r="15" ht="47.25" spans="2:7">
      <c r="B15" s="125" t="s">
        <v>262</v>
      </c>
      <c r="C15" s="126" t="s">
        <v>136</v>
      </c>
      <c r="D15" s="125" t="s">
        <v>136</v>
      </c>
      <c r="E15" s="125" t="s">
        <v>263</v>
      </c>
      <c r="F15" s="125" t="s">
        <v>264</v>
      </c>
      <c r="G15" s="125" t="s">
        <v>265</v>
      </c>
    </row>
    <row r="16" spans="2:7">
      <c r="B16" s="127"/>
      <c r="C16" s="128" t="str">
        <f>"("&amp;$C$5&amp;")"</f>
        <v>(HKD)</v>
      </c>
      <c r="D16" s="128" t="str">
        <f>"("&amp;$C$5&amp;")"</f>
        <v>(HKD)</v>
      </c>
      <c r="E16" s="128" t="str">
        <f>"("&amp;$C$5&amp;")"</f>
        <v>(HKD)</v>
      </c>
      <c r="F16" s="128" t="str">
        <f>"("&amp;$C$5&amp;")"</f>
        <v>(HKD)</v>
      </c>
      <c r="G16" s="127" t="str">
        <f>"("&amp;$C$5&amp;")"</f>
        <v>(HKD)</v>
      </c>
    </row>
    <row r="17" spans="2:7">
      <c r="B17" s="129"/>
      <c r="C17" s="130"/>
      <c r="D17" s="130"/>
      <c r="E17" s="130"/>
      <c r="F17" s="130"/>
      <c r="G17" s="129"/>
    </row>
    <row r="18" spans="2:7">
      <c r="B18" s="131">
        <v>1</v>
      </c>
      <c r="C18" s="132">
        <f ca="1">IF($B18&gt;$C$3,0,$C$4)</f>
        <v>561244</v>
      </c>
      <c r="D18" s="133">
        <f ca="1">C18</f>
        <v>561244</v>
      </c>
      <c r="E18" s="133">
        <f ca="1">$C$11</f>
        <v>2137064.89</v>
      </c>
      <c r="F18" s="133">
        <f ca="1">D18+E18</f>
        <v>2698308.89</v>
      </c>
      <c r="G18" s="133">
        <f ca="1" t="shared" ref="G18:G29" si="0">ROUND((G17+E18-(C18-D18))*(1+C$9),2)</f>
        <v>2179806.19</v>
      </c>
    </row>
    <row r="19" spans="2:7">
      <c r="B19" s="131">
        <f>B18+1</f>
        <v>2</v>
      </c>
      <c r="C19" s="132">
        <f ca="1" t="shared" ref="C19:C29" si="1">IF($B19&gt;$C$3,0,$C$4)</f>
        <v>561244</v>
      </c>
      <c r="D19" s="133">
        <f ca="1">IF($B19&gt;$C$8,0,C19)</f>
        <v>0</v>
      </c>
      <c r="E19" s="133">
        <f ca="1">IF($B19&gt;$C$8,0,$C$11)</f>
        <v>0</v>
      </c>
      <c r="F19" s="133">
        <f ca="1">IF($B19&gt;$C$8,0,D19+E19)</f>
        <v>0</v>
      </c>
      <c r="G19" s="133">
        <f ca="1" t="shared" si="0"/>
        <v>1650933.43</v>
      </c>
    </row>
    <row r="20" spans="2:7">
      <c r="B20" s="131">
        <f>B19+1</f>
        <v>3</v>
      </c>
      <c r="C20" s="132">
        <f ca="1" t="shared" si="1"/>
        <v>561244</v>
      </c>
      <c r="D20" s="133">
        <f ca="1" t="shared" ref="D20:D29" si="2">IF($B20&gt;$C$8,0,C20)</f>
        <v>0</v>
      </c>
      <c r="E20" s="133">
        <f ca="1" t="shared" ref="E20:E29" si="3">IF($B20&gt;$C$8,0,$C$11)</f>
        <v>0</v>
      </c>
      <c r="F20" s="133">
        <f ca="1" t="shared" ref="F20:F29" si="4">IF($B20&gt;$C$8,0,D20+E20)</f>
        <v>0</v>
      </c>
      <c r="G20" s="133">
        <f ca="1" t="shared" si="0"/>
        <v>1111483.22</v>
      </c>
    </row>
    <row r="21" spans="2:7">
      <c r="B21" s="131">
        <f>B20+1</f>
        <v>4</v>
      </c>
      <c r="C21" s="132">
        <f ca="1" t="shared" si="1"/>
        <v>561244</v>
      </c>
      <c r="D21" s="133">
        <f ca="1" t="shared" si="2"/>
        <v>0</v>
      </c>
      <c r="E21" s="133">
        <f ca="1" t="shared" si="3"/>
        <v>0</v>
      </c>
      <c r="F21" s="133">
        <f ca="1" t="shared" si="4"/>
        <v>0</v>
      </c>
      <c r="G21" s="133">
        <f ca="1" t="shared" si="0"/>
        <v>561244</v>
      </c>
    </row>
    <row r="22" spans="2:7">
      <c r="B22" s="131">
        <f t="shared" ref="B22:B29" si="5">B21+1</f>
        <v>5</v>
      </c>
      <c r="C22" s="132">
        <f ca="1" t="shared" si="1"/>
        <v>561244</v>
      </c>
      <c r="D22" s="133">
        <f ca="1" t="shared" si="2"/>
        <v>0</v>
      </c>
      <c r="E22" s="133">
        <f ca="1" t="shared" si="3"/>
        <v>0</v>
      </c>
      <c r="F22" s="133">
        <f ca="1" t="shared" si="4"/>
        <v>0</v>
      </c>
      <c r="G22" s="133">
        <f ca="1" t="shared" si="0"/>
        <v>0</v>
      </c>
    </row>
    <row r="23" spans="2:7">
      <c r="B23" s="131">
        <f t="shared" si="5"/>
        <v>6</v>
      </c>
      <c r="C23" s="132">
        <f ca="1" t="shared" si="1"/>
        <v>0</v>
      </c>
      <c r="D23" s="133">
        <f ca="1" t="shared" si="2"/>
        <v>0</v>
      </c>
      <c r="E23" s="133">
        <f ca="1" t="shared" si="3"/>
        <v>0</v>
      </c>
      <c r="F23" s="133">
        <f ca="1" t="shared" si="4"/>
        <v>0</v>
      </c>
      <c r="G23" s="133">
        <f ca="1" t="shared" si="0"/>
        <v>0</v>
      </c>
    </row>
    <row r="24" spans="2:7">
      <c r="B24" s="131">
        <f t="shared" si="5"/>
        <v>7</v>
      </c>
      <c r="C24" s="132">
        <f ca="1" t="shared" si="1"/>
        <v>0</v>
      </c>
      <c r="D24" s="133">
        <f ca="1" t="shared" si="2"/>
        <v>0</v>
      </c>
      <c r="E24" s="133">
        <f ca="1" t="shared" si="3"/>
        <v>0</v>
      </c>
      <c r="F24" s="133">
        <f ca="1" t="shared" si="4"/>
        <v>0</v>
      </c>
      <c r="G24" s="133">
        <f ca="1" t="shared" si="0"/>
        <v>0</v>
      </c>
    </row>
    <row r="25" spans="2:7">
      <c r="B25" s="131">
        <f t="shared" si="5"/>
        <v>8</v>
      </c>
      <c r="C25" s="132">
        <f ca="1" t="shared" si="1"/>
        <v>0</v>
      </c>
      <c r="D25" s="133">
        <f ca="1" t="shared" si="2"/>
        <v>0</v>
      </c>
      <c r="E25" s="133">
        <f ca="1" t="shared" si="3"/>
        <v>0</v>
      </c>
      <c r="F25" s="133">
        <f ca="1" t="shared" si="4"/>
        <v>0</v>
      </c>
      <c r="G25" s="133">
        <f ca="1" t="shared" si="0"/>
        <v>0</v>
      </c>
    </row>
    <row r="26" spans="2:7">
      <c r="B26" s="131">
        <f t="shared" si="5"/>
        <v>9</v>
      </c>
      <c r="C26" s="132">
        <f ca="1" t="shared" si="1"/>
        <v>0</v>
      </c>
      <c r="D26" s="133">
        <f ca="1" t="shared" si="2"/>
        <v>0</v>
      </c>
      <c r="E26" s="133">
        <f ca="1" t="shared" si="3"/>
        <v>0</v>
      </c>
      <c r="F26" s="133">
        <f ca="1" t="shared" si="4"/>
        <v>0</v>
      </c>
      <c r="G26" s="133">
        <f ca="1" t="shared" si="0"/>
        <v>0</v>
      </c>
    </row>
    <row r="27" spans="2:7">
      <c r="B27" s="131">
        <f t="shared" si="5"/>
        <v>10</v>
      </c>
      <c r="C27" s="132">
        <f ca="1" t="shared" si="1"/>
        <v>0</v>
      </c>
      <c r="D27" s="133">
        <f ca="1" t="shared" si="2"/>
        <v>0</v>
      </c>
      <c r="E27" s="133">
        <f ca="1" t="shared" si="3"/>
        <v>0</v>
      </c>
      <c r="F27" s="133">
        <f ca="1" t="shared" si="4"/>
        <v>0</v>
      </c>
      <c r="G27" s="133">
        <f ca="1" t="shared" si="0"/>
        <v>0</v>
      </c>
    </row>
    <row r="28" spans="2:7">
      <c r="B28" s="131">
        <f t="shared" si="5"/>
        <v>11</v>
      </c>
      <c r="C28" s="132">
        <f ca="1" t="shared" si="1"/>
        <v>0</v>
      </c>
      <c r="D28" s="133">
        <f ca="1" t="shared" si="2"/>
        <v>0</v>
      </c>
      <c r="E28" s="133">
        <f ca="1" t="shared" si="3"/>
        <v>0</v>
      </c>
      <c r="F28" s="133">
        <f ca="1" t="shared" si="4"/>
        <v>0</v>
      </c>
      <c r="G28" s="133">
        <f ca="1" t="shared" si="0"/>
        <v>0</v>
      </c>
    </row>
    <row r="29" spans="2:7">
      <c r="B29" s="134">
        <f t="shared" si="5"/>
        <v>12</v>
      </c>
      <c r="C29" s="135">
        <f ca="1" t="shared" si="1"/>
        <v>0</v>
      </c>
      <c r="D29" s="136">
        <f ca="1" t="shared" si="2"/>
        <v>0</v>
      </c>
      <c r="E29" s="136">
        <f ca="1" t="shared" si="3"/>
        <v>0</v>
      </c>
      <c r="F29" s="136">
        <f ca="1" t="shared" si="4"/>
        <v>0</v>
      </c>
      <c r="G29" s="136">
        <f ca="1" t="shared" si="0"/>
        <v>0</v>
      </c>
    </row>
    <row r="30" spans="2:7">
      <c r="B30" s="137" t="s">
        <v>170</v>
      </c>
      <c r="C30" s="138">
        <f ca="1">SUM(C18:C29)</f>
        <v>2806220</v>
      </c>
      <c r="D30" s="139">
        <f ca="1">SUM(D18:D29)</f>
        <v>561244</v>
      </c>
      <c r="E30" s="139">
        <f ca="1">SUM(E18:E29)</f>
        <v>2137064.89</v>
      </c>
      <c r="F30" s="139">
        <f ca="1">SUM(F18:F29)</f>
        <v>2698308.89</v>
      </c>
      <c r="G30" s="139"/>
    </row>
    <row r="31" spans="2:7">
      <c r="B31" s="140"/>
      <c r="C31" s="140"/>
      <c r="D31" s="140"/>
      <c r="E31" s="140"/>
      <c r="F31" s="140"/>
      <c r="G31" s="140"/>
    </row>
    <row r="32" spans="2:7">
      <c r="B32" s="140"/>
      <c r="C32" s="140"/>
      <c r="D32" s="141" t="s">
        <v>266</v>
      </c>
      <c r="E32" s="142">
        <f ca="1">C30-F30</f>
        <v>107911.11</v>
      </c>
      <c r="F32" s="140"/>
      <c r="G32" s="140"/>
    </row>
  </sheetData>
  <sheetProtection algorithmName="SHA-512" hashValue="06Dz3vWm8HlMwGM7HHXfba0wGQDi+8ZY/Udh1/mquO0XpyojDnTVWTPMtNgwIwjsVzRzVML1yzqNx55vQ7O7gQ==" saltValue="25io3urOoUYYMULHa1udLA==" spinCount="100000" sheet="1" objects="1" scenarios="1"/>
  <pageMargins left="0.75" right="0.75" top="1" bottom="1" header="0.5" footer="0.5"/>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AB63"/>
  <sheetViews>
    <sheetView workbookViewId="0">
      <selection activeCell="A1" sqref="A1"/>
    </sheetView>
  </sheetViews>
  <sheetFormatPr defaultColWidth="9" defaultRowHeight="15.75"/>
  <cols>
    <col min="1" max="1" width="18.625" customWidth="1"/>
    <col min="2" max="2" width="20.125" customWidth="1"/>
    <col min="4" max="4" width="16.125" customWidth="1"/>
    <col min="5" max="5" width="15" customWidth="1"/>
    <col min="7" max="7" width="15.25" customWidth="1"/>
    <col min="8" max="8" width="14.125" customWidth="1"/>
    <col min="10" max="10" width="14" customWidth="1"/>
    <col min="11" max="11" width="15.125" customWidth="1"/>
    <col min="12" max="12" width="15.25" customWidth="1"/>
    <col min="13" max="13" width="11.25" customWidth="1"/>
    <col min="14" max="14" width="10.625" customWidth="1"/>
    <col min="15" max="15" width="15.625" customWidth="1"/>
    <col min="16" max="16" width="9.5" customWidth="1"/>
    <col min="17" max="21" width="12.25" customWidth="1"/>
    <col min="23" max="23" width="24.125" customWidth="1"/>
    <col min="24" max="24" width="15.625" customWidth="1"/>
    <col min="25" max="25" width="14.125" customWidth="1"/>
    <col min="26" max="26" width="21.625" customWidth="1"/>
    <col min="27" max="27" width="14.625" customWidth="1"/>
    <col min="28" max="28" width="13.75" customWidth="1"/>
    <col min="30" max="32" width="13.625" customWidth="1"/>
    <col min="33" max="35" width="14.75" customWidth="1"/>
    <col min="37" max="39" width="13.625" customWidth="1"/>
    <col min="40" max="42" width="14.75" customWidth="1"/>
    <col min="44" max="46" width="13.625" customWidth="1"/>
    <col min="47" max="49" width="14.75" customWidth="1"/>
  </cols>
  <sheetData>
    <row r="1" spans="2:16">
      <c r="B1" s="53" t="s">
        <v>267</v>
      </c>
      <c r="C1" s="54"/>
      <c r="D1" s="54"/>
      <c r="E1" s="55"/>
      <c r="I1">
        <v>3</v>
      </c>
      <c r="J1">
        <v>4</v>
      </c>
      <c r="K1">
        <v>5</v>
      </c>
      <c r="L1">
        <v>6</v>
      </c>
      <c r="P1" s="21" t="s">
        <v>268</v>
      </c>
    </row>
    <row r="2" ht="16.5" spans="2:28">
      <c r="B2" s="56" t="s">
        <v>269</v>
      </c>
      <c r="C2" s="57" t="s">
        <v>270</v>
      </c>
      <c r="D2" s="58" t="s">
        <v>271</v>
      </c>
      <c r="E2" s="59" t="s">
        <v>272</v>
      </c>
      <c r="F2" s="60"/>
      <c r="G2" s="60"/>
      <c r="H2" s="57" t="s">
        <v>269</v>
      </c>
      <c r="I2" s="57" t="s">
        <v>270</v>
      </c>
      <c r="J2" s="58" t="s">
        <v>271</v>
      </c>
      <c r="K2" s="57" t="s">
        <v>272</v>
      </c>
      <c r="L2" s="57" t="s">
        <v>273</v>
      </c>
      <c r="M2" s="57" t="s">
        <v>274</v>
      </c>
      <c r="N2" s="60"/>
      <c r="W2" s="101" t="str">
        <f>"Premium Mapping for 2-Pay"&amp;" "&amp;English!$D$7</f>
        <v>Premium Mapping for 2-Pay USD</v>
      </c>
      <c r="X2" s="102"/>
      <c r="Y2" s="102"/>
      <c r="Z2" s="101" t="str">
        <f>"Premium Mapping for 5-Pay"&amp;" "&amp;English!$D$7</f>
        <v>Premium Mapping for 5-Pay USD</v>
      </c>
      <c r="AA2" s="102"/>
      <c r="AB2" s="102"/>
    </row>
    <row r="3" spans="1:28">
      <c r="A3" t="str">
        <f>B3&amp;1</f>
        <v>NRRBRCU21</v>
      </c>
      <c r="B3" s="61" t="s">
        <v>275</v>
      </c>
      <c r="C3" s="54" t="s">
        <v>89</v>
      </c>
      <c r="D3" s="54">
        <v>0</v>
      </c>
      <c r="E3" s="55">
        <v>0</v>
      </c>
      <c r="G3" t="str">
        <f>H3&amp;1</f>
        <v>NRRBRCU21</v>
      </c>
      <c r="H3" t="str">
        <f>"NRRBRC"&amp;IF(English!$D$7="USD","U",IF(English!$D$7="HKD","H","C"))&amp;English!$D$3</f>
        <v>NRRBRCU2</v>
      </c>
      <c r="I3" t="str">
        <f>VLOOKUP($G3,$A$3:$E$50,I$1,0)</f>
        <v>USD</v>
      </c>
      <c r="J3">
        <f t="shared" ref="J3:K8" si="0">VLOOKUP($G3,$A$3:$E$112,J$1,0)</f>
        <v>0</v>
      </c>
      <c r="K3">
        <f t="shared" si="0"/>
        <v>0</v>
      </c>
      <c r="L3" s="69">
        <f>ROUNDDOWN((VLOOKUP($H3&amp;"M000",Premium!$A:$O,5,FALSE)-K3)*J3/1000,0)</f>
        <v>0</v>
      </c>
      <c r="M3" s="70">
        <f>L4</f>
        <v>7500</v>
      </c>
      <c r="P3" s="23" t="s">
        <v>73</v>
      </c>
      <c r="Q3" s="25" t="str">
        <f ca="1">Q25</f>
        <v>NRRBRCU2</v>
      </c>
      <c r="R3" s="25" t="str">
        <f ca="1">R25</f>
        <v>-</v>
      </c>
      <c r="S3" s="25" t="str">
        <f ca="1">S25</f>
        <v>NRRBRCU5</v>
      </c>
      <c r="T3" s="25" t="str">
        <f ca="1">T25</f>
        <v>-</v>
      </c>
      <c r="U3" s="26"/>
      <c r="W3" s="103" cm="1">
        <f ca="1" t="array" ref="W3:AB8">OFFSET('Multiple Ccy Mapping_EN'!K:Q,MATCH(English!D7,'Multiple Ccy Mapping_EN'!K:K,0),1,6,6)</f>
        <v>0</v>
      </c>
      <c r="X3" s="104">
        <v>0</v>
      </c>
      <c r="Y3" s="114">
        <v>0</v>
      </c>
      <c r="Z3" s="103">
        <v>0</v>
      </c>
      <c r="AA3" s="104">
        <v>0</v>
      </c>
      <c r="AB3" s="114">
        <v>0</v>
      </c>
    </row>
    <row r="4" spans="1:28">
      <c r="A4" t="str">
        <f>B4&amp;2</f>
        <v>NRRBRCU22</v>
      </c>
      <c r="B4" s="33" t="s">
        <v>275</v>
      </c>
      <c r="C4" s="62" t="s">
        <v>89</v>
      </c>
      <c r="D4" s="62">
        <v>16854</v>
      </c>
      <c r="E4" s="63">
        <v>5</v>
      </c>
      <c r="G4" t="str">
        <f>H4&amp;2</f>
        <v>NRRBRCU22</v>
      </c>
      <c r="H4" t="str">
        <f>"NRRBRC"&amp;IF(English!$D$7="USD","U",IF(English!$D$7="HKD","H","C"))&amp;English!$D$3</f>
        <v>NRRBRCU2</v>
      </c>
      <c r="I4" t="str">
        <f>VLOOKUP($G4,$A$3:$E$112,I$1,0)</f>
        <v>USD</v>
      </c>
      <c r="J4">
        <f t="shared" si="0"/>
        <v>16854</v>
      </c>
      <c r="K4">
        <f t="shared" si="0"/>
        <v>5</v>
      </c>
      <c r="L4" s="69">
        <f>ROUNDDOWN((VLOOKUP($H4&amp;"M000",Premium!$A:$O,5,FALSE)-K4)*J4/1000,0)</f>
        <v>7500</v>
      </c>
      <c r="M4" s="70">
        <f>L5</f>
        <v>12500</v>
      </c>
      <c r="P4" s="27">
        <f ca="1">P26</f>
        <v>0</v>
      </c>
      <c r="Q4" s="28">
        <f ca="1" t="shared" ref="Q4:Q11" si="1">Q26+Q43</f>
        <v>0</v>
      </c>
      <c r="R4" s="28"/>
      <c r="S4" s="28">
        <f ca="1" t="shared" ref="S4:S11" si="2">S26+S43</f>
        <v>0</v>
      </c>
      <c r="T4" s="28"/>
      <c r="U4" s="28"/>
      <c r="W4" s="105">
        <v>7499.71</v>
      </c>
      <c r="X4" s="106">
        <v>7500.03</v>
      </c>
      <c r="Y4" s="115">
        <v>7500.03</v>
      </c>
      <c r="Z4" s="105">
        <v>2999.89</v>
      </c>
      <c r="AA4" s="106">
        <v>3000.12</v>
      </c>
      <c r="AB4" s="115">
        <v>3000.11</v>
      </c>
    </row>
    <row r="5" spans="1:28">
      <c r="A5" t="str">
        <f>B5&amp;3</f>
        <v>NRRBRCU23</v>
      </c>
      <c r="B5" s="33" t="s">
        <v>275</v>
      </c>
      <c r="C5" s="62" t="s">
        <v>89</v>
      </c>
      <c r="D5" s="62">
        <v>28572</v>
      </c>
      <c r="E5" s="63">
        <v>12.5</v>
      </c>
      <c r="G5" t="str">
        <f>H5&amp;3</f>
        <v>NRRBRCU23</v>
      </c>
      <c r="H5" t="str">
        <f>"NRRBRC"&amp;IF(English!$D$7="USD","U",IF(English!$D$7="HKD","H","C"))&amp;English!$D$3</f>
        <v>NRRBRCU2</v>
      </c>
      <c r="I5" t="str">
        <f>VLOOKUP($G5,$A$3:$E$112,I$1,0)</f>
        <v>USD</v>
      </c>
      <c r="J5">
        <f t="shared" si="0"/>
        <v>28572</v>
      </c>
      <c r="K5">
        <f t="shared" si="0"/>
        <v>12.5</v>
      </c>
      <c r="L5" s="69">
        <f>ROUNDDOWN((VLOOKUP($H5&amp;"M000",Premium!$A:$O,5,FALSE)-K5)*J5/1000,0)</f>
        <v>12500</v>
      </c>
      <c r="M5" s="70">
        <f>L6</f>
        <v>25000</v>
      </c>
      <c r="P5" s="30">
        <f ca="1" t="shared" ref="P5:P11" si="3">P27</f>
        <v>5000</v>
      </c>
      <c r="Q5" s="28">
        <f ca="1" t="shared" si="1"/>
        <v>0</v>
      </c>
      <c r="R5" s="28"/>
      <c r="S5" s="28">
        <f ca="1" t="shared" si="2"/>
        <v>0.05</v>
      </c>
      <c r="T5" s="28"/>
      <c r="U5" s="28"/>
      <c r="W5" s="105">
        <v>12499.61</v>
      </c>
      <c r="X5" s="106">
        <v>12500.25</v>
      </c>
      <c r="Y5" s="115">
        <v>12500.25</v>
      </c>
      <c r="Z5" s="105">
        <v>4999.99</v>
      </c>
      <c r="AA5" s="106">
        <v>5000.06</v>
      </c>
      <c r="AB5" s="115">
        <v>5000.02</v>
      </c>
    </row>
    <row r="6" spans="1:28">
      <c r="A6" t="str">
        <f>B6&amp;4</f>
        <v>NRRBRCU24</v>
      </c>
      <c r="B6" s="33" t="s">
        <v>275</v>
      </c>
      <c r="C6" s="62" t="s">
        <v>89</v>
      </c>
      <c r="D6" s="64">
        <v>57737</v>
      </c>
      <c r="E6" s="63">
        <v>17</v>
      </c>
      <c r="G6" t="str">
        <f>H6&amp;4</f>
        <v>NRRBRCU24</v>
      </c>
      <c r="H6" t="str">
        <f>"NRRBRC"&amp;IF(English!$D$7="USD","U",IF(English!$D$7="HKD","H","C"))&amp;English!$D$3</f>
        <v>NRRBRCU2</v>
      </c>
      <c r="I6" t="str">
        <f>VLOOKUP($G6,$A$3:$E$112,I$1,0)</f>
        <v>USD</v>
      </c>
      <c r="J6">
        <f t="shared" si="0"/>
        <v>57737</v>
      </c>
      <c r="K6">
        <f t="shared" si="0"/>
        <v>17</v>
      </c>
      <c r="L6" s="69">
        <f>ROUNDDOWN((VLOOKUP($H6&amp;"M000",Premium!$A:$O,5,FALSE)-K6)*J6/1000,0)</f>
        <v>25000</v>
      </c>
      <c r="M6" s="70">
        <f>L7</f>
        <v>50000</v>
      </c>
      <c r="P6" s="30">
        <f ca="1" t="shared" si="3"/>
        <v>10000</v>
      </c>
      <c r="Q6" s="28">
        <f ca="1" t="shared" si="1"/>
        <v>0</v>
      </c>
      <c r="R6" s="28"/>
      <c r="S6" s="28">
        <f ca="1" t="shared" si="2"/>
        <v>0.12</v>
      </c>
      <c r="T6" s="28"/>
      <c r="U6" s="28"/>
      <c r="W6" s="105">
        <v>24999.63</v>
      </c>
      <c r="X6" s="106">
        <v>25000.12</v>
      </c>
      <c r="Y6" s="115">
        <v>25000.12</v>
      </c>
      <c r="Z6" s="107">
        <v>9999.97</v>
      </c>
      <c r="AA6" s="106">
        <v>10000.07</v>
      </c>
      <c r="AB6" s="115">
        <v>10000.07</v>
      </c>
    </row>
    <row r="7" spans="1:28">
      <c r="A7" t="str">
        <f>B7&amp;5</f>
        <v>NRRBRCU25</v>
      </c>
      <c r="B7" s="33" t="s">
        <v>275</v>
      </c>
      <c r="C7" s="62" t="s">
        <v>89</v>
      </c>
      <c r="D7" s="64">
        <v>116145</v>
      </c>
      <c r="E7" s="63">
        <v>19.5</v>
      </c>
      <c r="G7" t="str">
        <f>H7&amp;5</f>
        <v>NRRBRCU25</v>
      </c>
      <c r="H7" t="str">
        <f>"NRRBRC"&amp;IF(English!$D$7="USD","U",IF(English!$D$7="HKD","H","C"))&amp;English!$D$3</f>
        <v>NRRBRCU2</v>
      </c>
      <c r="I7" t="str">
        <f>VLOOKUP($G7,$A$3:$E$112,I$1,0)</f>
        <v>USD</v>
      </c>
      <c r="J7">
        <f t="shared" si="0"/>
        <v>116145</v>
      </c>
      <c r="K7">
        <f t="shared" si="0"/>
        <v>19.5</v>
      </c>
      <c r="L7" s="69">
        <f>ROUNDDOWN((VLOOKUP($H7&amp;"M000",Premium!$A:$O,5,FALSE)-K7)*J7/1000,0)</f>
        <v>50000</v>
      </c>
      <c r="M7" s="70">
        <f>L8</f>
        <v>200000</v>
      </c>
      <c r="P7" s="30">
        <f ca="1" t="shared" si="3"/>
        <v>30000</v>
      </c>
      <c r="Q7" s="28">
        <f ca="1" t="shared" si="1"/>
        <v>0</v>
      </c>
      <c r="R7" s="28"/>
      <c r="S7" s="28">
        <f ca="1" t="shared" si="2"/>
        <v>0.15</v>
      </c>
      <c r="T7" s="28"/>
      <c r="U7" s="28"/>
      <c r="W7" s="107">
        <v>49999.81</v>
      </c>
      <c r="X7" s="108">
        <v>50000.42</v>
      </c>
      <c r="Y7" s="115">
        <v>50000.42</v>
      </c>
      <c r="Z7" s="107">
        <v>19999.86</v>
      </c>
      <c r="AA7" s="106">
        <v>20000.03</v>
      </c>
      <c r="AB7" s="115">
        <v>20000.02</v>
      </c>
    </row>
    <row r="8" spans="1:28">
      <c r="A8" t="str">
        <f>B8&amp;6</f>
        <v>NRRBRCU26</v>
      </c>
      <c r="B8" s="36" t="s">
        <v>275</v>
      </c>
      <c r="C8" s="65" t="s">
        <v>89</v>
      </c>
      <c r="D8" s="65">
        <v>465117</v>
      </c>
      <c r="E8" s="66">
        <v>20</v>
      </c>
      <c r="G8" t="str">
        <f>H8&amp;6</f>
        <v>NRRBRCU26</v>
      </c>
      <c r="H8" t="str">
        <f>"NRRBRC"&amp;IF(English!$D$7="USD","U",IF(English!$D$7="HKD","H","C"))&amp;English!$D$3</f>
        <v>NRRBRCU2</v>
      </c>
      <c r="I8" t="str">
        <f>VLOOKUP($G8,$A$3:$E$112,I$1,0)</f>
        <v>USD</v>
      </c>
      <c r="J8">
        <f t="shared" si="0"/>
        <v>465117</v>
      </c>
      <c r="K8">
        <f t="shared" si="0"/>
        <v>20</v>
      </c>
      <c r="L8" s="69">
        <f>ROUNDDOWN((VLOOKUP($H8&amp;"M000",Premium!$A:$O,5,FALSE)-K8)*J8/1000,0)</f>
        <v>200000</v>
      </c>
      <c r="M8" s="70"/>
      <c r="P8" s="30">
        <f ca="1" t="shared" si="3"/>
        <v>50000</v>
      </c>
      <c r="Q8" s="28">
        <f ca="1" t="shared" si="1"/>
        <v>0</v>
      </c>
      <c r="R8" s="28"/>
      <c r="S8" s="28">
        <f ca="1" t="shared" si="2"/>
        <v>0.2</v>
      </c>
      <c r="T8" s="28"/>
      <c r="U8" s="28"/>
      <c r="W8" s="105">
        <v>199999.97</v>
      </c>
      <c r="X8" s="106">
        <v>200000.31</v>
      </c>
      <c r="Y8" s="115">
        <v>200000.3</v>
      </c>
      <c r="Z8" s="105">
        <v>79999.96</v>
      </c>
      <c r="AA8" s="106">
        <v>80000.06</v>
      </c>
      <c r="AB8" s="115">
        <v>80000.06</v>
      </c>
    </row>
    <row r="9" spans="1:28">
      <c r="A9" t="str">
        <f>B9&amp;1</f>
        <v>NRRBRCH21</v>
      </c>
      <c r="B9" s="33" t="s">
        <v>276</v>
      </c>
      <c r="C9" s="62" t="s">
        <v>97</v>
      </c>
      <c r="D9" s="54">
        <f>D3</f>
        <v>0</v>
      </c>
      <c r="E9" s="55">
        <f>E3</f>
        <v>0</v>
      </c>
      <c r="M9" s="71"/>
      <c r="P9" s="30">
        <f ca="1" t="shared" si="3"/>
        <v>100000</v>
      </c>
      <c r="Q9" s="28">
        <f ca="1" t="shared" si="1"/>
        <v>0</v>
      </c>
      <c r="R9" s="28"/>
      <c r="S9" s="28">
        <f ca="1" t="shared" si="2"/>
        <v>0.22</v>
      </c>
      <c r="T9" s="28"/>
      <c r="U9" s="28"/>
      <c r="W9" s="107"/>
      <c r="X9" s="108"/>
      <c r="Y9" s="115"/>
      <c r="Z9" s="105"/>
      <c r="AA9" s="106"/>
      <c r="AB9" s="115"/>
    </row>
    <row r="10" spans="1:28">
      <c r="A10" t="str">
        <f>B10&amp;2</f>
        <v>NRRBRCH22</v>
      </c>
      <c r="B10" s="33" t="s">
        <v>276</v>
      </c>
      <c r="C10" s="62" t="s">
        <v>97</v>
      </c>
      <c r="D10" s="62">
        <v>134832</v>
      </c>
      <c r="E10" s="63">
        <v>5</v>
      </c>
      <c r="P10" s="30">
        <f ca="1" t="shared" si="3"/>
        <v>250000</v>
      </c>
      <c r="Q10" s="28">
        <f ca="1" t="shared" si="1"/>
        <v>0</v>
      </c>
      <c r="R10" s="28"/>
      <c r="S10" s="28">
        <f ca="1" t="shared" si="2"/>
        <v>0.24</v>
      </c>
      <c r="T10" s="28"/>
      <c r="U10" s="28"/>
      <c r="W10" s="105"/>
      <c r="X10" s="106"/>
      <c r="Y10" s="115"/>
      <c r="Z10" s="105"/>
      <c r="AA10" s="106"/>
      <c r="AB10" s="115"/>
    </row>
    <row r="11" spans="1:28">
      <c r="A11" t="str">
        <f>B11&amp;3</f>
        <v>NRRBRCH23</v>
      </c>
      <c r="B11" s="33" t="s">
        <v>276</v>
      </c>
      <c r="C11" s="62" t="s">
        <v>97</v>
      </c>
      <c r="D11" s="62">
        <v>228576</v>
      </c>
      <c r="E11" s="63">
        <v>12.5</v>
      </c>
      <c r="H11" s="67" t="s">
        <v>277</v>
      </c>
      <c r="I11" s="72" t="s">
        <v>73</v>
      </c>
      <c r="J11" s="73"/>
      <c r="K11" s="74">
        <f ca="1">IF(AND(L11&gt;=M11,L11&lt;=N11),O11,L11)</f>
        <v>637003.1</v>
      </c>
      <c r="L11" s="75">
        <f ca="1">English!$I$4</f>
        <v>637003.1</v>
      </c>
      <c r="M11" s="67">
        <f ca="1">IF(English!$D$3=2,INDEX($W$3:$W$15,MATCH($N$11,$X$3:$X$15,FALSE)),INDEX($Z$3:$Z$15,MATCH($N$11,$AA$3:$AA$15,FALSE)))</f>
        <v>199999.97</v>
      </c>
      <c r="N11" s="76">
        <f ca="1">IF(English!$D$3=2,VLOOKUP(L11,$W$3:$Y$15,2),VLOOKUP(L11,$Z$3:$AB$15,2))</f>
        <v>200000.31</v>
      </c>
      <c r="O11">
        <f ca="1">IF(English!$D$3=2,VLOOKUP(L11,$W$3:$Y$15,3),VLOOKUP(L11,$Z$3:$AB$15,3))</f>
        <v>200000.3</v>
      </c>
      <c r="P11" s="30">
        <f ca="1" t="shared" si="3"/>
        <v>500000</v>
      </c>
      <c r="Q11" s="28">
        <f ca="1" t="shared" si="1"/>
        <v>0</v>
      </c>
      <c r="R11" s="28"/>
      <c r="S11" s="28">
        <f ca="1" t="shared" si="2"/>
        <v>0.26</v>
      </c>
      <c r="T11" s="28"/>
      <c r="U11" s="28"/>
      <c r="W11" s="105"/>
      <c r="X11" s="106"/>
      <c r="Y11" s="115"/>
      <c r="Z11" s="105"/>
      <c r="AA11" s="106"/>
      <c r="AB11" s="115"/>
    </row>
    <row r="12" spans="1:28">
      <c r="A12" t="str">
        <f>B12&amp;4</f>
        <v>NRRBRCH24</v>
      </c>
      <c r="B12" s="33" t="s">
        <v>276</v>
      </c>
      <c r="C12" s="62" t="s">
        <v>97</v>
      </c>
      <c r="D12" s="64">
        <v>461896</v>
      </c>
      <c r="E12" s="63">
        <v>17</v>
      </c>
      <c r="H12" s="67"/>
      <c r="I12" s="77" t="s">
        <v>278</v>
      </c>
      <c r="J12" s="78"/>
      <c r="K12" s="79">
        <f>VLOOKUP($H3&amp;"M000",Premium!$A:$O,5,FALSE)</f>
        <v>450</v>
      </c>
      <c r="L12" s="67"/>
      <c r="M12" s="67"/>
      <c r="N12" s="67"/>
      <c r="P12" s="30"/>
      <c r="Q12" s="28"/>
      <c r="R12" s="28"/>
      <c r="S12" s="28"/>
      <c r="T12" s="28"/>
      <c r="U12" s="28"/>
      <c r="W12" s="105"/>
      <c r="X12" s="106"/>
      <c r="Y12" s="115"/>
      <c r="Z12" s="105"/>
      <c r="AA12" s="106"/>
      <c r="AB12" s="115"/>
    </row>
    <row r="13" spans="1:28">
      <c r="A13" t="str">
        <f>B13&amp;5</f>
        <v>NRRBRCH25</v>
      </c>
      <c r="B13" s="33" t="s">
        <v>276</v>
      </c>
      <c r="C13" s="62" t="s">
        <v>97</v>
      </c>
      <c r="D13" s="64">
        <v>929160</v>
      </c>
      <c r="E13" s="63">
        <v>19.5</v>
      </c>
      <c r="H13" s="67"/>
      <c r="I13" s="77" t="s">
        <v>279</v>
      </c>
      <c r="J13" s="78"/>
      <c r="K13" s="80">
        <f ca="1">INDEX($K$3:$K$8,MATCH(K11,$L$3:$L$8))</f>
        <v>20</v>
      </c>
      <c r="L13" s="67"/>
      <c r="M13" s="67"/>
      <c r="N13" s="67"/>
      <c r="P13" s="30"/>
      <c r="Q13" s="28"/>
      <c r="R13" s="28"/>
      <c r="S13" s="28"/>
      <c r="T13" s="28"/>
      <c r="U13" s="28"/>
      <c r="W13" s="105"/>
      <c r="X13" s="106"/>
      <c r="Y13" s="115"/>
      <c r="Z13" s="105"/>
      <c r="AA13" s="106"/>
      <c r="AB13" s="115"/>
    </row>
    <row r="14" spans="1:28">
      <c r="A14" t="str">
        <f>B14&amp;6</f>
        <v>NRRBRCH26</v>
      </c>
      <c r="B14" s="33" t="s">
        <v>276</v>
      </c>
      <c r="C14" s="65" t="s">
        <v>97</v>
      </c>
      <c r="D14" s="65">
        <v>3720936</v>
      </c>
      <c r="E14" s="66">
        <v>20</v>
      </c>
      <c r="H14" s="67"/>
      <c r="I14" s="81" t="s">
        <v>280</v>
      </c>
      <c r="J14" s="82"/>
      <c r="K14" s="83">
        <f ca="1">ROUNDUP(ROUND(K11/(K12-K13)*1000,2),0)</f>
        <v>1481403</v>
      </c>
      <c r="L14" s="84">
        <f ca="1">K14-1*0</f>
        <v>1481403</v>
      </c>
      <c r="M14" s="67">
        <f ca="1">ROUND(L14*(K12-K13)/1000,2)</f>
        <v>637003.29</v>
      </c>
      <c r="N14" s="67"/>
      <c r="P14" s="30"/>
      <c r="Q14" s="28"/>
      <c r="R14" s="28"/>
      <c r="S14" s="28"/>
      <c r="T14" s="28"/>
      <c r="U14" s="28"/>
      <c r="W14" s="105"/>
      <c r="X14" s="106"/>
      <c r="Y14" s="115"/>
      <c r="Z14" s="105"/>
      <c r="AA14" s="106"/>
      <c r="AB14" s="115"/>
    </row>
    <row r="15" ht="16.5" spans="1:28">
      <c r="A15" t="str">
        <f>B15&amp;1</f>
        <v>NRRBRCC21</v>
      </c>
      <c r="B15" s="33" t="s">
        <v>281</v>
      </c>
      <c r="C15" s="62" t="s">
        <v>100</v>
      </c>
      <c r="D15" s="62">
        <f>D3</f>
        <v>0</v>
      </c>
      <c r="E15" s="63">
        <f>E3</f>
        <v>0</v>
      </c>
      <c r="H15" s="67"/>
      <c r="I15" s="67"/>
      <c r="J15" s="67"/>
      <c r="K15" s="67"/>
      <c r="L15" s="67"/>
      <c r="M15" s="67"/>
      <c r="N15" s="67"/>
      <c r="P15" s="30"/>
      <c r="Q15" s="28"/>
      <c r="R15" s="28"/>
      <c r="S15" s="28"/>
      <c r="T15" s="28"/>
      <c r="U15" s="28"/>
      <c r="W15" s="109"/>
      <c r="X15" s="110"/>
      <c r="Y15" s="116"/>
      <c r="Z15" s="109"/>
      <c r="AA15" s="110"/>
      <c r="AB15" s="116"/>
    </row>
    <row r="16" spans="1:21">
      <c r="A16" t="str">
        <f>B16&amp;2</f>
        <v>NRRBRCC22</v>
      </c>
      <c r="B16" s="33" t="s">
        <v>281</v>
      </c>
      <c r="C16" s="62" t="s">
        <v>100</v>
      </c>
      <c r="D16" s="64">
        <v>117978</v>
      </c>
      <c r="E16" s="63">
        <v>5</v>
      </c>
      <c r="H16" s="67"/>
      <c r="I16" s="67" t="s">
        <v>282</v>
      </c>
      <c r="J16" s="67"/>
      <c r="K16" s="75">
        <f ca="1">IF(K11=M14,K11,ROUND(K14/1000*(K12-K13),2))</f>
        <v>637003.29</v>
      </c>
      <c r="L16" s="67"/>
      <c r="M16" s="67"/>
      <c r="N16" s="67"/>
      <c r="P16" s="30"/>
      <c r="Q16" s="28"/>
      <c r="R16" s="28"/>
      <c r="S16" s="28"/>
      <c r="T16" s="28"/>
      <c r="U16" s="28"/>
    </row>
    <row r="17" spans="1:21">
      <c r="A17" t="str">
        <f>B17&amp;3</f>
        <v>NRRBRCC23</v>
      </c>
      <c r="B17" s="33" t="s">
        <v>281</v>
      </c>
      <c r="C17" s="62" t="s">
        <v>100</v>
      </c>
      <c r="D17" s="64">
        <v>200004</v>
      </c>
      <c r="E17" s="63">
        <v>12.5</v>
      </c>
      <c r="H17" s="67"/>
      <c r="I17" s="67"/>
      <c r="J17" s="67"/>
      <c r="K17" s="67"/>
      <c r="L17" s="67"/>
      <c r="M17" s="67"/>
      <c r="N17" s="67"/>
      <c r="P17" s="30"/>
      <c r="Q17" s="28"/>
      <c r="R17" s="28"/>
      <c r="S17" s="28"/>
      <c r="T17" s="28"/>
      <c r="U17" s="28"/>
    </row>
    <row r="18" spans="1:23">
      <c r="A18" t="str">
        <f>B18&amp;4</f>
        <v>NRRBRCC24</v>
      </c>
      <c r="B18" s="33" t="s">
        <v>281</v>
      </c>
      <c r="C18" s="62" t="s">
        <v>100</v>
      </c>
      <c r="D18" s="64">
        <v>404159</v>
      </c>
      <c r="E18" s="63">
        <v>17</v>
      </c>
      <c r="H18" s="67"/>
      <c r="I18" s="77" t="s">
        <v>279</v>
      </c>
      <c r="J18" s="67"/>
      <c r="K18" s="67">
        <f ca="1">INDEX($K$3:$K$8,MATCH(K16,$L$3:$L$8))</f>
        <v>20</v>
      </c>
      <c r="L18" s="67"/>
      <c r="M18" s="67"/>
      <c r="N18" s="67"/>
      <c r="W18" t="s">
        <v>283</v>
      </c>
    </row>
    <row r="19" spans="1:24">
      <c r="A19" t="str">
        <f>B19&amp;5</f>
        <v>NRRBRCC25</v>
      </c>
      <c r="B19" s="33" t="s">
        <v>281</v>
      </c>
      <c r="C19" s="62" t="s">
        <v>100</v>
      </c>
      <c r="D19" s="64">
        <v>813015</v>
      </c>
      <c r="E19" s="63">
        <v>19.5</v>
      </c>
      <c r="H19" s="67"/>
      <c r="I19" s="67"/>
      <c r="J19" s="67"/>
      <c r="K19" s="67"/>
      <c r="L19" s="85"/>
      <c r="M19" s="67"/>
      <c r="N19" s="67"/>
      <c r="W19" t="s">
        <v>284</v>
      </c>
      <c r="X19" s="69">
        <f>English!F4/English!D3</f>
        <v>318501.55</v>
      </c>
    </row>
    <row r="20" spans="1:24">
      <c r="A20" t="str">
        <f>B20&amp;6</f>
        <v>NRRBRCC26</v>
      </c>
      <c r="B20" s="33" t="s">
        <v>281</v>
      </c>
      <c r="C20" s="62" t="s">
        <v>100</v>
      </c>
      <c r="D20" s="64">
        <v>3255819</v>
      </c>
      <c r="E20" s="63">
        <v>20</v>
      </c>
      <c r="H20" s="67"/>
      <c r="I20" s="72" t="s">
        <v>73</v>
      </c>
      <c r="J20" s="73"/>
      <c r="K20" s="74">
        <f ca="1">IF(AND(L20&gt;=M20,L20&lt;=N20),O20,L20)</f>
        <v>637003.28</v>
      </c>
      <c r="L20" s="85">
        <f ca="1">K16-0.01</f>
        <v>637003.28</v>
      </c>
      <c r="M20" s="67">
        <f ca="1">IF(English!$D$3=2,INDEX($W$3:$W$15,MATCH(N20,$X$3:$X$15,FALSE)),INDEX($Z$3:$Z$15,MATCH(N20,$AA$3:$AA$15,FALSE)))</f>
        <v>199999.97</v>
      </c>
      <c r="N20" s="67">
        <f ca="1">IF(English!$D$3=2,VLOOKUP(L20,$W$3:$X$15,2),VLOOKUP(L20,$Z$3:$AA$15,2))</f>
        <v>200000.31</v>
      </c>
      <c r="O20">
        <f ca="1">IF(English!$D$3=2,VLOOKUP(L20,$W$3:$Y$15,3),VLOOKUP(L20,$Z$3:$AB$15,3))</f>
        <v>200000.3</v>
      </c>
      <c r="W20" t="s">
        <v>285</v>
      </c>
      <c r="X20" s="69">
        <f ca="1">English!K4</f>
        <v>328974.52</v>
      </c>
    </row>
    <row r="21" spans="1:24">
      <c r="A21" t="str">
        <f>B21&amp;1</f>
        <v>NRRBRCU51</v>
      </c>
      <c r="B21" s="61" t="s">
        <v>286</v>
      </c>
      <c r="C21" s="54" t="s">
        <v>89</v>
      </c>
      <c r="D21" s="62">
        <v>0</v>
      </c>
      <c r="E21" s="63">
        <v>0</v>
      </c>
      <c r="H21" s="67"/>
      <c r="I21" s="77" t="s">
        <v>278</v>
      </c>
      <c r="J21" s="78"/>
      <c r="K21" s="79">
        <f>VLOOKUP($H3&amp;"M000",Premium!$A:$O,5,FALSE)</f>
        <v>450</v>
      </c>
      <c r="L21" s="85"/>
      <c r="M21" s="67"/>
      <c r="N21" s="67"/>
      <c r="P21" t="s">
        <v>287</v>
      </c>
      <c r="U21" s="111">
        <f ca="1">INDEX($Q$4:$U$17,MATCH($K$61,$P$4:$P$17),MATCH($H$3,$Q$3:$U$3,FALSE))</f>
        <v>0</v>
      </c>
      <c r="W21" t="s">
        <v>288</v>
      </c>
      <c r="X21" s="112">
        <f ca="1">IF(English!P12="N",0,INDEX($Q$4:$U$17,MATCH($X$19,$P$4:$P$17),MATCH($H$3,$Q$3:$U$3,FALSE)))</f>
        <v>0</v>
      </c>
    </row>
    <row r="22" spans="1:24">
      <c r="A22" t="str">
        <f>B22&amp;2</f>
        <v>NRRBRCU52</v>
      </c>
      <c r="B22" s="33" t="s">
        <v>286</v>
      </c>
      <c r="C22" s="62" t="s">
        <v>89</v>
      </c>
      <c r="D22" s="62">
        <v>20135</v>
      </c>
      <c r="E22" s="63">
        <v>7</v>
      </c>
      <c r="H22" s="67"/>
      <c r="I22" s="77" t="s">
        <v>279</v>
      </c>
      <c r="J22" s="78"/>
      <c r="K22" s="80">
        <f ca="1">INDEX($K$3:$K$8,MATCH(K20,$L$3:$L$8))</f>
        <v>20</v>
      </c>
      <c r="L22" s="85"/>
      <c r="M22" s="67"/>
      <c r="N22" s="67"/>
      <c r="P22" t="s">
        <v>289</v>
      </c>
      <c r="U22">
        <f ca="1">ROUND(K61*U21,2)</f>
        <v>0</v>
      </c>
      <c r="W22" t="s">
        <v>290</v>
      </c>
      <c r="X22" s="112">
        <f ca="1">IF(English!P12="N",0,INDEX($Q$4:$U$17,MATCH($X$20,$P$4:$P$17),MATCH($H$3,$Q$3:$U$3,FALSE)))</f>
        <v>0</v>
      </c>
    </row>
    <row r="23" spans="1:14">
      <c r="A23" t="str">
        <f>B23&amp;3</f>
        <v>NRRBRCU53</v>
      </c>
      <c r="B23" s="33" t="s">
        <v>286</v>
      </c>
      <c r="C23" s="62" t="s">
        <v>89</v>
      </c>
      <c r="D23" s="62">
        <v>34014</v>
      </c>
      <c r="E23" s="63">
        <v>9</v>
      </c>
      <c r="H23" s="67"/>
      <c r="I23" s="81" t="s">
        <v>280</v>
      </c>
      <c r="J23" s="82"/>
      <c r="K23" s="86">
        <f ca="1">ROUNDUP(K20/(K21-K22)*1000,0)</f>
        <v>1481403</v>
      </c>
      <c r="L23" s="85">
        <f ca="1">K23-1*0</f>
        <v>1481403</v>
      </c>
      <c r="M23" s="67">
        <f ca="1">ROUND(L23*(K21-K22)/1000,2)</f>
        <v>637003.29</v>
      </c>
      <c r="N23" s="67"/>
    </row>
    <row r="24" spans="1:16">
      <c r="A24" t="str">
        <f>B24&amp;4</f>
        <v>NRRBRCU54</v>
      </c>
      <c r="B24" s="33" t="s">
        <v>286</v>
      </c>
      <c r="C24" s="62" t="s">
        <v>89</v>
      </c>
      <c r="D24" s="62">
        <v>68966</v>
      </c>
      <c r="E24" s="63">
        <v>11</v>
      </c>
      <c r="H24" s="67"/>
      <c r="I24" s="67"/>
      <c r="J24" s="67"/>
      <c r="K24" s="67"/>
      <c r="L24" s="85"/>
      <c r="M24" s="67"/>
      <c r="N24" s="67"/>
      <c r="P24" s="87" t="s">
        <v>291</v>
      </c>
    </row>
    <row r="25" spans="1:21">
      <c r="A25" t="str">
        <f>B25&amp;5</f>
        <v>NRRBRCU55</v>
      </c>
      <c r="B25" s="33" t="s">
        <v>286</v>
      </c>
      <c r="C25" s="62" t="s">
        <v>89</v>
      </c>
      <c r="D25" s="62">
        <v>139373</v>
      </c>
      <c r="E25" s="63">
        <v>12.5</v>
      </c>
      <c r="H25" s="67"/>
      <c r="I25" s="67" t="s">
        <v>282</v>
      </c>
      <c r="J25" s="67"/>
      <c r="K25" s="75">
        <f ca="1">IF(K20=M23,K20,ROUND(K23/1000*(K21-K22),2))</f>
        <v>637003.29</v>
      </c>
      <c r="L25" s="85"/>
      <c r="M25" s="67"/>
      <c r="N25" s="67"/>
      <c r="P25" s="23" t="str" cm="1">
        <f ca="1" t="array" ref="P25:T39">OFFSET('Multiple Ccy Mapping_EN'!A:G,MATCH(English!D7,'Multiple Ccy Mapping_EN'!A:A,0)-1,1,15,5)</f>
        <v>AP</v>
      </c>
      <c r="Q25" s="25" t="str">
        <v>NRRBRCU2</v>
      </c>
      <c r="R25" s="25" t="str">
        <v>-</v>
      </c>
      <c r="S25" s="25" t="str">
        <v>NRRBRCU5</v>
      </c>
      <c r="T25" s="25" t="str">
        <v>-</v>
      </c>
      <c r="U25" s="26"/>
    </row>
    <row r="26" spans="1:21">
      <c r="A26" t="str">
        <f>B26&amp;6</f>
        <v>NRRBRCU56</v>
      </c>
      <c r="B26" s="36" t="s">
        <v>286</v>
      </c>
      <c r="C26" s="65" t="s">
        <v>89</v>
      </c>
      <c r="D26" s="62">
        <v>559441</v>
      </c>
      <c r="E26" s="63">
        <v>13</v>
      </c>
      <c r="H26" s="67"/>
      <c r="I26" s="67"/>
      <c r="J26" s="67"/>
      <c r="K26" s="67"/>
      <c r="L26" s="85"/>
      <c r="M26" s="67"/>
      <c r="N26" s="67"/>
      <c r="P26" s="27">
        <v>0</v>
      </c>
      <c r="Q26" s="28">
        <v>0</v>
      </c>
      <c r="R26" s="28">
        <v>0</v>
      </c>
      <c r="S26" s="28">
        <v>0</v>
      </c>
      <c r="T26" s="28">
        <v>0</v>
      </c>
      <c r="U26" s="28"/>
    </row>
    <row r="27" spans="1:21">
      <c r="A27" t="str">
        <f>B27&amp;1</f>
        <v>NRRBRCH51</v>
      </c>
      <c r="B27" s="33" t="s">
        <v>292</v>
      </c>
      <c r="C27" s="62" t="s">
        <v>97</v>
      </c>
      <c r="D27" s="62">
        <f>D21</f>
        <v>0</v>
      </c>
      <c r="E27" s="63">
        <f>E21</f>
        <v>0</v>
      </c>
      <c r="H27" s="67"/>
      <c r="I27" s="77" t="s">
        <v>279</v>
      </c>
      <c r="J27" s="67"/>
      <c r="K27" s="67">
        <f ca="1">INDEX($K$3:$K$8,MATCH(K25,$L$3:$L$8))</f>
        <v>20</v>
      </c>
      <c r="L27" s="85"/>
      <c r="M27" s="67"/>
      <c r="N27" s="67"/>
      <c r="P27" s="30">
        <v>5000</v>
      </c>
      <c r="Q27" s="28">
        <v>0</v>
      </c>
      <c r="R27" s="28">
        <v>0</v>
      </c>
      <c r="S27" s="28">
        <v>0.05</v>
      </c>
      <c r="T27" s="28">
        <v>0</v>
      </c>
      <c r="U27" s="28"/>
    </row>
    <row r="28" spans="1:21">
      <c r="A28" t="str">
        <f>B28&amp;2</f>
        <v>NRRBRCH52</v>
      </c>
      <c r="B28" s="33" t="s">
        <v>292</v>
      </c>
      <c r="C28" s="62" t="s">
        <v>97</v>
      </c>
      <c r="D28" s="62">
        <v>161080</v>
      </c>
      <c r="E28" s="63">
        <v>7</v>
      </c>
      <c r="H28" s="67"/>
      <c r="I28" s="67"/>
      <c r="J28" s="67"/>
      <c r="K28" s="67"/>
      <c r="L28" s="85"/>
      <c r="M28" s="67"/>
      <c r="N28" s="67"/>
      <c r="P28" s="30">
        <v>10000</v>
      </c>
      <c r="Q28" s="28">
        <v>0</v>
      </c>
      <c r="R28" s="28">
        <v>0</v>
      </c>
      <c r="S28" s="28">
        <v>0.12</v>
      </c>
      <c r="T28" s="28">
        <v>0</v>
      </c>
      <c r="U28" s="28"/>
    </row>
    <row r="29" spans="1:21">
      <c r="A29" t="str">
        <f>B29&amp;3</f>
        <v>NRRBRCH53</v>
      </c>
      <c r="B29" s="33" t="s">
        <v>292</v>
      </c>
      <c r="C29" s="62" t="s">
        <v>97</v>
      </c>
      <c r="D29" s="62">
        <v>272112</v>
      </c>
      <c r="E29" s="63">
        <v>9</v>
      </c>
      <c r="H29" s="67"/>
      <c r="I29" s="72" t="s">
        <v>73</v>
      </c>
      <c r="J29" s="73"/>
      <c r="K29" s="74">
        <f ca="1">IF(AND(L29&gt;=M29,L29&lt;=N29),O29,L29)</f>
        <v>637003.28</v>
      </c>
      <c r="L29" s="85">
        <f ca="1">K25-0.01</f>
        <v>637003.28</v>
      </c>
      <c r="M29" s="67">
        <f ca="1">IF(English!$D$3=2,INDEX($W$3:$W$15,MATCH(N29,$X$3:$X$15,FALSE)),INDEX($Z$3:$Z$15,MATCH(N29,$AA$3:$AA$15,FALSE)))</f>
        <v>199999.97</v>
      </c>
      <c r="N29" s="67">
        <f ca="1">IF(English!$D$3=2,VLOOKUP(L29,$W$3:$X$15,2),VLOOKUP(L29,$Z$3:$AA$15,2))</f>
        <v>200000.31</v>
      </c>
      <c r="O29">
        <f ca="1">IF(English!$D$3=2,VLOOKUP(L29,$W$3:$Y$15,3),VLOOKUP(L29,$Z$3:$AB$15,3))</f>
        <v>200000.3</v>
      </c>
      <c r="P29" s="30">
        <v>30000</v>
      </c>
      <c r="Q29" s="28">
        <v>0</v>
      </c>
      <c r="R29" s="28">
        <v>0</v>
      </c>
      <c r="S29" s="28">
        <v>0.15</v>
      </c>
      <c r="T29" s="28">
        <v>0</v>
      </c>
      <c r="U29" s="28"/>
    </row>
    <row r="30" spans="1:21">
      <c r="A30" t="str">
        <f>B30&amp;4</f>
        <v>NRRBRCH54</v>
      </c>
      <c r="B30" s="33" t="s">
        <v>292</v>
      </c>
      <c r="C30" s="62" t="s">
        <v>97</v>
      </c>
      <c r="D30" s="62">
        <v>551728</v>
      </c>
      <c r="E30" s="63">
        <v>11</v>
      </c>
      <c r="H30" s="67"/>
      <c r="I30" s="77" t="s">
        <v>278</v>
      </c>
      <c r="J30" s="78"/>
      <c r="K30" s="79">
        <f>VLOOKUP($H$3&amp;"M000",Premium!$A:$O,5,FALSE)</f>
        <v>450</v>
      </c>
      <c r="L30" s="85"/>
      <c r="M30" s="67"/>
      <c r="N30" s="67"/>
      <c r="P30" s="30">
        <v>50000</v>
      </c>
      <c r="Q30" s="28">
        <v>0</v>
      </c>
      <c r="R30" s="28">
        <v>0</v>
      </c>
      <c r="S30" s="28">
        <v>0.2</v>
      </c>
      <c r="T30" s="28">
        <v>0</v>
      </c>
      <c r="U30" s="28"/>
    </row>
    <row r="31" spans="1:21">
      <c r="A31" t="str">
        <f>B31&amp;5</f>
        <v>NRRBRCH55</v>
      </c>
      <c r="B31" s="33" t="s">
        <v>292</v>
      </c>
      <c r="C31" s="62" t="s">
        <v>97</v>
      </c>
      <c r="D31" s="62">
        <v>1114984</v>
      </c>
      <c r="E31" s="63">
        <v>12.5</v>
      </c>
      <c r="H31" s="67"/>
      <c r="I31" s="77" t="s">
        <v>279</v>
      </c>
      <c r="J31" s="78"/>
      <c r="K31" s="80">
        <f ca="1">INDEX($K$3:$K$8,MATCH(K29,$L$3:$L$8))</f>
        <v>20</v>
      </c>
      <c r="L31" s="85"/>
      <c r="M31" s="67"/>
      <c r="N31" s="67"/>
      <c r="P31" s="30">
        <v>100000</v>
      </c>
      <c r="Q31" s="28">
        <v>0</v>
      </c>
      <c r="R31" s="28">
        <v>0</v>
      </c>
      <c r="S31" s="28">
        <v>0.22</v>
      </c>
      <c r="T31" s="28">
        <v>0</v>
      </c>
      <c r="U31" s="28"/>
    </row>
    <row r="32" spans="1:21">
      <c r="A32" t="str">
        <f>B32&amp;6</f>
        <v>NRRBRCH56</v>
      </c>
      <c r="B32" s="33" t="s">
        <v>292</v>
      </c>
      <c r="C32" s="65" t="s">
        <v>97</v>
      </c>
      <c r="D32" s="62">
        <v>4475528</v>
      </c>
      <c r="E32" s="63">
        <v>13</v>
      </c>
      <c r="H32" s="67"/>
      <c r="I32" s="81" t="s">
        <v>280</v>
      </c>
      <c r="J32" s="82"/>
      <c r="K32" s="86">
        <f ca="1">ROUNDUP(K29/(K30-K31)*1000,0)</f>
        <v>1481403</v>
      </c>
      <c r="L32" s="85">
        <f ca="1">K32-1*0</f>
        <v>1481403</v>
      </c>
      <c r="M32" s="67">
        <f ca="1">ROUND(L32*(K30-K31)/1000,2)</f>
        <v>637003.29</v>
      </c>
      <c r="N32" s="67"/>
      <c r="P32" s="30">
        <v>250000</v>
      </c>
      <c r="Q32" s="28">
        <v>0</v>
      </c>
      <c r="R32" s="28">
        <v>0</v>
      </c>
      <c r="S32" s="28">
        <v>0.24</v>
      </c>
      <c r="T32" s="28">
        <v>0</v>
      </c>
      <c r="U32" s="28"/>
    </row>
    <row r="33" spans="1:21">
      <c r="A33" t="str">
        <f>B33&amp;1</f>
        <v>NRRBRCC51</v>
      </c>
      <c r="B33" s="33" t="s">
        <v>293</v>
      </c>
      <c r="C33" s="62" t="s">
        <v>100</v>
      </c>
      <c r="D33" s="62">
        <f>D27</f>
        <v>0</v>
      </c>
      <c r="E33" s="63">
        <f>E27</f>
        <v>0</v>
      </c>
      <c r="H33" s="67"/>
      <c r="I33" s="67"/>
      <c r="J33" s="67"/>
      <c r="K33" s="67"/>
      <c r="L33" s="85"/>
      <c r="M33" s="67"/>
      <c r="N33" s="67"/>
      <c r="P33" s="30">
        <v>500000</v>
      </c>
      <c r="Q33" s="28">
        <v>0</v>
      </c>
      <c r="R33" s="28">
        <v>0</v>
      </c>
      <c r="S33" s="28">
        <v>0.26</v>
      </c>
      <c r="T33" s="28">
        <v>0</v>
      </c>
      <c r="U33" s="28"/>
    </row>
    <row r="34" spans="1:21">
      <c r="A34" t="str">
        <f>B34&amp;2</f>
        <v>NRRBRCC52</v>
      </c>
      <c r="B34" s="33" t="s">
        <v>293</v>
      </c>
      <c r="C34" s="62" t="s">
        <v>100</v>
      </c>
      <c r="D34" s="64">
        <v>140945</v>
      </c>
      <c r="E34" s="63">
        <v>7</v>
      </c>
      <c r="H34" s="67"/>
      <c r="I34" s="67" t="s">
        <v>282</v>
      </c>
      <c r="J34" s="67"/>
      <c r="K34" s="75">
        <f ca="1">IF(K29=M32,K29,ROUND(K32/1000*(K30-K31),2))</f>
        <v>637003.29</v>
      </c>
      <c r="L34" s="85"/>
      <c r="M34" s="67"/>
      <c r="N34" s="67"/>
      <c r="P34" s="33">
        <v>0</v>
      </c>
      <c r="Q34" s="34">
        <v>0</v>
      </c>
      <c r="R34" s="34">
        <v>0</v>
      </c>
      <c r="S34" s="34">
        <v>0</v>
      </c>
      <c r="T34" s="34">
        <v>0</v>
      </c>
      <c r="U34" s="35"/>
    </row>
    <row r="35" spans="1:21">
      <c r="A35" t="str">
        <f>B35&amp;3</f>
        <v>NRRBRCC53</v>
      </c>
      <c r="B35" s="33" t="s">
        <v>293</v>
      </c>
      <c r="C35" s="62" t="s">
        <v>100</v>
      </c>
      <c r="D35" s="64">
        <v>238098</v>
      </c>
      <c r="E35" s="63">
        <v>9</v>
      </c>
      <c r="H35" s="67"/>
      <c r="I35" s="67"/>
      <c r="J35" s="67"/>
      <c r="K35" s="67"/>
      <c r="L35" s="85"/>
      <c r="M35" s="67"/>
      <c r="N35" s="67"/>
      <c r="P35" s="33">
        <v>0</v>
      </c>
      <c r="Q35" s="34">
        <v>0</v>
      </c>
      <c r="R35" s="34">
        <v>0</v>
      </c>
      <c r="S35" s="34">
        <v>0</v>
      </c>
      <c r="T35" s="34">
        <v>0</v>
      </c>
      <c r="U35" s="35"/>
    </row>
    <row r="36" spans="1:21">
      <c r="A36" t="str">
        <f>B36&amp;4</f>
        <v>NRRBRCC54</v>
      </c>
      <c r="B36" s="33" t="s">
        <v>293</v>
      </c>
      <c r="C36" s="62" t="s">
        <v>100</v>
      </c>
      <c r="D36" s="64">
        <v>482762</v>
      </c>
      <c r="E36" s="63">
        <v>11</v>
      </c>
      <c r="H36" s="67"/>
      <c r="I36" s="77" t="s">
        <v>279</v>
      </c>
      <c r="J36" s="67"/>
      <c r="K36" s="67">
        <f ca="1">INDEX($K$3:$K$8,MATCH(K34,$L$3:$L$8))</f>
        <v>20</v>
      </c>
      <c r="L36" s="85"/>
      <c r="M36" s="67"/>
      <c r="N36" s="67"/>
      <c r="P36" s="33">
        <v>0</v>
      </c>
      <c r="Q36" s="34">
        <v>0</v>
      </c>
      <c r="R36" s="34">
        <v>0</v>
      </c>
      <c r="S36" s="34">
        <v>0</v>
      </c>
      <c r="T36" s="34">
        <v>0</v>
      </c>
      <c r="U36" s="35"/>
    </row>
    <row r="37" spans="1:21">
      <c r="A37" t="str">
        <f>B37&amp;5</f>
        <v>NRRBRCC55</v>
      </c>
      <c r="B37" s="33" t="s">
        <v>293</v>
      </c>
      <c r="C37" s="62" t="s">
        <v>100</v>
      </c>
      <c r="D37" s="64">
        <v>975611</v>
      </c>
      <c r="E37" s="63">
        <v>12.5</v>
      </c>
      <c r="H37" s="67"/>
      <c r="I37" s="67"/>
      <c r="J37" s="67"/>
      <c r="K37" s="67"/>
      <c r="L37" s="85"/>
      <c r="M37" s="67"/>
      <c r="N37" s="67"/>
      <c r="P37" s="33">
        <v>0</v>
      </c>
      <c r="Q37" s="34">
        <v>0</v>
      </c>
      <c r="R37" s="34">
        <v>0</v>
      </c>
      <c r="S37" s="34">
        <v>0</v>
      </c>
      <c r="T37" s="34">
        <v>0</v>
      </c>
      <c r="U37" s="35"/>
    </row>
    <row r="38" spans="1:21">
      <c r="A38" t="str">
        <f>B38&amp;6</f>
        <v>NRRBRCC56</v>
      </c>
      <c r="B38" s="33" t="s">
        <v>293</v>
      </c>
      <c r="C38" s="62" t="s">
        <v>100</v>
      </c>
      <c r="D38" s="64">
        <v>3916087</v>
      </c>
      <c r="E38" s="63">
        <v>13</v>
      </c>
      <c r="H38" s="67"/>
      <c r="I38" s="72" t="s">
        <v>73</v>
      </c>
      <c r="J38" s="73"/>
      <c r="K38" s="74">
        <f ca="1">IF(AND(L38&gt;=M38,L38&lt;=N38),O38,L38)</f>
        <v>637003.28</v>
      </c>
      <c r="L38" s="85">
        <f ca="1">K34-0.01</f>
        <v>637003.28</v>
      </c>
      <c r="M38" s="67">
        <f ca="1">IF(English!$D$3=2,INDEX($W$3:$W$15,MATCH(N38,$X$3:$X$15,FALSE)),INDEX($Z$3:$Z$15,MATCH(N38,$AA$3:$AA$15,FALSE)))</f>
        <v>199999.97</v>
      </c>
      <c r="N38" s="67">
        <f ca="1">IF(English!$D$3=2,VLOOKUP(L38,$W$3:$X$15,2),VLOOKUP(L38,$Z$3:$AA$15,2))</f>
        <v>200000.31</v>
      </c>
      <c r="O38">
        <f ca="1">IF(English!$D$3=2,VLOOKUP(L38,$W$3:$Y$15,3),VLOOKUP(L38,$Z$3:$AB$15,3))</f>
        <v>200000.3</v>
      </c>
      <c r="P38" s="33">
        <v>0</v>
      </c>
      <c r="Q38" s="34">
        <v>0</v>
      </c>
      <c r="R38" s="34">
        <v>0</v>
      </c>
      <c r="S38" s="34">
        <v>0</v>
      </c>
      <c r="T38" s="34">
        <v>0</v>
      </c>
      <c r="U38" s="35"/>
    </row>
    <row r="39" spans="1:21">
      <c r="A39" t="str">
        <f>B39&amp;1</f>
        <v>1</v>
      </c>
      <c r="B39" s="33"/>
      <c r="C39" s="62"/>
      <c r="D39" s="62"/>
      <c r="E39" s="63"/>
      <c r="H39" s="67"/>
      <c r="I39" s="77" t="s">
        <v>278</v>
      </c>
      <c r="J39" s="78"/>
      <c r="K39" s="79">
        <f>VLOOKUP($H$3&amp;"M000",Premium!$A:$O,5,FALSE)</f>
        <v>450</v>
      </c>
      <c r="L39" s="85"/>
      <c r="M39" s="67"/>
      <c r="N39" s="67"/>
      <c r="P39" s="36">
        <v>0</v>
      </c>
      <c r="Q39" s="37">
        <v>0</v>
      </c>
      <c r="R39" s="37">
        <v>0</v>
      </c>
      <c r="S39" s="37">
        <v>0</v>
      </c>
      <c r="T39" s="37">
        <v>0</v>
      </c>
      <c r="U39" s="38"/>
    </row>
    <row r="40" spans="1:14">
      <c r="A40" t="str">
        <f>B40&amp;2</f>
        <v>2</v>
      </c>
      <c r="B40" s="33"/>
      <c r="C40" s="62"/>
      <c r="D40" s="64"/>
      <c r="E40" s="63"/>
      <c r="H40" s="67"/>
      <c r="I40" s="77" t="s">
        <v>279</v>
      </c>
      <c r="J40" s="78"/>
      <c r="K40" s="80">
        <f ca="1">INDEX($K$3:$K$8,MATCH(K38,$L$3:$L$8))</f>
        <v>20</v>
      </c>
      <c r="L40" s="85"/>
      <c r="M40" s="67"/>
      <c r="N40" s="67"/>
    </row>
    <row r="41" spans="1:16">
      <c r="A41" t="str">
        <f>B41&amp;3</f>
        <v>3</v>
      </c>
      <c r="B41" s="33"/>
      <c r="C41" s="62"/>
      <c r="D41" s="64"/>
      <c r="E41" s="63"/>
      <c r="H41" s="67"/>
      <c r="I41" s="81" t="s">
        <v>280</v>
      </c>
      <c r="J41" s="82"/>
      <c r="K41" s="86">
        <f ca="1">ROUNDUP(K38/(K39-K40)*1000,0)</f>
        <v>1481403</v>
      </c>
      <c r="L41" s="85">
        <f ca="1">K41-1*0</f>
        <v>1481403</v>
      </c>
      <c r="M41" s="67">
        <f ca="1">ROUND(L41*(K39-K40)/1000,2)</f>
        <v>637003.29</v>
      </c>
      <c r="N41" s="67"/>
      <c r="P41" s="87" t="s">
        <v>200</v>
      </c>
    </row>
    <row r="42" spans="1:21">
      <c r="A42" t="str">
        <f>B42&amp;4</f>
        <v>4</v>
      </c>
      <c r="B42" s="33"/>
      <c r="C42" s="62"/>
      <c r="D42" s="64"/>
      <c r="E42" s="63"/>
      <c r="H42" s="67"/>
      <c r="I42" s="67"/>
      <c r="J42" s="67"/>
      <c r="K42" s="67"/>
      <c r="L42" s="85"/>
      <c r="M42" s="67"/>
      <c r="N42" s="67"/>
      <c r="P42" s="23"/>
      <c r="Q42" s="25" t="str">
        <f ca="1">Q25</f>
        <v>NRRBRCU2</v>
      </c>
      <c r="R42" s="25" t="str">
        <f ca="1">R25</f>
        <v>-</v>
      </c>
      <c r="S42" s="25" t="str">
        <f ca="1">S25</f>
        <v>NRRBRCU5</v>
      </c>
      <c r="T42" s="25" t="str">
        <f ca="1">T25</f>
        <v>-</v>
      </c>
      <c r="U42" s="26"/>
    </row>
    <row r="43" spans="1:21">
      <c r="A43" t="str">
        <f>B43&amp;5</f>
        <v>5</v>
      </c>
      <c r="B43" s="33"/>
      <c r="C43" s="62"/>
      <c r="D43" s="64"/>
      <c r="E43" s="63"/>
      <c r="H43" s="67"/>
      <c r="I43" s="67" t="s">
        <v>282</v>
      </c>
      <c r="J43" s="67"/>
      <c r="K43" s="75">
        <f ca="1">IF(K38=M41,K38,ROUND(K41/1000*(K39-K40),2))</f>
        <v>637003.29</v>
      </c>
      <c r="L43" s="85"/>
      <c r="M43" s="67"/>
      <c r="N43" s="67"/>
      <c r="P43" s="27">
        <f ca="1">P26</f>
        <v>0</v>
      </c>
      <c r="Q43" s="113">
        <v>0</v>
      </c>
      <c r="R43" s="113"/>
      <c r="S43" s="113">
        <v>0</v>
      </c>
      <c r="T43" s="113"/>
      <c r="U43" s="28"/>
    </row>
    <row r="44" spans="1:21">
      <c r="A44" t="str">
        <f>B44&amp;6</f>
        <v>6</v>
      </c>
      <c r="B44" s="33"/>
      <c r="C44" s="62"/>
      <c r="D44" s="64"/>
      <c r="E44" s="63"/>
      <c r="H44" s="67"/>
      <c r="I44" s="67"/>
      <c r="J44" s="67"/>
      <c r="K44" s="67"/>
      <c r="L44" s="85"/>
      <c r="M44" s="67"/>
      <c r="N44" s="67"/>
      <c r="P44" s="30">
        <f ca="1" t="shared" ref="P44:P56" si="4">P27</f>
        <v>5000</v>
      </c>
      <c r="Q44" s="113">
        <v>0</v>
      </c>
      <c r="R44" s="113"/>
      <c r="S44" s="113">
        <v>0</v>
      </c>
      <c r="T44" s="113"/>
      <c r="U44" s="28"/>
    </row>
    <row r="45" spans="1:21">
      <c r="A45" t="str">
        <f>B45&amp;1</f>
        <v>1</v>
      </c>
      <c r="B45" s="33"/>
      <c r="C45" s="62"/>
      <c r="D45" s="62"/>
      <c r="E45" s="63"/>
      <c r="H45" s="67"/>
      <c r="I45" s="77" t="s">
        <v>279</v>
      </c>
      <c r="J45" s="67"/>
      <c r="K45" s="67">
        <f ca="1">INDEX($K$3:$K$8,MATCH(K43,$L$3:$L$8))</f>
        <v>20</v>
      </c>
      <c r="L45" s="85"/>
      <c r="M45" s="67"/>
      <c r="N45" s="67"/>
      <c r="P45" s="30">
        <f ca="1" t="shared" si="4"/>
        <v>10000</v>
      </c>
      <c r="Q45" s="113">
        <v>0</v>
      </c>
      <c r="R45" s="113"/>
      <c r="S45" s="113">
        <v>0</v>
      </c>
      <c r="T45" s="113"/>
      <c r="U45" s="28"/>
    </row>
    <row r="46" spans="1:21">
      <c r="A46" t="str">
        <f>B46&amp;2</f>
        <v>2</v>
      </c>
      <c r="B46" s="33"/>
      <c r="C46" s="62"/>
      <c r="D46" s="62"/>
      <c r="E46" s="63"/>
      <c r="H46" s="67"/>
      <c r="I46" s="67"/>
      <c r="J46" s="67"/>
      <c r="K46" s="67"/>
      <c r="L46" s="85"/>
      <c r="M46" s="67"/>
      <c r="N46" s="67"/>
      <c r="P46" s="30">
        <f ca="1" t="shared" si="4"/>
        <v>30000</v>
      </c>
      <c r="Q46" s="113">
        <v>0</v>
      </c>
      <c r="R46" s="113"/>
      <c r="S46" s="113">
        <v>0</v>
      </c>
      <c r="T46" s="113"/>
      <c r="U46" s="28"/>
    </row>
    <row r="47" spans="1:21">
      <c r="A47" t="str">
        <f>B47&amp;3</f>
        <v>3</v>
      </c>
      <c r="B47" s="33"/>
      <c r="C47" s="62"/>
      <c r="D47" s="62"/>
      <c r="E47" s="63"/>
      <c r="H47" s="67"/>
      <c r="I47" s="72" t="s">
        <v>73</v>
      </c>
      <c r="J47" s="73"/>
      <c r="K47" s="74">
        <f ca="1">IF(AND(L47&gt;=M47,L47&lt;=N47),O47,L47)</f>
        <v>637003.28</v>
      </c>
      <c r="L47" s="85">
        <f ca="1">K43-0.01</f>
        <v>637003.28</v>
      </c>
      <c r="M47" s="67">
        <f ca="1">IF(English!$D$3=2,INDEX($W$3:$W$15,MATCH(N47,$X$3:$X$15,FALSE)),INDEX($Z$3:$Z$15,MATCH(N47,$AA$3:$AA$15,FALSE)))</f>
        <v>199999.97</v>
      </c>
      <c r="N47" s="67">
        <f ca="1">IF(English!$D$3=2,VLOOKUP(L47,$W$3:$X$15,2),VLOOKUP(L47,$Z$3:$AA$15,2))</f>
        <v>200000.31</v>
      </c>
      <c r="O47">
        <f ca="1">IF(English!$D$3=2,VLOOKUP(L47,$W$3:$Y$15,3),VLOOKUP(L47,$Z$3:$AB$15,3))</f>
        <v>200000.3</v>
      </c>
      <c r="P47" s="30">
        <f ca="1" t="shared" si="4"/>
        <v>50000</v>
      </c>
      <c r="Q47" s="113">
        <v>0</v>
      </c>
      <c r="R47" s="113"/>
      <c r="S47" s="113">
        <v>0</v>
      </c>
      <c r="T47" s="113"/>
      <c r="U47" s="28"/>
    </row>
    <row r="48" spans="1:21">
      <c r="A48" t="str">
        <f>B48&amp;4</f>
        <v>4</v>
      </c>
      <c r="B48" s="33"/>
      <c r="C48" s="62"/>
      <c r="D48" s="62"/>
      <c r="E48" s="63"/>
      <c r="H48" s="67"/>
      <c r="I48" s="77" t="s">
        <v>278</v>
      </c>
      <c r="J48" s="78"/>
      <c r="K48" s="79">
        <f>VLOOKUP($H$3&amp;"M000",Premium!$A:$O,5,FALSE)</f>
        <v>450</v>
      </c>
      <c r="L48" s="85"/>
      <c r="M48" s="67"/>
      <c r="N48" s="67"/>
      <c r="P48" s="30">
        <f ca="1" t="shared" si="4"/>
        <v>100000</v>
      </c>
      <c r="Q48" s="113">
        <v>0</v>
      </c>
      <c r="R48" s="113"/>
      <c r="S48" s="113">
        <v>0</v>
      </c>
      <c r="T48" s="113"/>
      <c r="U48" s="28"/>
    </row>
    <row r="49" spans="1:21">
      <c r="A49" t="str">
        <f>B49&amp;5</f>
        <v>5</v>
      </c>
      <c r="B49" s="33"/>
      <c r="C49" s="62"/>
      <c r="D49" s="62"/>
      <c r="E49" s="63"/>
      <c r="H49" s="67"/>
      <c r="I49" s="77" t="s">
        <v>279</v>
      </c>
      <c r="J49" s="78"/>
      <c r="K49" s="80">
        <f ca="1">INDEX($K$3:$K$8,MATCH(K47,$L$3:$L$8))</f>
        <v>20</v>
      </c>
      <c r="L49" s="85"/>
      <c r="M49" s="67"/>
      <c r="N49" s="67"/>
      <c r="P49" s="30">
        <f ca="1" t="shared" si="4"/>
        <v>250000</v>
      </c>
      <c r="Q49" s="113">
        <v>0</v>
      </c>
      <c r="R49" s="113"/>
      <c r="S49" s="113">
        <v>0</v>
      </c>
      <c r="T49" s="113"/>
      <c r="U49" s="28"/>
    </row>
    <row r="50" spans="1:21">
      <c r="A50" t="str">
        <f>B50&amp;6</f>
        <v>6</v>
      </c>
      <c r="B50" s="36"/>
      <c r="C50" s="65"/>
      <c r="D50" s="65"/>
      <c r="E50" s="66"/>
      <c r="H50" s="67"/>
      <c r="I50" s="81" t="s">
        <v>280</v>
      </c>
      <c r="J50" s="82"/>
      <c r="K50" s="86">
        <f ca="1">ROUNDUP(K47/(K48-K49)*1000,0)</f>
        <v>1481403</v>
      </c>
      <c r="L50" s="85">
        <f ca="1">K50-1*0</f>
        <v>1481403</v>
      </c>
      <c r="M50" s="67">
        <f ca="1">ROUND(L50*(K48-K49)/1000,2)</f>
        <v>637003.29</v>
      </c>
      <c r="N50" s="67"/>
      <c r="P50" s="30">
        <f ca="1" t="shared" si="4"/>
        <v>500000</v>
      </c>
      <c r="Q50" s="113">
        <v>0</v>
      </c>
      <c r="R50" s="113"/>
      <c r="S50" s="113">
        <v>0</v>
      </c>
      <c r="T50" s="113"/>
      <c r="U50" s="28"/>
    </row>
    <row r="51" spans="8:21">
      <c r="H51" s="67"/>
      <c r="I51" s="67"/>
      <c r="J51" s="67"/>
      <c r="K51" s="67"/>
      <c r="L51" s="85"/>
      <c r="M51" s="67"/>
      <c r="N51" s="67"/>
      <c r="P51" s="30">
        <f ca="1" t="shared" si="4"/>
        <v>0</v>
      </c>
      <c r="Q51" s="113">
        <v>0</v>
      </c>
      <c r="R51" s="113"/>
      <c r="S51" s="113">
        <v>0</v>
      </c>
      <c r="T51" s="113"/>
      <c r="U51" s="28"/>
    </row>
    <row r="52" spans="8:21">
      <c r="H52" s="67"/>
      <c r="I52" s="67" t="s">
        <v>282</v>
      </c>
      <c r="J52" s="67"/>
      <c r="K52" s="75">
        <f ca="1">IF(K47=M50,K47,ROUND(K50/1000*(K48-K49),2))</f>
        <v>637003.29</v>
      </c>
      <c r="L52" s="85"/>
      <c r="M52" s="67"/>
      <c r="N52" s="67"/>
      <c r="P52" s="30">
        <f ca="1" t="shared" si="4"/>
        <v>0</v>
      </c>
      <c r="Q52" s="113">
        <v>0</v>
      </c>
      <c r="R52" s="113"/>
      <c r="S52" s="113">
        <v>0</v>
      </c>
      <c r="T52" s="113"/>
      <c r="U52" s="28"/>
    </row>
    <row r="53" spans="8:21">
      <c r="H53" s="67"/>
      <c r="I53" s="67"/>
      <c r="J53" s="67"/>
      <c r="K53" s="67"/>
      <c r="L53" s="85"/>
      <c r="M53" s="67"/>
      <c r="N53" s="67"/>
      <c r="P53" s="30">
        <f ca="1" t="shared" si="4"/>
        <v>0</v>
      </c>
      <c r="Q53" s="113">
        <v>0</v>
      </c>
      <c r="R53" s="113"/>
      <c r="S53" s="113">
        <v>0</v>
      </c>
      <c r="T53" s="113"/>
      <c r="U53" s="28"/>
    </row>
    <row r="54" spans="8:21">
      <c r="H54" s="67"/>
      <c r="I54" s="77" t="s">
        <v>279</v>
      </c>
      <c r="J54" s="67"/>
      <c r="K54" s="67">
        <f ca="1">INDEX($K$3:$K$8,MATCH(K52,$L$3:$L$8))</f>
        <v>20</v>
      </c>
      <c r="L54" s="85"/>
      <c r="M54" s="67"/>
      <c r="N54" s="67"/>
      <c r="P54" s="30">
        <f ca="1" t="shared" si="4"/>
        <v>0</v>
      </c>
      <c r="Q54" s="113">
        <v>0</v>
      </c>
      <c r="R54" s="113"/>
      <c r="S54" s="113">
        <v>0</v>
      </c>
      <c r="T54" s="113"/>
      <c r="U54" s="28"/>
    </row>
    <row r="55" spans="12:21">
      <c r="L55" s="4"/>
      <c r="P55" s="30">
        <f ca="1" t="shared" si="4"/>
        <v>0</v>
      </c>
      <c r="Q55" s="113">
        <v>0</v>
      </c>
      <c r="R55" s="113"/>
      <c r="S55" s="113">
        <v>0</v>
      </c>
      <c r="T55" s="113"/>
      <c r="U55" s="28"/>
    </row>
    <row r="56" spans="8:21">
      <c r="H56" s="68" t="s">
        <v>294</v>
      </c>
      <c r="I56" s="88" t="s">
        <v>73</v>
      </c>
      <c r="J56" s="89"/>
      <c r="K56" s="90">
        <f ca="1">IF(AND(L56&gt;=M56,L56&lt;=N56),O56,L56)</f>
        <v>637003.28</v>
      </c>
      <c r="L56" s="91">
        <f ca="1">K52-0.01</f>
        <v>637003.28</v>
      </c>
      <c r="M56" s="68">
        <f ca="1">IF(English!$D$3=2,INDEX($W$3:$W$15,MATCH(N56,$X$3:$X$15,FALSE)),INDEX($Z$3:$Z$15,MATCH(N56,$AA$3:$AA$15,FALSE)))</f>
        <v>199999.97</v>
      </c>
      <c r="N56" s="68">
        <f ca="1">IF(English!$D$3=2,VLOOKUP(L56,$W$3:$X$15,2),VLOOKUP(L56,$Z$3:$AA$15,2))</f>
        <v>200000.31</v>
      </c>
      <c r="O56">
        <f ca="1">IF(English!$D$3=2,VLOOKUP(L56,$W$3:$Y$15,3),VLOOKUP(L56,$Z$3:$AB$15,3))</f>
        <v>200000.3</v>
      </c>
      <c r="P56" s="30">
        <f ca="1" t="shared" si="4"/>
        <v>0</v>
      </c>
      <c r="Q56" s="113">
        <v>0</v>
      </c>
      <c r="R56" s="113"/>
      <c r="S56" s="113">
        <v>0</v>
      </c>
      <c r="T56" s="113"/>
      <c r="U56" s="28"/>
    </row>
    <row r="57" spans="8:14">
      <c r="H57" s="68"/>
      <c r="I57" s="92" t="s">
        <v>278</v>
      </c>
      <c r="J57" s="93"/>
      <c r="K57" s="94">
        <f>VLOOKUP($H3&amp;"M000",Premium!$A:$O,5,FALSE)</f>
        <v>450</v>
      </c>
      <c r="L57" s="68"/>
      <c r="M57" s="68"/>
      <c r="N57" s="68"/>
    </row>
    <row r="58" spans="8:14">
      <c r="H58" s="68"/>
      <c r="I58" s="92" t="s">
        <v>279</v>
      </c>
      <c r="J58" s="93"/>
      <c r="K58" s="95">
        <f ca="1">INDEX($K$3:$K$8,MATCH(K56,$L$3:$L$8))</f>
        <v>20</v>
      </c>
      <c r="L58" s="68"/>
      <c r="M58" s="68"/>
      <c r="N58" s="68"/>
    </row>
    <row r="59" spans="8:14">
      <c r="H59" s="68"/>
      <c r="I59" s="96" t="s">
        <v>280</v>
      </c>
      <c r="J59" s="97"/>
      <c r="K59" s="98">
        <f ca="1">ROUNDUP(K56/(K57-K58)*1000,0)</f>
        <v>1481403</v>
      </c>
      <c r="L59" s="99">
        <f ca="1">K59-1*0</f>
        <v>1481403</v>
      </c>
      <c r="M59" s="68">
        <f ca="1">ROUND(L59*(K57-K58)/1000,2)</f>
        <v>637003.29</v>
      </c>
      <c r="N59" s="68"/>
    </row>
    <row r="60" spans="8:14">
      <c r="H60" s="68"/>
      <c r="I60" s="68"/>
      <c r="J60" s="68"/>
      <c r="K60" s="68"/>
      <c r="L60" s="68"/>
      <c r="M60" s="68"/>
      <c r="N60" s="68"/>
    </row>
    <row r="61" spans="8:14">
      <c r="H61" s="68"/>
      <c r="I61" s="68" t="s">
        <v>282</v>
      </c>
      <c r="J61" s="68"/>
      <c r="K61" s="100">
        <f ca="1">IF(K56=M59,K56,ROUND(K59/1000*(K57-K58),2))</f>
        <v>637003.29</v>
      </c>
      <c r="L61" s="68"/>
      <c r="M61" s="68"/>
      <c r="N61" s="68"/>
    </row>
    <row r="62" spans="8:14">
      <c r="H62" s="68"/>
      <c r="I62" s="68"/>
      <c r="J62" s="68"/>
      <c r="K62" s="68"/>
      <c r="L62" s="68"/>
      <c r="M62" s="68"/>
      <c r="N62" s="68"/>
    </row>
    <row r="63" spans="8:14">
      <c r="H63" s="68"/>
      <c r="I63" s="92" t="s">
        <v>279</v>
      </c>
      <c r="J63" s="68"/>
      <c r="K63" s="68">
        <f ca="1">INDEX($K$3:$K$8,MATCH(K61,$L$3:$L$8))</f>
        <v>20</v>
      </c>
      <c r="L63" s="68"/>
      <c r="M63" s="68"/>
      <c r="N63" s="68"/>
    </row>
  </sheetData>
  <sheetProtection algorithmName="SHA-512" hashValue="2f9STYs6YE+oQogzK97eJbSTxN+BiEvDMx9IQcsI45fsfdrRSbNsKmkvXMgYuVhL6QKsfAKQjIDxsTt3uXZ6AA==" saltValue="Fcsv/rU5/ZvOmr11Yj4AcQ==" spinCount="100000" sheet="1" objects="1" scenarios="1"/>
  <sortState ref="Q28:Q37">
    <sortCondition ref="Q28:Q37"/>
  </sortState>
  <conditionalFormatting sqref="AC1:AJ1 AC16:AJ38 AQ1:AQ38 AX1:BK1 AX16:BK38 AC2:AQ15">
    <cfRule type="expression" dxfId="3" priority="3">
      <formula>AC1=FALSE</formula>
    </cfRule>
  </conditionalFormatting>
  <conditionalFormatting sqref="AK1:AP1 AK16:AP38">
    <cfRule type="expression" dxfId="3" priority="2">
      <formula>AK1=FALSE</formula>
    </cfRule>
  </conditionalFormatting>
  <conditionalFormatting sqref="AR1:AW1 AR16:AW38">
    <cfRule type="expression" dxfId="3" priority="1">
      <formula>AR1=FALSE</formula>
    </cfRule>
  </conditionalFormatting>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AB63"/>
  <sheetViews>
    <sheetView workbookViewId="0">
      <selection activeCell="A1" sqref="A1"/>
    </sheetView>
  </sheetViews>
  <sheetFormatPr defaultColWidth="9" defaultRowHeight="15.75"/>
  <cols>
    <col min="1" max="1" width="18.625" customWidth="1"/>
    <col min="2" max="2" width="20.125" customWidth="1"/>
    <col min="4" max="4" width="16.125" customWidth="1"/>
    <col min="5" max="5" width="15" customWidth="1"/>
    <col min="8" max="8" width="17.625" customWidth="1"/>
    <col min="11" max="11" width="15.5" customWidth="1"/>
    <col min="12" max="12" width="14.75" customWidth="1"/>
    <col min="13" max="13" width="12.625" customWidth="1"/>
    <col min="14" max="14" width="10.625" customWidth="1"/>
    <col min="17" max="19" width="14.125" customWidth="1"/>
    <col min="20" max="20" width="11.5" customWidth="1"/>
    <col min="23" max="23" width="24.125" customWidth="1"/>
    <col min="24" max="24" width="15.625" customWidth="1"/>
    <col min="25" max="25" width="10.75" customWidth="1"/>
    <col min="26" max="26" width="21.625" customWidth="1"/>
    <col min="27" max="27" width="14.625" customWidth="1"/>
    <col min="28" max="28" width="10.75" customWidth="1"/>
  </cols>
  <sheetData>
    <row r="1" spans="2:16">
      <c r="B1" s="53" t="s">
        <v>267</v>
      </c>
      <c r="C1" s="54"/>
      <c r="D1" s="54"/>
      <c r="E1" s="55"/>
      <c r="I1">
        <v>3</v>
      </c>
      <c r="J1">
        <v>4</v>
      </c>
      <c r="K1">
        <v>5</v>
      </c>
      <c r="L1">
        <v>6</v>
      </c>
      <c r="P1" s="21" t="s">
        <v>268</v>
      </c>
    </row>
    <row r="2" ht="16.5" spans="2:28">
      <c r="B2" s="56" t="s">
        <v>269</v>
      </c>
      <c r="C2" s="57" t="s">
        <v>270</v>
      </c>
      <c r="D2" s="58" t="s">
        <v>271</v>
      </c>
      <c r="E2" s="59" t="s">
        <v>272</v>
      </c>
      <c r="F2" s="60"/>
      <c r="G2" s="60"/>
      <c r="H2" s="57" t="s">
        <v>269</v>
      </c>
      <c r="I2" s="57" t="s">
        <v>270</v>
      </c>
      <c r="J2" s="58" t="s">
        <v>271</v>
      </c>
      <c r="K2" s="57" t="s">
        <v>272</v>
      </c>
      <c r="L2" s="57" t="s">
        <v>273</v>
      </c>
      <c r="M2" s="57" t="s">
        <v>274</v>
      </c>
      <c r="N2" s="60"/>
      <c r="W2" s="101" t="str">
        <f>"Premium Mapping for 2-Pay"&amp;" "&amp;'Trad Chinese'!$D$7</f>
        <v>Premium Mapping for 2-Pay 港幣</v>
      </c>
      <c r="X2" s="102"/>
      <c r="Y2" s="102"/>
      <c r="Z2" s="101" t="str">
        <f>"Premium Mapping for 5-Pay"&amp;" "&amp;'Trad Chinese'!$D$7</f>
        <v>Premium Mapping for 5-Pay 港幣</v>
      </c>
      <c r="AA2" s="102"/>
      <c r="AB2" s="102"/>
    </row>
    <row r="3" spans="1:28">
      <c r="A3" t="str">
        <f>B3&amp;1</f>
        <v>NRRBRCU21</v>
      </c>
      <c r="B3" s="61" t="s">
        <v>275</v>
      </c>
      <c r="C3" s="54" t="s">
        <v>89</v>
      </c>
      <c r="D3" s="54">
        <v>0</v>
      </c>
      <c r="E3" s="55">
        <v>0</v>
      </c>
      <c r="G3" t="str">
        <f>H3&amp;1</f>
        <v>NRRBRCH51</v>
      </c>
      <c r="H3" t="str">
        <f>"NRRBRC"&amp;IF('Trad Chinese'!$D$7="美元","U",IF('Trad Chinese'!$D$7="港幣","H","C"))&amp;'Trad Chinese'!$D$3</f>
        <v>NRRBRCH5</v>
      </c>
      <c r="I3" t="str">
        <f>VLOOKUP($G3,$A$3:$E$124,I$1,0)</f>
        <v>HKD</v>
      </c>
      <c r="J3">
        <f t="shared" ref="I3:K8" si="0">VLOOKUP($G3,$A$3:$E$124,J$1,0)</f>
        <v>0</v>
      </c>
      <c r="K3">
        <f t="shared" si="0"/>
        <v>0</v>
      </c>
      <c r="L3" s="69">
        <f>ROUNDDOWN((VLOOKUP($H3&amp;"M000",Premium!$A:$O,5,FALSE)-K3)*J3/1000,0)</f>
        <v>0</v>
      </c>
      <c r="M3" s="70">
        <f>L4</f>
        <v>24000</v>
      </c>
      <c r="P3" s="23" t="s">
        <v>73</v>
      </c>
      <c r="Q3" s="25" t="str">
        <f ca="1">Q25</f>
        <v>NRRBRCH2</v>
      </c>
      <c r="R3" s="25" t="str">
        <f ca="1">R25</f>
        <v>-</v>
      </c>
      <c r="S3" s="25" t="str">
        <f ca="1">S25</f>
        <v>NRRBRCH5</v>
      </c>
      <c r="T3" s="25" t="str">
        <f ca="1">T25</f>
        <v>-</v>
      </c>
      <c r="U3" s="26"/>
      <c r="W3" s="103" cm="1">
        <f ca="1" t="array" ref="W3:AB8">OFFSET('Multiple Ccy Mapping_TC'!K:Q,MATCH('Trad Chinese'!D7,'Multiple Ccy Mapping_TC'!K:K,0),1,6,6)</f>
        <v>0</v>
      </c>
      <c r="X3" s="104">
        <v>0</v>
      </c>
      <c r="Y3" s="114">
        <v>0</v>
      </c>
      <c r="Z3" s="103">
        <v>0</v>
      </c>
      <c r="AA3" s="104">
        <v>0</v>
      </c>
      <c r="AB3" s="114">
        <v>0</v>
      </c>
    </row>
    <row r="4" spans="1:28">
      <c r="A4" t="str">
        <f>B4&amp;2</f>
        <v>NRRBRCU22</v>
      </c>
      <c r="B4" s="33" t="s">
        <v>275</v>
      </c>
      <c r="C4" s="62" t="s">
        <v>89</v>
      </c>
      <c r="D4" s="62">
        <v>16854</v>
      </c>
      <c r="E4" s="63">
        <v>5</v>
      </c>
      <c r="G4" t="str">
        <f>H4&amp;2</f>
        <v>NRRBRCH52</v>
      </c>
      <c r="H4" t="str">
        <f>"NRRBRC"&amp;IF('Trad Chinese'!$D$7="美元","U",IF('Trad Chinese'!$D$7="港幣","H","C"))&amp;'Trad Chinese'!$D$3</f>
        <v>NRRBRCH5</v>
      </c>
      <c r="I4" t="str">
        <f t="shared" si="0"/>
        <v>HKD</v>
      </c>
      <c r="J4">
        <f t="shared" si="0"/>
        <v>161080</v>
      </c>
      <c r="K4">
        <f t="shared" si="0"/>
        <v>7</v>
      </c>
      <c r="L4" s="69">
        <f>ROUNDDOWN((VLOOKUP($H4&amp;"M000",Premium!$A:$O,5,FALSE)-K4)*J4/1000,0)</f>
        <v>24000</v>
      </c>
      <c r="M4" s="70">
        <f>L5</f>
        <v>40000</v>
      </c>
      <c r="P4" s="27">
        <f ca="1">P26</f>
        <v>0</v>
      </c>
      <c r="Q4" s="28">
        <f ca="1">Q26+Q43</f>
        <v>0</v>
      </c>
      <c r="R4" s="28"/>
      <c r="S4" s="28">
        <f ca="1">S26+S43</f>
        <v>0</v>
      </c>
      <c r="T4" s="28"/>
      <c r="U4" s="28"/>
      <c r="W4" s="105">
        <v>59999.8600000002</v>
      </c>
      <c r="X4" s="106">
        <v>60000.24</v>
      </c>
      <c r="Y4" s="115">
        <v>60000.24</v>
      </c>
      <c r="Z4" s="105">
        <v>23999.98</v>
      </c>
      <c r="AA4" s="106">
        <v>24000.92</v>
      </c>
      <c r="AB4" s="115">
        <v>24000.92</v>
      </c>
    </row>
    <row r="5" spans="1:28">
      <c r="A5" t="str">
        <f>B5&amp;3</f>
        <v>NRRBRCU23</v>
      </c>
      <c r="B5" s="33" t="s">
        <v>275</v>
      </c>
      <c r="C5" s="62" t="s">
        <v>89</v>
      </c>
      <c r="D5" s="62">
        <v>28572</v>
      </c>
      <c r="E5" s="63">
        <v>12.5</v>
      </c>
      <c r="G5" t="str">
        <f>H5&amp;3</f>
        <v>NRRBRCH53</v>
      </c>
      <c r="H5" t="str">
        <f>"NRRBRC"&amp;IF('Trad Chinese'!$D$7="美元","U",IF('Trad Chinese'!$D$7="港幣","H","C"))&amp;'Trad Chinese'!$D$3</f>
        <v>NRRBRCH5</v>
      </c>
      <c r="I5" t="str">
        <f t="shared" si="0"/>
        <v>HKD</v>
      </c>
      <c r="J5">
        <f t="shared" si="0"/>
        <v>272112</v>
      </c>
      <c r="K5">
        <f t="shared" si="0"/>
        <v>9</v>
      </c>
      <c r="L5" s="69">
        <f>ROUNDDOWN((VLOOKUP($H5&amp;"M000",Premium!$A:$O,5,FALSE)-K5)*J5/1000,0)</f>
        <v>40000</v>
      </c>
      <c r="M5" s="70">
        <f>L6</f>
        <v>80000</v>
      </c>
      <c r="P5" s="30">
        <f ca="1" t="shared" ref="P5:P11" si="1">P27</f>
        <v>40000</v>
      </c>
      <c r="Q5" s="28">
        <f ca="1" t="shared" ref="Q5:S10" si="2">Q27+Q44</f>
        <v>0</v>
      </c>
      <c r="R5" s="28"/>
      <c r="S5" s="28">
        <f ca="1" t="shared" si="2"/>
        <v>0.05</v>
      </c>
      <c r="T5" s="28"/>
      <c r="U5" s="28"/>
      <c r="W5" s="105">
        <v>100001.74</v>
      </c>
      <c r="X5" s="106">
        <v>100002.44</v>
      </c>
      <c r="Y5" s="115">
        <v>100002.4</v>
      </c>
      <c r="Z5" s="105">
        <v>39999.95</v>
      </c>
      <c r="AA5" s="106">
        <v>40000.46</v>
      </c>
      <c r="AB5" s="115">
        <v>40000.46</v>
      </c>
    </row>
    <row r="6" spans="1:28">
      <c r="A6" t="str">
        <f>B6&amp;4</f>
        <v>NRRBRCU24</v>
      </c>
      <c r="B6" s="33" t="s">
        <v>275</v>
      </c>
      <c r="C6" s="62" t="s">
        <v>89</v>
      </c>
      <c r="D6" s="64">
        <v>57737</v>
      </c>
      <c r="E6" s="63">
        <v>17</v>
      </c>
      <c r="G6" t="str">
        <f>H6&amp;4</f>
        <v>NRRBRCH54</v>
      </c>
      <c r="H6" t="str">
        <f>"NRRBRC"&amp;IF('Trad Chinese'!$D$7="美元","U",IF('Trad Chinese'!$D$7="港幣","H","C"))&amp;'Trad Chinese'!$D$3</f>
        <v>NRRBRCH5</v>
      </c>
      <c r="I6" t="str">
        <f t="shared" si="0"/>
        <v>HKD</v>
      </c>
      <c r="J6">
        <f t="shared" si="0"/>
        <v>551728</v>
      </c>
      <c r="K6">
        <f t="shared" si="0"/>
        <v>11</v>
      </c>
      <c r="L6" s="69">
        <f>ROUNDDOWN((VLOOKUP($H6&amp;"M000",Premium!$A:$O,5,FALSE)-K6)*J6/1000,0)</f>
        <v>80000</v>
      </c>
      <c r="M6" s="70">
        <f>L7</f>
        <v>160000</v>
      </c>
      <c r="P6" s="30">
        <f ca="1" t="shared" si="1"/>
        <v>80000</v>
      </c>
      <c r="Q6" s="28">
        <f ca="1" t="shared" si="2"/>
        <v>0</v>
      </c>
      <c r="R6" s="28"/>
      <c r="S6" s="28">
        <f ca="1" t="shared" si="2"/>
        <v>0.12</v>
      </c>
      <c r="T6" s="28"/>
      <c r="U6" s="28"/>
      <c r="W6" s="105">
        <v>199999.63</v>
      </c>
      <c r="X6" s="106">
        <v>200000.97</v>
      </c>
      <c r="Y6" s="115">
        <v>200000.96</v>
      </c>
      <c r="Z6" s="107">
        <v>79999.9</v>
      </c>
      <c r="AA6" s="106">
        <v>80000.56</v>
      </c>
      <c r="AB6" s="115">
        <v>80000.56</v>
      </c>
    </row>
    <row r="7" spans="1:28">
      <c r="A7" t="str">
        <f>B7&amp;5</f>
        <v>NRRBRCU25</v>
      </c>
      <c r="B7" s="33" t="s">
        <v>275</v>
      </c>
      <c r="C7" s="62" t="s">
        <v>89</v>
      </c>
      <c r="D7" s="64">
        <v>116145</v>
      </c>
      <c r="E7" s="63">
        <v>19.5</v>
      </c>
      <c r="G7" t="str">
        <f>H7&amp;5</f>
        <v>NRRBRCH55</v>
      </c>
      <c r="H7" t="str">
        <f>"NRRBRC"&amp;IF('Trad Chinese'!$D$7="美元","U",IF('Trad Chinese'!$D$7="港幣","H","C"))&amp;'Trad Chinese'!$D$3</f>
        <v>NRRBRCH5</v>
      </c>
      <c r="I7" t="str">
        <f t="shared" si="0"/>
        <v>HKD</v>
      </c>
      <c r="J7">
        <f t="shared" si="0"/>
        <v>1114984</v>
      </c>
      <c r="K7">
        <f t="shared" si="0"/>
        <v>12.5</v>
      </c>
      <c r="L7" s="69">
        <f>ROUNDDOWN((VLOOKUP($H7&amp;"M000",Premium!$A:$O,5,FALSE)-K7)*J7/1000,0)</f>
        <v>160000</v>
      </c>
      <c r="M7" s="70">
        <f>L8</f>
        <v>640000</v>
      </c>
      <c r="P7" s="30">
        <f ca="1" t="shared" si="1"/>
        <v>240000</v>
      </c>
      <c r="Q7" s="28">
        <f ca="1" t="shared" si="2"/>
        <v>0</v>
      </c>
      <c r="R7" s="28"/>
      <c r="S7" s="28">
        <f ca="1" t="shared" si="2"/>
        <v>0.15</v>
      </c>
      <c r="T7" s="28"/>
      <c r="U7" s="28"/>
      <c r="W7" s="107">
        <v>400002.810000001</v>
      </c>
      <c r="X7" s="108">
        <v>400003.38</v>
      </c>
      <c r="Y7" s="115">
        <v>400003.37</v>
      </c>
      <c r="Z7" s="107">
        <v>159999.960000001</v>
      </c>
      <c r="AA7" s="106">
        <v>160000.204</v>
      </c>
      <c r="AB7" s="115">
        <v>160000.204</v>
      </c>
    </row>
    <row r="8" spans="1:28">
      <c r="A8" t="str">
        <f>B8&amp;6</f>
        <v>NRRBRCU26</v>
      </c>
      <c r="B8" s="36" t="s">
        <v>275</v>
      </c>
      <c r="C8" s="65" t="s">
        <v>89</v>
      </c>
      <c r="D8" s="65">
        <v>465117</v>
      </c>
      <c r="E8" s="66">
        <v>20</v>
      </c>
      <c r="G8" t="str">
        <f>H8&amp;6</f>
        <v>NRRBRCH56</v>
      </c>
      <c r="H8" t="str">
        <f>"NRRBRC"&amp;IF('Trad Chinese'!$D$7="美元","U",IF('Trad Chinese'!$D$7="港幣","H","C"))&amp;'Trad Chinese'!$D$3</f>
        <v>NRRBRCH5</v>
      </c>
      <c r="I8" t="str">
        <f t="shared" si="0"/>
        <v>HKD</v>
      </c>
      <c r="J8">
        <f t="shared" si="0"/>
        <v>4475528</v>
      </c>
      <c r="K8">
        <f t="shared" si="0"/>
        <v>13</v>
      </c>
      <c r="L8" s="69">
        <f>ROUNDDOWN((VLOOKUP($H8&amp;"M000",Premium!$A:$O,5,FALSE)-K8)*J8/1000,0)</f>
        <v>640000</v>
      </c>
      <c r="M8" s="70"/>
      <c r="P8" s="30">
        <f ca="1" t="shared" si="1"/>
        <v>400000</v>
      </c>
      <c r="Q8" s="28">
        <f ca="1" t="shared" si="2"/>
        <v>0</v>
      </c>
      <c r="R8" s="28"/>
      <c r="S8" s="28">
        <f ca="1" t="shared" si="2"/>
        <v>0.2</v>
      </c>
      <c r="T8" s="28"/>
      <c r="U8" s="28"/>
      <c r="W8" s="105">
        <v>1600001.9</v>
      </c>
      <c r="X8" s="106">
        <v>1600002.48</v>
      </c>
      <c r="Y8" s="115">
        <v>1600002.48</v>
      </c>
      <c r="Z8" s="105">
        <v>639999.96</v>
      </c>
      <c r="AA8" s="106">
        <v>640000.5</v>
      </c>
      <c r="AB8" s="115">
        <v>640000.504</v>
      </c>
    </row>
    <row r="9" spans="1:28">
      <c r="A9" t="str">
        <f>B9&amp;1</f>
        <v>NRRBRCH21</v>
      </c>
      <c r="B9" s="33" t="s">
        <v>276</v>
      </c>
      <c r="C9" s="62" t="s">
        <v>97</v>
      </c>
      <c r="D9" s="54">
        <f>D3</f>
        <v>0</v>
      </c>
      <c r="E9" s="55">
        <f>E3</f>
        <v>0</v>
      </c>
      <c r="M9" s="71"/>
      <c r="P9" s="30">
        <f ca="1" t="shared" si="1"/>
        <v>800000</v>
      </c>
      <c r="Q9" s="28">
        <f ca="1" t="shared" si="2"/>
        <v>0</v>
      </c>
      <c r="R9" s="28"/>
      <c r="S9" s="28">
        <f ca="1" t="shared" si="2"/>
        <v>0.22</v>
      </c>
      <c r="T9" s="28"/>
      <c r="U9" s="28"/>
      <c r="W9" s="107"/>
      <c r="X9" s="108"/>
      <c r="Y9" s="115"/>
      <c r="Z9" s="105"/>
      <c r="AA9" s="106"/>
      <c r="AB9" s="115"/>
    </row>
    <row r="10" spans="1:28">
      <c r="A10" t="str">
        <f>B10&amp;2</f>
        <v>NRRBRCH22</v>
      </c>
      <c r="B10" s="33" t="s">
        <v>276</v>
      </c>
      <c r="C10" s="62" t="s">
        <v>97</v>
      </c>
      <c r="D10" s="62">
        <v>134832</v>
      </c>
      <c r="E10" s="63">
        <v>5</v>
      </c>
      <c r="P10" s="30">
        <f ca="1" t="shared" si="1"/>
        <v>2000000</v>
      </c>
      <c r="Q10" s="28">
        <f ca="1" t="shared" si="2"/>
        <v>0</v>
      </c>
      <c r="R10" s="28"/>
      <c r="S10" s="28">
        <f ca="1" t="shared" si="2"/>
        <v>0.24</v>
      </c>
      <c r="T10" s="28"/>
      <c r="U10" s="28"/>
      <c r="W10" s="105"/>
      <c r="X10" s="106"/>
      <c r="Y10" s="115"/>
      <c r="Z10" s="105"/>
      <c r="AA10" s="106"/>
      <c r="AB10" s="115"/>
    </row>
    <row r="11" spans="1:28">
      <c r="A11" t="str">
        <f>B11&amp;3</f>
        <v>NRRBRCH23</v>
      </c>
      <c r="B11" s="33" t="s">
        <v>276</v>
      </c>
      <c r="C11" s="62" t="s">
        <v>97</v>
      </c>
      <c r="D11" s="62">
        <v>228576</v>
      </c>
      <c r="E11" s="63">
        <v>12.5</v>
      </c>
      <c r="H11" s="67" t="s">
        <v>277</v>
      </c>
      <c r="I11" s="72" t="s">
        <v>73</v>
      </c>
      <c r="J11" s="73"/>
      <c r="K11" s="74">
        <f ca="1">IF(AND(L11&gt;=M11,L11&lt;=N11),O11,L11)</f>
        <v>561243.86</v>
      </c>
      <c r="L11" s="75">
        <f ca="1">'Trad Chinese'!$I$4</f>
        <v>561243.86</v>
      </c>
      <c r="M11" s="67">
        <f ca="1">IF('Trad Chinese'!$D$3=2,INDEX($W$3:$W$15,MATCH($N$11,$X$3:$X$15,FALSE)),INDEX($Z$3:$Z$15,MATCH($N$11,$AA$3:$AA$15,FALSE)))</f>
        <v>159999.960000001</v>
      </c>
      <c r="N11" s="76">
        <f ca="1">IF('Trad Chinese'!$D$3=2,VLOOKUP(L11,$W$3:$Y$15,2),VLOOKUP(L11,$Z$3:$AB$15,2))</f>
        <v>160000.204</v>
      </c>
      <c r="O11">
        <f ca="1">IF('Trad Chinese'!$D$3=2,VLOOKUP(L11,$W$3:$Y$15,3),VLOOKUP(L11,$Z$3:$AB$15,3))</f>
        <v>160000.204</v>
      </c>
      <c r="P11" s="30">
        <f ca="1" t="shared" si="1"/>
        <v>4000000</v>
      </c>
      <c r="Q11" s="28">
        <f ca="1" t="shared" ref="Q11" si="3">Q33+Q50</f>
        <v>0</v>
      </c>
      <c r="R11" s="28"/>
      <c r="S11" s="28">
        <f ca="1" t="shared" ref="S11" si="4">S33+S50</f>
        <v>0.26</v>
      </c>
      <c r="T11" s="28"/>
      <c r="U11" s="28"/>
      <c r="W11" s="105"/>
      <c r="X11" s="106"/>
      <c r="Y11" s="115"/>
      <c r="Z11" s="105"/>
      <c r="AA11" s="106"/>
      <c r="AB11" s="115"/>
    </row>
    <row r="12" spans="1:28">
      <c r="A12" t="str">
        <f>B12&amp;4</f>
        <v>NRRBRCH24</v>
      </c>
      <c r="B12" s="33" t="s">
        <v>276</v>
      </c>
      <c r="C12" s="62" t="s">
        <v>97</v>
      </c>
      <c r="D12" s="64">
        <v>461896</v>
      </c>
      <c r="E12" s="63">
        <v>17</v>
      </c>
      <c r="H12" s="67"/>
      <c r="I12" s="77" t="s">
        <v>278</v>
      </c>
      <c r="J12" s="78"/>
      <c r="K12" s="79">
        <f>VLOOKUP($H3&amp;"M000",Premium!$A:$O,5,FALSE)</f>
        <v>156</v>
      </c>
      <c r="L12" s="67"/>
      <c r="M12" s="67"/>
      <c r="N12" s="67"/>
      <c r="P12" s="30"/>
      <c r="Q12" s="28"/>
      <c r="R12" s="28"/>
      <c r="S12" s="28"/>
      <c r="T12" s="28"/>
      <c r="U12" s="28"/>
      <c r="W12" s="105"/>
      <c r="X12" s="106"/>
      <c r="Y12" s="115"/>
      <c r="Z12" s="105"/>
      <c r="AA12" s="106"/>
      <c r="AB12" s="115"/>
    </row>
    <row r="13" spans="1:28">
      <c r="A13" t="str">
        <f>B13&amp;5</f>
        <v>NRRBRCH25</v>
      </c>
      <c r="B13" s="33" t="s">
        <v>276</v>
      </c>
      <c r="C13" s="62" t="s">
        <v>97</v>
      </c>
      <c r="D13" s="64">
        <v>929160</v>
      </c>
      <c r="E13" s="63">
        <v>19.5</v>
      </c>
      <c r="H13" s="67"/>
      <c r="I13" s="77" t="s">
        <v>279</v>
      </c>
      <c r="J13" s="78"/>
      <c r="K13" s="80">
        <f ca="1">INDEX($K$3:$K$8,MATCH(K11,$L$3:$L$8))</f>
        <v>12.5</v>
      </c>
      <c r="L13" s="67"/>
      <c r="M13" s="67"/>
      <c r="N13" s="67"/>
      <c r="P13" s="30"/>
      <c r="Q13" s="28"/>
      <c r="R13" s="28"/>
      <c r="S13" s="28"/>
      <c r="T13" s="28"/>
      <c r="U13" s="28"/>
      <c r="W13" s="105"/>
      <c r="X13" s="106"/>
      <c r="Y13" s="115"/>
      <c r="Z13" s="105"/>
      <c r="AA13" s="106"/>
      <c r="AB13" s="115"/>
    </row>
    <row r="14" spans="1:28">
      <c r="A14" t="str">
        <f>B14&amp;6</f>
        <v>NRRBRCH26</v>
      </c>
      <c r="B14" s="33" t="s">
        <v>276</v>
      </c>
      <c r="C14" s="65" t="s">
        <v>97</v>
      </c>
      <c r="D14" s="65">
        <v>3720936</v>
      </c>
      <c r="E14" s="66">
        <v>20</v>
      </c>
      <c r="H14" s="67"/>
      <c r="I14" s="81" t="s">
        <v>280</v>
      </c>
      <c r="J14" s="82"/>
      <c r="K14" s="83">
        <f ca="1">ROUNDUP(ROUND(K11/(K12-K13)*1000,2),0)</f>
        <v>3911108</v>
      </c>
      <c r="L14" s="84">
        <f ca="1">K14-1*0</f>
        <v>3911108</v>
      </c>
      <c r="M14" s="67">
        <f ca="1">ROUND(L14*(K12-K13)/1000,2)</f>
        <v>561244</v>
      </c>
      <c r="N14" s="67"/>
      <c r="P14" s="30"/>
      <c r="Q14" s="28"/>
      <c r="R14" s="28"/>
      <c r="S14" s="28"/>
      <c r="T14" s="28"/>
      <c r="U14" s="28"/>
      <c r="W14" s="105"/>
      <c r="X14" s="106"/>
      <c r="Y14" s="115"/>
      <c r="Z14" s="105"/>
      <c r="AA14" s="106"/>
      <c r="AB14" s="115"/>
    </row>
    <row r="15" ht="16.5" spans="1:28">
      <c r="A15" t="str">
        <f>B15&amp;1</f>
        <v>NRRBRCC21</v>
      </c>
      <c r="B15" s="33" t="s">
        <v>281</v>
      </c>
      <c r="C15" s="62" t="s">
        <v>100</v>
      </c>
      <c r="D15" s="62">
        <f>D3</f>
        <v>0</v>
      </c>
      <c r="E15" s="63">
        <f>E3</f>
        <v>0</v>
      </c>
      <c r="H15" s="67"/>
      <c r="I15" s="67"/>
      <c r="J15" s="67"/>
      <c r="K15" s="67"/>
      <c r="L15" s="67"/>
      <c r="M15" s="67"/>
      <c r="N15" s="67"/>
      <c r="P15" s="30"/>
      <c r="Q15" s="28"/>
      <c r="R15" s="28"/>
      <c r="S15" s="28"/>
      <c r="T15" s="28"/>
      <c r="U15" s="28"/>
      <c r="W15" s="109"/>
      <c r="X15" s="110"/>
      <c r="Y15" s="116"/>
      <c r="Z15" s="109"/>
      <c r="AA15" s="110"/>
      <c r="AB15" s="116"/>
    </row>
    <row r="16" spans="1:21">
      <c r="A16" t="str">
        <f>B16&amp;2</f>
        <v>NRRBRCC22</v>
      </c>
      <c r="B16" s="33" t="s">
        <v>281</v>
      </c>
      <c r="C16" s="62" t="s">
        <v>100</v>
      </c>
      <c r="D16" s="64">
        <v>117978</v>
      </c>
      <c r="E16" s="63">
        <v>5</v>
      </c>
      <c r="H16" s="67"/>
      <c r="I16" s="67" t="s">
        <v>282</v>
      </c>
      <c r="J16" s="67"/>
      <c r="K16" s="75">
        <f ca="1">IF(K11=M14,K11,ROUND(K14/1000*(K12-K13),2))</f>
        <v>561244</v>
      </c>
      <c r="L16" s="67"/>
      <c r="M16" s="67"/>
      <c r="N16" s="67"/>
      <c r="P16" s="30"/>
      <c r="Q16" s="28"/>
      <c r="R16" s="28"/>
      <c r="S16" s="28"/>
      <c r="T16" s="28"/>
      <c r="U16" s="28"/>
    </row>
    <row r="17" spans="1:21">
      <c r="A17" t="str">
        <f>B17&amp;3</f>
        <v>NRRBRCC23</v>
      </c>
      <c r="B17" s="33" t="s">
        <v>281</v>
      </c>
      <c r="C17" s="62" t="s">
        <v>100</v>
      </c>
      <c r="D17" s="64">
        <v>200004</v>
      </c>
      <c r="E17" s="63">
        <v>12.5</v>
      </c>
      <c r="H17" s="67"/>
      <c r="I17" s="67"/>
      <c r="J17" s="67"/>
      <c r="K17" s="67"/>
      <c r="L17" s="67"/>
      <c r="M17" s="67"/>
      <c r="N17" s="67"/>
      <c r="P17" s="30"/>
      <c r="Q17" s="28"/>
      <c r="R17" s="28"/>
      <c r="S17" s="28"/>
      <c r="T17" s="28"/>
      <c r="U17" s="28"/>
    </row>
    <row r="18" spans="1:23">
      <c r="A18" t="str">
        <f>B18&amp;4</f>
        <v>NRRBRCC24</v>
      </c>
      <c r="B18" s="33" t="s">
        <v>281</v>
      </c>
      <c r="C18" s="62" t="s">
        <v>100</v>
      </c>
      <c r="D18" s="64">
        <v>404159</v>
      </c>
      <c r="E18" s="63">
        <v>17</v>
      </c>
      <c r="H18" s="67"/>
      <c r="I18" s="77" t="s">
        <v>279</v>
      </c>
      <c r="J18" s="67"/>
      <c r="K18" s="67">
        <f ca="1">INDEX($K$3:$K$8,MATCH(K16,$L$3:$L$8))</f>
        <v>12.5</v>
      </c>
      <c r="L18" s="67"/>
      <c r="M18" s="67"/>
      <c r="N18" s="67"/>
      <c r="W18" t="s">
        <v>283</v>
      </c>
    </row>
    <row r="19" spans="1:24">
      <c r="A19" t="str">
        <f>B19&amp;5</f>
        <v>NRRBRCC25</v>
      </c>
      <c r="B19" s="33" t="s">
        <v>281</v>
      </c>
      <c r="C19" s="62" t="s">
        <v>100</v>
      </c>
      <c r="D19" s="64">
        <v>813015</v>
      </c>
      <c r="E19" s="63">
        <v>19.5</v>
      </c>
      <c r="H19" s="67"/>
      <c r="I19" s="67"/>
      <c r="J19" s="67"/>
      <c r="K19" s="67"/>
      <c r="L19" s="85"/>
      <c r="M19" s="67"/>
      <c r="N19" s="67"/>
      <c r="W19" t="s">
        <v>284</v>
      </c>
      <c r="X19" s="69">
        <f>'Trad Chinese'!F4/'Trad Chinese'!D3</f>
        <v>500000</v>
      </c>
    </row>
    <row r="20" spans="1:24">
      <c r="A20" t="str">
        <f>B20&amp;6</f>
        <v>NRRBRCC26</v>
      </c>
      <c r="B20" s="33" t="s">
        <v>281</v>
      </c>
      <c r="C20" s="62" t="s">
        <v>100</v>
      </c>
      <c r="D20" s="64">
        <v>3255819</v>
      </c>
      <c r="E20" s="63">
        <v>20</v>
      </c>
      <c r="H20" s="67"/>
      <c r="I20" s="72" t="s">
        <v>73</v>
      </c>
      <c r="J20" s="73"/>
      <c r="K20" s="74">
        <f ca="1">IF(AND(L20&gt;=M20,L20&lt;=N20),O20,L20)</f>
        <v>561243.99</v>
      </c>
      <c r="L20" s="85">
        <f ca="1">K16-0.01</f>
        <v>561243.99</v>
      </c>
      <c r="M20" s="67">
        <f ca="1">IF('Trad Chinese'!$D$3=2,INDEX($W$3:$W$15,MATCH(N20,$X$3:$X$15,FALSE)),INDEX($Z$3:$Z$15,MATCH(N20,$AA$3:$AA$15,FALSE)))</f>
        <v>159999.960000001</v>
      </c>
      <c r="N20" s="67">
        <f ca="1">IF('Trad Chinese'!$D$3=2,VLOOKUP(L20,$W$3:$X$15,2),VLOOKUP(L20,$Z$3:$AA$15,2))</f>
        <v>160000.204</v>
      </c>
      <c r="O20">
        <f ca="1">IF('Trad Chinese'!$D$3=2,VLOOKUP(L20,$W$3:$Y$15,3),VLOOKUP(L20,$Z$3:$AB$15,3))</f>
        <v>160000.204</v>
      </c>
      <c r="W20" t="s">
        <v>285</v>
      </c>
      <c r="X20" s="69">
        <f ca="1">'Trad Chinese'!K4</f>
        <v>561243.86</v>
      </c>
    </row>
    <row r="21" spans="1:24">
      <c r="A21" t="str">
        <f>B21&amp;1</f>
        <v>NRRBRCU51</v>
      </c>
      <c r="B21" s="61" t="s">
        <v>286</v>
      </c>
      <c r="C21" s="54" t="s">
        <v>89</v>
      </c>
      <c r="D21" s="62">
        <v>0</v>
      </c>
      <c r="E21" s="63">
        <v>0</v>
      </c>
      <c r="H21" s="67"/>
      <c r="I21" s="77" t="s">
        <v>278</v>
      </c>
      <c r="J21" s="78"/>
      <c r="K21" s="79">
        <f>VLOOKUP($H3&amp;"M000",Premium!$A:$O,5,FALSE)</f>
        <v>156</v>
      </c>
      <c r="L21" s="85"/>
      <c r="M21" s="67"/>
      <c r="N21" s="67"/>
      <c r="P21" t="s">
        <v>287</v>
      </c>
      <c r="U21" s="111">
        <f ca="1">INDEX($Q$4:$U$17,MATCH($K$61,$P$4:$P$17),MATCH($H$3,$Q$3:$U$3,FALSE))</f>
        <v>0.2</v>
      </c>
      <c r="W21" t="s">
        <v>288</v>
      </c>
      <c r="X21" s="112">
        <f ca="1">IF('Trad Chinese'!P12="N",0,INDEX($Q$4:$U$17,MATCH($X$19,$P$4:$P$17),MATCH($H$3,$Q$3:$U$3,FALSE)))</f>
        <v>0.2</v>
      </c>
    </row>
    <row r="22" spans="1:24">
      <c r="A22" t="str">
        <f>B22&amp;2</f>
        <v>NRRBRCU52</v>
      </c>
      <c r="B22" s="33" t="s">
        <v>286</v>
      </c>
      <c r="C22" s="62" t="s">
        <v>89</v>
      </c>
      <c r="D22" s="62">
        <v>20135</v>
      </c>
      <c r="E22" s="63">
        <v>7</v>
      </c>
      <c r="H22" s="67"/>
      <c r="I22" s="77" t="s">
        <v>279</v>
      </c>
      <c r="J22" s="78"/>
      <c r="K22" s="80">
        <f ca="1">INDEX($K$3:$K$8,MATCH(K20,$L$3:$L$8))</f>
        <v>12.5</v>
      </c>
      <c r="L22" s="85"/>
      <c r="M22" s="67"/>
      <c r="N22" s="67"/>
      <c r="P22" t="s">
        <v>289</v>
      </c>
      <c r="U22">
        <f ca="1">ROUND(K61*U21,2)</f>
        <v>112248.8</v>
      </c>
      <c r="W22" t="s">
        <v>290</v>
      </c>
      <c r="X22" s="112">
        <f ca="1">IF('Trad Chinese'!P12="N",0,INDEX($Q$4:$U$17,MATCH($X$20,$P$4:$P$17),MATCH($H$3,$Q$3:$U$3,FALSE)))</f>
        <v>0.2</v>
      </c>
    </row>
    <row r="23" spans="1:14">
      <c r="A23" t="str">
        <f>B23&amp;3</f>
        <v>NRRBRCU53</v>
      </c>
      <c r="B23" s="33" t="s">
        <v>286</v>
      </c>
      <c r="C23" s="62" t="s">
        <v>89</v>
      </c>
      <c r="D23" s="62">
        <v>34014</v>
      </c>
      <c r="E23" s="63">
        <v>9</v>
      </c>
      <c r="H23" s="67"/>
      <c r="I23" s="81" t="s">
        <v>280</v>
      </c>
      <c r="J23" s="82"/>
      <c r="K23" s="86">
        <f ca="1">ROUNDUP(K20/(K21-K22)*1000,0)</f>
        <v>3911108</v>
      </c>
      <c r="L23" s="85">
        <f ca="1">K23-1*0</f>
        <v>3911108</v>
      </c>
      <c r="M23" s="67">
        <f ca="1">ROUND(L23*(K21-K22)/1000,2)</f>
        <v>561244</v>
      </c>
      <c r="N23" s="67"/>
    </row>
    <row r="24" spans="1:16">
      <c r="A24" t="str">
        <f>B24&amp;4</f>
        <v>NRRBRCU54</v>
      </c>
      <c r="B24" s="33" t="s">
        <v>286</v>
      </c>
      <c r="C24" s="62" t="s">
        <v>89</v>
      </c>
      <c r="D24" s="62">
        <v>68966</v>
      </c>
      <c r="E24" s="63">
        <v>11</v>
      </c>
      <c r="H24" s="67"/>
      <c r="I24" s="67"/>
      <c r="J24" s="67"/>
      <c r="K24" s="67"/>
      <c r="L24" s="85"/>
      <c r="M24" s="67"/>
      <c r="N24" s="67"/>
      <c r="P24" s="87" t="s">
        <v>291</v>
      </c>
    </row>
    <row r="25" spans="1:21">
      <c r="A25" t="str">
        <f>B25&amp;5</f>
        <v>NRRBRCU55</v>
      </c>
      <c r="B25" s="33" t="s">
        <v>286</v>
      </c>
      <c r="C25" s="62" t="s">
        <v>89</v>
      </c>
      <c r="D25" s="62">
        <v>139373</v>
      </c>
      <c r="E25" s="63">
        <v>12.5</v>
      </c>
      <c r="H25" s="67"/>
      <c r="I25" s="67" t="s">
        <v>282</v>
      </c>
      <c r="J25" s="67"/>
      <c r="K25" s="75">
        <f ca="1">IF(K20=M23,K20,ROUND(K23/1000*(K21-K22),2))</f>
        <v>561244</v>
      </c>
      <c r="L25" s="85"/>
      <c r="M25" s="67"/>
      <c r="N25" s="67"/>
      <c r="P25" s="23" t="str" cm="1">
        <f ca="1" t="array" ref="P25:T39">OFFSET('Multiple Ccy Mapping_TC'!A:G,MATCH('Trad Chinese'!D7,'Multiple Ccy Mapping_TC'!A:A,0)-1,1,15,5)</f>
        <v>AP</v>
      </c>
      <c r="Q25" s="25" t="str">
        <v>NRRBRCH2</v>
      </c>
      <c r="R25" s="25" t="str">
        <v>-</v>
      </c>
      <c r="S25" s="25" t="str">
        <v>NRRBRCH5</v>
      </c>
      <c r="T25" s="25" t="str">
        <v>-</v>
      </c>
      <c r="U25" s="26"/>
    </row>
    <row r="26" spans="1:21">
      <c r="A26" t="str">
        <f>B26&amp;6</f>
        <v>NRRBRCU56</v>
      </c>
      <c r="B26" s="36" t="s">
        <v>286</v>
      </c>
      <c r="C26" s="65" t="s">
        <v>89</v>
      </c>
      <c r="D26" s="62">
        <v>559441</v>
      </c>
      <c r="E26" s="63">
        <v>13</v>
      </c>
      <c r="H26" s="67"/>
      <c r="I26" s="67"/>
      <c r="J26" s="67"/>
      <c r="K26" s="67"/>
      <c r="L26" s="85"/>
      <c r="M26" s="67"/>
      <c r="N26" s="67"/>
      <c r="P26" s="27">
        <v>0</v>
      </c>
      <c r="Q26" s="28">
        <v>0</v>
      </c>
      <c r="R26" s="28">
        <v>0</v>
      </c>
      <c r="S26" s="28">
        <v>0</v>
      </c>
      <c r="T26" s="28">
        <v>0</v>
      </c>
      <c r="U26" s="28"/>
    </row>
    <row r="27" spans="1:21">
      <c r="A27" t="str">
        <f>B27&amp;1</f>
        <v>NRRBRCH51</v>
      </c>
      <c r="B27" s="33" t="s">
        <v>292</v>
      </c>
      <c r="C27" s="62" t="s">
        <v>97</v>
      </c>
      <c r="D27" s="62">
        <f>D21</f>
        <v>0</v>
      </c>
      <c r="E27" s="63">
        <f>E21</f>
        <v>0</v>
      </c>
      <c r="H27" s="67"/>
      <c r="I27" s="77" t="s">
        <v>279</v>
      </c>
      <c r="J27" s="67"/>
      <c r="K27" s="67">
        <f ca="1">INDEX($K$3:$K$8,MATCH(K25,$L$3:$L$8))</f>
        <v>12.5</v>
      </c>
      <c r="L27" s="85"/>
      <c r="M27" s="67"/>
      <c r="N27" s="67"/>
      <c r="P27" s="30">
        <v>40000</v>
      </c>
      <c r="Q27" s="28">
        <v>0</v>
      </c>
      <c r="R27" s="28">
        <v>0</v>
      </c>
      <c r="S27" s="28">
        <v>0.05</v>
      </c>
      <c r="T27" s="28">
        <v>0</v>
      </c>
      <c r="U27" s="28"/>
    </row>
    <row r="28" spans="1:21">
      <c r="A28" t="str">
        <f>B28&amp;2</f>
        <v>NRRBRCH52</v>
      </c>
      <c r="B28" s="33" t="s">
        <v>292</v>
      </c>
      <c r="C28" s="62" t="s">
        <v>97</v>
      </c>
      <c r="D28" s="62">
        <v>161080</v>
      </c>
      <c r="E28" s="63">
        <v>7</v>
      </c>
      <c r="H28" s="67"/>
      <c r="I28" s="67"/>
      <c r="J28" s="67"/>
      <c r="K28" s="67"/>
      <c r="L28" s="85"/>
      <c r="M28" s="67"/>
      <c r="N28" s="67"/>
      <c r="P28" s="30">
        <v>80000</v>
      </c>
      <c r="Q28" s="28">
        <v>0</v>
      </c>
      <c r="R28" s="28">
        <v>0</v>
      </c>
      <c r="S28" s="28">
        <v>0.12</v>
      </c>
      <c r="T28" s="28">
        <v>0</v>
      </c>
      <c r="U28" s="28"/>
    </row>
    <row r="29" spans="1:21">
      <c r="A29" t="str">
        <f>B29&amp;3</f>
        <v>NRRBRCH53</v>
      </c>
      <c r="B29" s="33" t="s">
        <v>292</v>
      </c>
      <c r="C29" s="62" t="s">
        <v>97</v>
      </c>
      <c r="D29" s="62">
        <v>272112</v>
      </c>
      <c r="E29" s="63">
        <v>9</v>
      </c>
      <c r="H29" s="67"/>
      <c r="I29" s="72" t="s">
        <v>73</v>
      </c>
      <c r="J29" s="73"/>
      <c r="K29" s="74">
        <f ca="1">IF(AND(L29&gt;=M29,L29&lt;=N29),O29,L29)</f>
        <v>561243.99</v>
      </c>
      <c r="L29" s="85">
        <f ca="1">K25-0.01</f>
        <v>561243.99</v>
      </c>
      <c r="M29" s="67">
        <f ca="1">IF('Trad Chinese'!$D$3=2,INDEX($W$3:$W$15,MATCH(N29,$X$3:$X$15,FALSE)),INDEX($Z$3:$Z$15,MATCH(N29,$AA$3:$AA$15,FALSE)))</f>
        <v>159999.960000001</v>
      </c>
      <c r="N29" s="67">
        <f ca="1">IF('Trad Chinese'!$D$3=2,VLOOKUP(L29,$W$3:$X$15,2),VLOOKUP(L29,$Z$3:$AA$15,2))</f>
        <v>160000.204</v>
      </c>
      <c r="O29">
        <f ca="1">IF('Trad Chinese'!$D$3=2,VLOOKUP(L29,$W$3:$Y$15,3),VLOOKUP(L29,$Z$3:$AB$15,3))</f>
        <v>160000.204</v>
      </c>
      <c r="P29" s="30">
        <v>240000</v>
      </c>
      <c r="Q29" s="28">
        <v>0</v>
      </c>
      <c r="R29" s="28">
        <v>0</v>
      </c>
      <c r="S29" s="28">
        <v>0.15</v>
      </c>
      <c r="T29" s="28">
        <v>0</v>
      </c>
      <c r="U29" s="28"/>
    </row>
    <row r="30" spans="1:21">
      <c r="A30" t="str">
        <f>B30&amp;4</f>
        <v>NRRBRCH54</v>
      </c>
      <c r="B30" s="33" t="s">
        <v>292</v>
      </c>
      <c r="C30" s="62" t="s">
        <v>97</v>
      </c>
      <c r="D30" s="62">
        <v>551728</v>
      </c>
      <c r="E30" s="63">
        <v>11</v>
      </c>
      <c r="H30" s="67"/>
      <c r="I30" s="77" t="s">
        <v>278</v>
      </c>
      <c r="J30" s="78"/>
      <c r="K30" s="79">
        <f>VLOOKUP($H$3&amp;"M000",Premium!$A:$O,5,FALSE)</f>
        <v>156</v>
      </c>
      <c r="L30" s="85"/>
      <c r="M30" s="67"/>
      <c r="N30" s="67"/>
      <c r="P30" s="30">
        <v>400000</v>
      </c>
      <c r="Q30" s="28">
        <v>0</v>
      </c>
      <c r="R30" s="28">
        <v>0</v>
      </c>
      <c r="S30" s="28">
        <v>0.2</v>
      </c>
      <c r="T30" s="28">
        <v>0</v>
      </c>
      <c r="U30" s="28"/>
    </row>
    <row r="31" spans="1:21">
      <c r="A31" t="str">
        <f>B31&amp;5</f>
        <v>NRRBRCH55</v>
      </c>
      <c r="B31" s="33" t="s">
        <v>292</v>
      </c>
      <c r="C31" s="62" t="s">
        <v>97</v>
      </c>
      <c r="D31" s="62">
        <v>1114984</v>
      </c>
      <c r="E31" s="63">
        <v>12.5</v>
      </c>
      <c r="H31" s="67"/>
      <c r="I31" s="77" t="s">
        <v>279</v>
      </c>
      <c r="J31" s="78"/>
      <c r="K31" s="80">
        <f ca="1">INDEX($K$3:$K$8,MATCH(K29,$L$3:$L$8))</f>
        <v>12.5</v>
      </c>
      <c r="L31" s="85"/>
      <c r="M31" s="67"/>
      <c r="N31" s="67"/>
      <c r="P31" s="30">
        <v>800000</v>
      </c>
      <c r="Q31" s="28">
        <v>0</v>
      </c>
      <c r="R31" s="28">
        <v>0</v>
      </c>
      <c r="S31" s="28">
        <v>0.22</v>
      </c>
      <c r="T31" s="28">
        <v>0</v>
      </c>
      <c r="U31" s="28"/>
    </row>
    <row r="32" spans="1:21">
      <c r="A32" t="str">
        <f>B32&amp;6</f>
        <v>NRRBRCH56</v>
      </c>
      <c r="B32" s="33" t="s">
        <v>292</v>
      </c>
      <c r="C32" s="65" t="s">
        <v>97</v>
      </c>
      <c r="D32" s="62">
        <v>4475528</v>
      </c>
      <c r="E32" s="63">
        <v>13</v>
      </c>
      <c r="H32" s="67"/>
      <c r="I32" s="81" t="s">
        <v>280</v>
      </c>
      <c r="J32" s="82"/>
      <c r="K32" s="86">
        <f ca="1">ROUNDUP(K29/(K30-K31)*1000,0)</f>
        <v>3911108</v>
      </c>
      <c r="L32" s="85">
        <f ca="1">K32-1*0</f>
        <v>3911108</v>
      </c>
      <c r="M32" s="67">
        <f ca="1">ROUND(L32*(K30-K31)/1000,2)</f>
        <v>561244</v>
      </c>
      <c r="N32" s="67"/>
      <c r="P32" s="30">
        <v>2000000</v>
      </c>
      <c r="Q32" s="28">
        <v>0</v>
      </c>
      <c r="R32" s="28">
        <v>0</v>
      </c>
      <c r="S32" s="28">
        <v>0.24</v>
      </c>
      <c r="T32" s="28">
        <v>0</v>
      </c>
      <c r="U32" s="28"/>
    </row>
    <row r="33" spans="1:21">
      <c r="A33" t="str">
        <f>B33&amp;1</f>
        <v>NRRBRCC51</v>
      </c>
      <c r="B33" s="33" t="s">
        <v>293</v>
      </c>
      <c r="C33" s="62" t="s">
        <v>100</v>
      </c>
      <c r="D33" s="62">
        <f>D27</f>
        <v>0</v>
      </c>
      <c r="E33" s="63">
        <f>E27</f>
        <v>0</v>
      </c>
      <c r="H33" s="67"/>
      <c r="I33" s="67"/>
      <c r="J33" s="67"/>
      <c r="K33" s="67"/>
      <c r="L33" s="85"/>
      <c r="M33" s="67"/>
      <c r="N33" s="67"/>
      <c r="P33" s="30">
        <v>4000000</v>
      </c>
      <c r="Q33" s="34">
        <v>0</v>
      </c>
      <c r="R33" s="34">
        <v>0</v>
      </c>
      <c r="S33" s="34">
        <v>0.26</v>
      </c>
      <c r="T33" s="34">
        <v>0</v>
      </c>
      <c r="U33" s="35"/>
    </row>
    <row r="34" spans="1:21">
      <c r="A34" t="str">
        <f>B34&amp;2</f>
        <v>NRRBRCC52</v>
      </c>
      <c r="B34" s="33" t="s">
        <v>293</v>
      </c>
      <c r="C34" s="62" t="s">
        <v>100</v>
      </c>
      <c r="D34" s="64">
        <v>140945</v>
      </c>
      <c r="E34" s="63">
        <v>7</v>
      </c>
      <c r="H34" s="67"/>
      <c r="I34" s="67" t="s">
        <v>282</v>
      </c>
      <c r="J34" s="67"/>
      <c r="K34" s="75">
        <f ca="1">IF(K29=M32,K29,ROUND(K32/1000*(K30-K31),2))</f>
        <v>561244</v>
      </c>
      <c r="L34" s="85"/>
      <c r="M34" s="67"/>
      <c r="N34" s="67"/>
      <c r="P34" s="33">
        <v>0</v>
      </c>
      <c r="Q34" s="34">
        <v>0</v>
      </c>
      <c r="R34" s="34">
        <v>0</v>
      </c>
      <c r="S34" s="34">
        <v>0</v>
      </c>
      <c r="T34" s="34">
        <v>0</v>
      </c>
      <c r="U34" s="35"/>
    </row>
    <row r="35" spans="1:21">
      <c r="A35" t="str">
        <f>B35&amp;3</f>
        <v>NRRBRCC53</v>
      </c>
      <c r="B35" s="33" t="s">
        <v>293</v>
      </c>
      <c r="C35" s="62" t="s">
        <v>100</v>
      </c>
      <c r="D35" s="64">
        <v>238098</v>
      </c>
      <c r="E35" s="63">
        <v>9</v>
      </c>
      <c r="H35" s="67"/>
      <c r="I35" s="67"/>
      <c r="J35" s="67"/>
      <c r="K35" s="67"/>
      <c r="L35" s="85"/>
      <c r="M35" s="67"/>
      <c r="N35" s="67"/>
      <c r="P35" s="33">
        <v>0</v>
      </c>
      <c r="Q35" s="34">
        <v>0</v>
      </c>
      <c r="R35" s="34">
        <v>0</v>
      </c>
      <c r="S35" s="34">
        <v>0</v>
      </c>
      <c r="T35" s="34">
        <v>0</v>
      </c>
      <c r="U35" s="35"/>
    </row>
    <row r="36" spans="1:21">
      <c r="A36" t="str">
        <f>B36&amp;4</f>
        <v>NRRBRCC54</v>
      </c>
      <c r="B36" s="33" t="s">
        <v>293</v>
      </c>
      <c r="C36" s="62" t="s">
        <v>100</v>
      </c>
      <c r="D36" s="64">
        <v>482762</v>
      </c>
      <c r="E36" s="63">
        <v>11</v>
      </c>
      <c r="H36" s="67"/>
      <c r="I36" s="77" t="s">
        <v>279</v>
      </c>
      <c r="J36" s="67"/>
      <c r="K36" s="67">
        <f ca="1">INDEX($K$3:$K$8,MATCH(K34,$L$3:$L$8))</f>
        <v>12.5</v>
      </c>
      <c r="L36" s="85"/>
      <c r="M36" s="67"/>
      <c r="N36" s="67"/>
      <c r="P36" s="33">
        <v>0</v>
      </c>
      <c r="Q36" s="34">
        <v>0</v>
      </c>
      <c r="R36" s="34">
        <v>0</v>
      </c>
      <c r="S36" s="34">
        <v>0</v>
      </c>
      <c r="T36" s="34">
        <v>0</v>
      </c>
      <c r="U36" s="35"/>
    </row>
    <row r="37" spans="1:21">
      <c r="A37" t="str">
        <f>B37&amp;5</f>
        <v>NRRBRCC55</v>
      </c>
      <c r="B37" s="33" t="s">
        <v>293</v>
      </c>
      <c r="C37" s="62" t="s">
        <v>100</v>
      </c>
      <c r="D37" s="64">
        <v>975611</v>
      </c>
      <c r="E37" s="63">
        <v>12.5</v>
      </c>
      <c r="H37" s="67"/>
      <c r="I37" s="67"/>
      <c r="J37" s="67"/>
      <c r="K37" s="67"/>
      <c r="L37" s="85"/>
      <c r="M37" s="67"/>
      <c r="N37" s="67"/>
      <c r="P37" s="33">
        <v>0</v>
      </c>
      <c r="Q37" s="34">
        <v>0</v>
      </c>
      <c r="R37" s="34">
        <v>0</v>
      </c>
      <c r="S37" s="34">
        <v>0</v>
      </c>
      <c r="T37" s="34">
        <v>0</v>
      </c>
      <c r="U37" s="35"/>
    </row>
    <row r="38" spans="1:21">
      <c r="A38" t="str">
        <f>B38&amp;6</f>
        <v>NRRBRCC56</v>
      </c>
      <c r="B38" s="33" t="s">
        <v>293</v>
      </c>
      <c r="C38" s="62" t="s">
        <v>100</v>
      </c>
      <c r="D38" s="64">
        <v>3916087</v>
      </c>
      <c r="E38" s="63">
        <v>13</v>
      </c>
      <c r="H38" s="67"/>
      <c r="I38" s="72" t="s">
        <v>73</v>
      </c>
      <c r="J38" s="73"/>
      <c r="K38" s="74">
        <f ca="1">IF(AND(L38&gt;=M38,L38&lt;=N38),O38,L38)</f>
        <v>561243.99</v>
      </c>
      <c r="L38" s="85">
        <f ca="1">K34-0.01</f>
        <v>561243.99</v>
      </c>
      <c r="M38" s="67">
        <f ca="1">IF('Trad Chinese'!$D$3=2,INDEX($W$3:$W$15,MATCH(N38,$X$3:$X$15,FALSE)),INDEX($Z$3:$Z$15,MATCH(N38,$AA$3:$AA$15,FALSE)))</f>
        <v>159999.960000001</v>
      </c>
      <c r="N38" s="67">
        <f ca="1">IF('Trad Chinese'!$D$3=2,VLOOKUP(L38,$W$3:$X$15,2),VLOOKUP(L38,$Z$3:$AA$15,2))</f>
        <v>160000.204</v>
      </c>
      <c r="O38">
        <f ca="1">IF('Trad Chinese'!$D$3=2,VLOOKUP(L38,$W$3:$Y$15,3),VLOOKUP(L38,$Z$3:$AB$15,3))</f>
        <v>160000.204</v>
      </c>
      <c r="P38" s="33">
        <v>0</v>
      </c>
      <c r="Q38" s="34">
        <v>0</v>
      </c>
      <c r="R38" s="34">
        <v>0</v>
      </c>
      <c r="S38" s="34">
        <v>0</v>
      </c>
      <c r="T38" s="34">
        <v>0</v>
      </c>
      <c r="U38" s="35"/>
    </row>
    <row r="39" spans="1:21">
      <c r="A39" t="str">
        <f>B39&amp;1</f>
        <v>1</v>
      </c>
      <c r="B39" s="33"/>
      <c r="C39" s="62"/>
      <c r="D39" s="62"/>
      <c r="E39" s="63"/>
      <c r="H39" s="67"/>
      <c r="I39" s="77" t="s">
        <v>278</v>
      </c>
      <c r="J39" s="78"/>
      <c r="K39" s="79">
        <f>VLOOKUP($H$3&amp;"M000",Premium!$A:$O,5,FALSE)</f>
        <v>156</v>
      </c>
      <c r="L39" s="85"/>
      <c r="M39" s="67"/>
      <c r="N39" s="67"/>
      <c r="P39" s="36">
        <v>0</v>
      </c>
      <c r="Q39" s="37">
        <v>0</v>
      </c>
      <c r="R39" s="37">
        <v>0</v>
      </c>
      <c r="S39" s="37">
        <v>0</v>
      </c>
      <c r="T39" s="37">
        <v>0</v>
      </c>
      <c r="U39" s="38"/>
    </row>
    <row r="40" spans="1:14">
      <c r="A40" t="str">
        <f>B40&amp;2</f>
        <v>2</v>
      </c>
      <c r="B40" s="33"/>
      <c r="C40" s="62"/>
      <c r="D40" s="64"/>
      <c r="E40" s="63"/>
      <c r="H40" s="67"/>
      <c r="I40" s="77" t="s">
        <v>279</v>
      </c>
      <c r="J40" s="78"/>
      <c r="K40" s="80">
        <f ca="1">INDEX($K$3:$K$8,MATCH(K38,$L$3:$L$8))</f>
        <v>12.5</v>
      </c>
      <c r="L40" s="85"/>
      <c r="M40" s="67"/>
      <c r="N40" s="67"/>
    </row>
    <row r="41" spans="1:16">
      <c r="A41" t="str">
        <f>B41&amp;3</f>
        <v>3</v>
      </c>
      <c r="B41" s="33"/>
      <c r="C41" s="62"/>
      <c r="D41" s="64"/>
      <c r="E41" s="63"/>
      <c r="H41" s="67"/>
      <c r="I41" s="81" t="s">
        <v>280</v>
      </c>
      <c r="J41" s="82"/>
      <c r="K41" s="86">
        <f ca="1">ROUNDUP(K38/(K39-K40)*1000,0)</f>
        <v>3911108</v>
      </c>
      <c r="L41" s="85">
        <f ca="1">K41-1*0</f>
        <v>3911108</v>
      </c>
      <c r="M41" s="67">
        <f ca="1">ROUND(L41*(K39-K40)/1000,2)</f>
        <v>561244</v>
      </c>
      <c r="N41" s="67"/>
      <c r="P41" s="87" t="s">
        <v>200</v>
      </c>
    </row>
    <row r="42" spans="1:21">
      <c r="A42" t="str">
        <f>B42&amp;4</f>
        <v>4</v>
      </c>
      <c r="B42" s="33"/>
      <c r="C42" s="62"/>
      <c r="D42" s="64"/>
      <c r="E42" s="63"/>
      <c r="H42" s="67"/>
      <c r="I42" s="67"/>
      <c r="J42" s="67"/>
      <c r="K42" s="67"/>
      <c r="L42" s="85"/>
      <c r="M42" s="67"/>
      <c r="N42" s="67"/>
      <c r="P42" s="23"/>
      <c r="Q42" s="25" t="str">
        <f ca="1">Q25</f>
        <v>NRRBRCH2</v>
      </c>
      <c r="R42" s="25" t="str">
        <f ca="1">R25</f>
        <v>-</v>
      </c>
      <c r="S42" s="25" t="str">
        <f ca="1">S25</f>
        <v>NRRBRCH5</v>
      </c>
      <c r="T42" s="25" t="str">
        <f ca="1">T25</f>
        <v>-</v>
      </c>
      <c r="U42" s="26"/>
    </row>
    <row r="43" spans="1:21">
      <c r="A43" t="str">
        <f>B43&amp;5</f>
        <v>5</v>
      </c>
      <c r="B43" s="33"/>
      <c r="C43" s="62"/>
      <c r="D43" s="64"/>
      <c r="E43" s="63"/>
      <c r="H43" s="67"/>
      <c r="I43" s="67" t="s">
        <v>282</v>
      </c>
      <c r="J43" s="67"/>
      <c r="K43" s="75">
        <f ca="1">IF(K38=M41,K38,ROUND(K41/1000*(K39-K40),2))</f>
        <v>561244</v>
      </c>
      <c r="L43" s="85"/>
      <c r="M43" s="67"/>
      <c r="N43" s="67"/>
      <c r="P43" s="27">
        <f ca="1">P26</f>
        <v>0</v>
      </c>
      <c r="Q43" s="113">
        <v>0</v>
      </c>
      <c r="R43" s="113"/>
      <c r="S43" s="113">
        <v>0</v>
      </c>
      <c r="T43" s="113"/>
      <c r="U43" s="28"/>
    </row>
    <row r="44" spans="1:21">
      <c r="A44" t="str">
        <f>B44&amp;6</f>
        <v>6</v>
      </c>
      <c r="B44" s="33"/>
      <c r="C44" s="62"/>
      <c r="D44" s="64"/>
      <c r="E44" s="63"/>
      <c r="H44" s="67"/>
      <c r="I44" s="67"/>
      <c r="J44" s="67"/>
      <c r="K44" s="67"/>
      <c r="L44" s="85"/>
      <c r="M44" s="67"/>
      <c r="N44" s="67"/>
      <c r="P44" s="30">
        <f ca="1" t="shared" ref="P44:P56" si="5">P27</f>
        <v>40000</v>
      </c>
      <c r="Q44" s="113">
        <v>0</v>
      </c>
      <c r="R44" s="113"/>
      <c r="S44" s="113">
        <v>0</v>
      </c>
      <c r="T44" s="113"/>
      <c r="U44" s="28"/>
    </row>
    <row r="45" spans="1:21">
      <c r="A45" t="str">
        <f>B45&amp;1</f>
        <v>1</v>
      </c>
      <c r="B45" s="33"/>
      <c r="C45" s="62"/>
      <c r="D45" s="62"/>
      <c r="E45" s="63"/>
      <c r="H45" s="67"/>
      <c r="I45" s="77" t="s">
        <v>279</v>
      </c>
      <c r="J45" s="67"/>
      <c r="K45" s="67">
        <f ca="1">INDEX($K$3:$K$8,MATCH(K43,$L$3:$L$8))</f>
        <v>12.5</v>
      </c>
      <c r="L45" s="85"/>
      <c r="M45" s="67"/>
      <c r="N45" s="67"/>
      <c r="P45" s="30">
        <f ca="1" t="shared" si="5"/>
        <v>80000</v>
      </c>
      <c r="Q45" s="113">
        <v>0</v>
      </c>
      <c r="R45" s="113"/>
      <c r="S45" s="113">
        <v>0</v>
      </c>
      <c r="T45" s="113"/>
      <c r="U45" s="28"/>
    </row>
    <row r="46" spans="1:21">
      <c r="A46" t="str">
        <f>B46&amp;2</f>
        <v>2</v>
      </c>
      <c r="B46" s="33"/>
      <c r="C46" s="62"/>
      <c r="D46" s="62"/>
      <c r="E46" s="63"/>
      <c r="H46" s="67"/>
      <c r="I46" s="67"/>
      <c r="J46" s="67"/>
      <c r="K46" s="67"/>
      <c r="L46" s="85"/>
      <c r="M46" s="67"/>
      <c r="N46" s="67"/>
      <c r="P46" s="30">
        <f ca="1" t="shared" si="5"/>
        <v>240000</v>
      </c>
      <c r="Q46" s="113">
        <v>0</v>
      </c>
      <c r="R46" s="113"/>
      <c r="S46" s="113">
        <v>0</v>
      </c>
      <c r="T46" s="113"/>
      <c r="U46" s="28"/>
    </row>
    <row r="47" spans="1:21">
      <c r="A47" t="str">
        <f>B47&amp;3</f>
        <v>3</v>
      </c>
      <c r="B47" s="33"/>
      <c r="C47" s="62"/>
      <c r="D47" s="62"/>
      <c r="E47" s="63"/>
      <c r="H47" s="67"/>
      <c r="I47" s="72" t="s">
        <v>73</v>
      </c>
      <c r="J47" s="73"/>
      <c r="K47" s="74">
        <f ca="1">IF(AND(L47&gt;=M47,L47&lt;=N47),O47,L47)</f>
        <v>561243.99</v>
      </c>
      <c r="L47" s="85">
        <f ca="1">K43-0.01</f>
        <v>561243.99</v>
      </c>
      <c r="M47" s="67">
        <f ca="1">IF('Trad Chinese'!$D$3=2,INDEX($W$3:$W$15,MATCH(N47,$X$3:$X$15,FALSE)),INDEX($Z$3:$Z$15,MATCH(N47,$AA$3:$AA$15,FALSE)))</f>
        <v>159999.960000001</v>
      </c>
      <c r="N47" s="67">
        <f ca="1">IF('Trad Chinese'!$D$3=2,VLOOKUP(L47,$W$3:$X$15,2),VLOOKUP(L47,$Z$3:$AA$15,2))</f>
        <v>160000.204</v>
      </c>
      <c r="O47">
        <f ca="1">IF('Trad Chinese'!$D$3=2,VLOOKUP(L47,$W$3:$Y$15,3),VLOOKUP(L47,$Z$3:$AB$15,3))</f>
        <v>160000.204</v>
      </c>
      <c r="P47" s="30">
        <f ca="1" t="shared" si="5"/>
        <v>400000</v>
      </c>
      <c r="Q47" s="113">
        <v>0</v>
      </c>
      <c r="R47" s="113"/>
      <c r="S47" s="113">
        <v>0</v>
      </c>
      <c r="T47" s="113"/>
      <c r="U47" s="28"/>
    </row>
    <row r="48" spans="1:21">
      <c r="A48" t="str">
        <f>B48&amp;4</f>
        <v>4</v>
      </c>
      <c r="B48" s="33"/>
      <c r="C48" s="62"/>
      <c r="D48" s="62"/>
      <c r="E48" s="63"/>
      <c r="H48" s="67"/>
      <c r="I48" s="77" t="s">
        <v>278</v>
      </c>
      <c r="J48" s="78"/>
      <c r="K48" s="79">
        <f>VLOOKUP($H$3&amp;"M000",Premium!$A:$O,5,FALSE)</f>
        <v>156</v>
      </c>
      <c r="L48" s="85"/>
      <c r="M48" s="67"/>
      <c r="N48" s="67"/>
      <c r="P48" s="30">
        <f ca="1" t="shared" si="5"/>
        <v>800000</v>
      </c>
      <c r="Q48" s="113">
        <v>0</v>
      </c>
      <c r="R48" s="113"/>
      <c r="S48" s="113">
        <v>0</v>
      </c>
      <c r="T48" s="113"/>
      <c r="U48" s="28"/>
    </row>
    <row r="49" spans="1:21">
      <c r="A49" t="str">
        <f>B49&amp;5</f>
        <v>5</v>
      </c>
      <c r="B49" s="33"/>
      <c r="C49" s="62"/>
      <c r="D49" s="62"/>
      <c r="E49" s="63"/>
      <c r="H49" s="67"/>
      <c r="I49" s="77" t="s">
        <v>279</v>
      </c>
      <c r="J49" s="78"/>
      <c r="K49" s="80">
        <f ca="1">INDEX($K$3:$K$8,MATCH(K47,$L$3:$L$8))</f>
        <v>12.5</v>
      </c>
      <c r="L49" s="85"/>
      <c r="M49" s="67"/>
      <c r="N49" s="67"/>
      <c r="P49" s="30">
        <f ca="1" t="shared" si="5"/>
        <v>2000000</v>
      </c>
      <c r="Q49" s="113">
        <v>0</v>
      </c>
      <c r="R49" s="113"/>
      <c r="S49" s="113">
        <v>0</v>
      </c>
      <c r="T49" s="113"/>
      <c r="U49" s="28"/>
    </row>
    <row r="50" spans="1:21">
      <c r="A50" t="str">
        <f>B50&amp;6</f>
        <v>6</v>
      </c>
      <c r="B50" s="36"/>
      <c r="C50" s="65"/>
      <c r="D50" s="65"/>
      <c r="E50" s="66"/>
      <c r="H50" s="67"/>
      <c r="I50" s="81" t="s">
        <v>280</v>
      </c>
      <c r="J50" s="82"/>
      <c r="K50" s="86">
        <f ca="1">ROUNDUP(K47/(K48-K49)*1000,0)</f>
        <v>3911108</v>
      </c>
      <c r="L50" s="85">
        <f ca="1">K50-1*0</f>
        <v>3911108</v>
      </c>
      <c r="M50" s="67">
        <f ca="1">ROUND(L50*(K48-K49)/1000,2)</f>
        <v>561244</v>
      </c>
      <c r="N50" s="67"/>
      <c r="P50" s="30">
        <f ca="1" t="shared" si="5"/>
        <v>4000000</v>
      </c>
      <c r="Q50" s="113">
        <v>0</v>
      </c>
      <c r="R50" s="113"/>
      <c r="S50" s="113">
        <v>0</v>
      </c>
      <c r="T50" s="113"/>
      <c r="U50" s="28"/>
    </row>
    <row r="51" spans="1:21">
      <c r="A51" t="str">
        <f>B51&amp;1</f>
        <v>1</v>
      </c>
      <c r="H51" s="67"/>
      <c r="I51" s="67"/>
      <c r="J51" s="67"/>
      <c r="K51" s="67"/>
      <c r="L51" s="85"/>
      <c r="M51" s="67"/>
      <c r="N51" s="67"/>
      <c r="P51" s="30">
        <f ca="1" t="shared" si="5"/>
        <v>0</v>
      </c>
      <c r="Q51" s="113">
        <v>0</v>
      </c>
      <c r="R51" s="113"/>
      <c r="S51" s="113">
        <v>0</v>
      </c>
      <c r="T51" s="113"/>
      <c r="U51" s="28"/>
    </row>
    <row r="52" spans="1:21">
      <c r="A52" t="str">
        <f>B52&amp;2</f>
        <v>2</v>
      </c>
      <c r="H52" s="67"/>
      <c r="I52" s="67" t="s">
        <v>282</v>
      </c>
      <c r="J52" s="67"/>
      <c r="K52" s="75">
        <f ca="1">IF(K47=M50,K47,ROUND(K50/1000*(K48-K49),2))</f>
        <v>561244</v>
      </c>
      <c r="L52" s="85"/>
      <c r="M52" s="67"/>
      <c r="N52" s="67"/>
      <c r="P52" s="30">
        <f ca="1" t="shared" si="5"/>
        <v>0</v>
      </c>
      <c r="Q52" s="113">
        <v>0</v>
      </c>
      <c r="R52" s="113"/>
      <c r="S52" s="113">
        <v>0</v>
      </c>
      <c r="T52" s="113"/>
      <c r="U52" s="28"/>
    </row>
    <row r="53" spans="1:21">
      <c r="A53" t="str">
        <f>B53&amp;3</f>
        <v>3</v>
      </c>
      <c r="H53" s="67"/>
      <c r="I53" s="67"/>
      <c r="J53" s="67"/>
      <c r="K53" s="67"/>
      <c r="L53" s="85"/>
      <c r="M53" s="67"/>
      <c r="N53" s="67"/>
      <c r="P53" s="30">
        <f ca="1" t="shared" si="5"/>
        <v>0</v>
      </c>
      <c r="Q53" s="113">
        <v>0</v>
      </c>
      <c r="R53" s="113"/>
      <c r="S53" s="113">
        <v>0</v>
      </c>
      <c r="T53" s="113"/>
      <c r="U53" s="28"/>
    </row>
    <row r="54" spans="1:21">
      <c r="A54" t="str">
        <f>B54&amp;4</f>
        <v>4</v>
      </c>
      <c r="H54" s="67"/>
      <c r="I54" s="77" t="s">
        <v>279</v>
      </c>
      <c r="J54" s="67"/>
      <c r="K54" s="67">
        <f ca="1">INDEX($K$3:$K$8,MATCH(K52,$L$3:$L$8))</f>
        <v>12.5</v>
      </c>
      <c r="L54" s="85"/>
      <c r="M54" s="67"/>
      <c r="N54" s="67"/>
      <c r="P54" s="30">
        <f ca="1" t="shared" si="5"/>
        <v>0</v>
      </c>
      <c r="Q54" s="113">
        <v>0</v>
      </c>
      <c r="R54" s="113"/>
      <c r="S54" s="113">
        <v>0</v>
      </c>
      <c r="T54" s="113"/>
      <c r="U54" s="28"/>
    </row>
    <row r="55" spans="1:21">
      <c r="A55" t="str">
        <f>B55&amp;5</f>
        <v>5</v>
      </c>
      <c r="L55" s="4"/>
      <c r="P55" s="30">
        <f ca="1" t="shared" si="5"/>
        <v>0</v>
      </c>
      <c r="Q55" s="113">
        <v>0</v>
      </c>
      <c r="R55" s="113"/>
      <c r="S55" s="113">
        <v>0</v>
      </c>
      <c r="T55" s="113"/>
      <c r="U55" s="28"/>
    </row>
    <row r="56" spans="1:21">
      <c r="A56" t="str">
        <f>B56&amp;6</f>
        <v>6</v>
      </c>
      <c r="H56" s="68" t="s">
        <v>294</v>
      </c>
      <c r="I56" s="88" t="s">
        <v>73</v>
      </c>
      <c r="J56" s="89"/>
      <c r="K56" s="90">
        <f ca="1">IF(AND(L56&gt;=M56,L56&lt;=N56),O56,L56)</f>
        <v>561243.99</v>
      </c>
      <c r="L56" s="91">
        <f ca="1">K52-0.01</f>
        <v>561243.99</v>
      </c>
      <c r="M56" s="68">
        <f ca="1">IF('Trad Chinese'!$D$3=2,INDEX($W$3:$W$15,MATCH(N56,$X$3:$X$15,FALSE)),INDEX($Z$3:$Z$15,MATCH(N56,$AA$3:$AA$15,FALSE)))</f>
        <v>159999.960000001</v>
      </c>
      <c r="N56" s="68">
        <f ca="1">IF('Trad Chinese'!$D$3=2,VLOOKUP(L56,$W$3:$X$15,2),VLOOKUP(L56,$Z$3:$AA$15,2))</f>
        <v>160000.204</v>
      </c>
      <c r="O56">
        <f ca="1">IF('Trad Chinese'!$D$3=2,VLOOKUP(L56,$W$3:$Y$15,3),VLOOKUP(L56,$Z$3:$AB$15,3))</f>
        <v>160000.204</v>
      </c>
      <c r="P56" s="30">
        <f ca="1" t="shared" si="5"/>
        <v>0</v>
      </c>
      <c r="Q56" s="113">
        <v>0</v>
      </c>
      <c r="R56" s="113"/>
      <c r="S56" s="113">
        <v>0</v>
      </c>
      <c r="T56" s="113"/>
      <c r="U56" s="28"/>
    </row>
    <row r="57" spans="1:14">
      <c r="A57" t="str">
        <f>B57&amp;1</f>
        <v>1</v>
      </c>
      <c r="H57" s="68"/>
      <c r="I57" s="92" t="s">
        <v>278</v>
      </c>
      <c r="J57" s="93"/>
      <c r="K57" s="94">
        <f>VLOOKUP($H3&amp;"M000",Premium!$A:$O,5,FALSE)</f>
        <v>156</v>
      </c>
      <c r="L57" s="68"/>
      <c r="M57" s="68"/>
      <c r="N57" s="68"/>
    </row>
    <row r="58" spans="1:14">
      <c r="A58" t="str">
        <f>B58&amp;2</f>
        <v>2</v>
      </c>
      <c r="H58" s="68"/>
      <c r="I58" s="92" t="s">
        <v>279</v>
      </c>
      <c r="J58" s="93"/>
      <c r="K58" s="95">
        <f ca="1">INDEX($K$3:$K$8,MATCH(K56,$L$3:$L$8))</f>
        <v>12.5</v>
      </c>
      <c r="L58" s="68"/>
      <c r="M58" s="68"/>
      <c r="N58" s="68"/>
    </row>
    <row r="59" spans="1:14">
      <c r="A59" t="str">
        <f>B59&amp;3</f>
        <v>3</v>
      </c>
      <c r="H59" s="68"/>
      <c r="I59" s="96" t="s">
        <v>280</v>
      </c>
      <c r="J59" s="97"/>
      <c r="K59" s="98">
        <f ca="1">ROUNDUP(K56/(K57-K58)*1000,0)</f>
        <v>3911108</v>
      </c>
      <c r="L59" s="99">
        <f ca="1">K59-1*0</f>
        <v>3911108</v>
      </c>
      <c r="M59" s="68">
        <f ca="1">ROUND(L59*(K57-K58)/1000,2)</f>
        <v>561244</v>
      </c>
      <c r="N59" s="68"/>
    </row>
    <row r="60" spans="1:14">
      <c r="A60" t="str">
        <f>B60&amp;4</f>
        <v>4</v>
      </c>
      <c r="H60" s="68"/>
      <c r="I60" s="68"/>
      <c r="J60" s="68"/>
      <c r="K60" s="68"/>
      <c r="L60" s="68"/>
      <c r="M60" s="68"/>
      <c r="N60" s="68"/>
    </row>
    <row r="61" spans="1:14">
      <c r="A61" t="str">
        <f>B61&amp;5</f>
        <v>5</v>
      </c>
      <c r="H61" s="68"/>
      <c r="I61" s="68" t="s">
        <v>282</v>
      </c>
      <c r="J61" s="68"/>
      <c r="K61" s="100">
        <f ca="1">IF(K56=M59,K56,ROUND(K59/1000*(K57-K58),2))</f>
        <v>561244</v>
      </c>
      <c r="L61" s="68"/>
      <c r="M61" s="68"/>
      <c r="N61" s="68"/>
    </row>
    <row r="62" spans="1:14">
      <c r="A62" t="str">
        <f>B62&amp;6</f>
        <v>6</v>
      </c>
      <c r="H62" s="68"/>
      <c r="I62" s="68"/>
      <c r="J62" s="68"/>
      <c r="K62" s="68"/>
      <c r="L62" s="68"/>
      <c r="M62" s="68"/>
      <c r="N62" s="68"/>
    </row>
    <row r="63" spans="8:14">
      <c r="H63" s="68"/>
      <c r="I63" s="92" t="s">
        <v>279</v>
      </c>
      <c r="J63" s="68"/>
      <c r="K63" s="68">
        <f ca="1">INDEX($K$3:$K$8,MATCH(K61,$L$3:$L$8))</f>
        <v>12.5</v>
      </c>
      <c r="L63" s="68"/>
      <c r="M63" s="68"/>
      <c r="N63" s="68"/>
    </row>
  </sheetData>
  <sheetProtection algorithmName="SHA-512" hashValue="DrDqRtzOYJqiZixFWSYbY1QjdJR9rS2PLeyU7fYkMACSyFjgSVVMRbK41LKgwBeLIjhOINWbe2k2fAMVGKBVDg==" saltValue="4L1am0YzGCv648bUNv2yHw==" spinCount="100000" sheet="1" objects="1" scenarios="1"/>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AB63"/>
  <sheetViews>
    <sheetView workbookViewId="0">
      <selection activeCell="A1" sqref="A1"/>
    </sheetView>
  </sheetViews>
  <sheetFormatPr defaultColWidth="9" defaultRowHeight="15.75"/>
  <cols>
    <col min="1" max="1" width="18.625" customWidth="1"/>
    <col min="2" max="2" width="20.125" customWidth="1"/>
    <col min="4" max="4" width="16.125" customWidth="1"/>
    <col min="5" max="5" width="15" customWidth="1"/>
    <col min="7" max="8" width="15.625" customWidth="1"/>
    <col min="11" max="11" width="20.125" customWidth="1"/>
    <col min="12" max="12" width="14.5" customWidth="1"/>
    <col min="13" max="13" width="11.625" customWidth="1"/>
    <col min="14" max="14" width="10.625" customWidth="1"/>
    <col min="15" max="15" width="9.25" customWidth="1"/>
    <col min="17" max="20" width="14.125" customWidth="1"/>
    <col min="23" max="23" width="24.125" customWidth="1"/>
    <col min="24" max="24" width="15.625" customWidth="1"/>
    <col min="25" max="25" width="10.75" customWidth="1"/>
    <col min="26" max="26" width="21.625" customWidth="1"/>
    <col min="27" max="27" width="14.625" customWidth="1"/>
    <col min="28" max="28" width="10.75" customWidth="1"/>
  </cols>
  <sheetData>
    <row r="1" spans="2:16">
      <c r="B1" s="53" t="s">
        <v>267</v>
      </c>
      <c r="C1" s="54"/>
      <c r="D1" s="54"/>
      <c r="E1" s="55"/>
      <c r="I1">
        <v>3</v>
      </c>
      <c r="J1">
        <v>4</v>
      </c>
      <c r="K1">
        <v>5</v>
      </c>
      <c r="L1">
        <v>6</v>
      </c>
      <c r="P1" s="21" t="s">
        <v>268</v>
      </c>
    </row>
    <row r="2" ht="16.5" spans="2:28">
      <c r="B2" s="56" t="s">
        <v>269</v>
      </c>
      <c r="C2" s="57" t="s">
        <v>270</v>
      </c>
      <c r="D2" s="58" t="s">
        <v>271</v>
      </c>
      <c r="E2" s="59" t="s">
        <v>272</v>
      </c>
      <c r="F2" s="60"/>
      <c r="G2" s="60"/>
      <c r="H2" s="57" t="s">
        <v>269</v>
      </c>
      <c r="I2" s="57" t="s">
        <v>270</v>
      </c>
      <c r="J2" s="58" t="s">
        <v>271</v>
      </c>
      <c r="K2" s="57" t="s">
        <v>272</v>
      </c>
      <c r="L2" s="57" t="s">
        <v>273</v>
      </c>
      <c r="M2" s="57" t="s">
        <v>274</v>
      </c>
      <c r="N2" s="60"/>
      <c r="W2" s="101" t="str">
        <f>"Premium Mapping for 2-Pay"&amp;" "&amp;'Simp Chinese'!$D$7</f>
        <v>Premium Mapping for 2-Pay 港币</v>
      </c>
      <c r="X2" s="102"/>
      <c r="Y2" s="102"/>
      <c r="Z2" s="101" t="str">
        <f>"Premium Mapping for 5-Pay"&amp;" "&amp;'Simp Chinese'!$D$7</f>
        <v>Premium Mapping for 5-Pay 港币</v>
      </c>
      <c r="AA2" s="102"/>
      <c r="AB2" s="102"/>
    </row>
    <row r="3" spans="1:28">
      <c r="A3" t="str">
        <f>B3&amp;1</f>
        <v>NRRBRCU21</v>
      </c>
      <c r="B3" s="61" t="s">
        <v>275</v>
      </c>
      <c r="C3" s="54" t="s">
        <v>89</v>
      </c>
      <c r="D3" s="54">
        <v>0</v>
      </c>
      <c r="E3" s="55">
        <v>0</v>
      </c>
      <c r="G3" t="str">
        <f>H3&amp;1</f>
        <v>NRRBRCH51</v>
      </c>
      <c r="H3" t="str">
        <f>"NRRBRC"&amp;IF('Simp Chinese'!$D$7="美元","U",IF('Simp Chinese'!$D$7="港币","H","C"))&amp;'Simp Chinese'!$D$3</f>
        <v>NRRBRCH5</v>
      </c>
      <c r="I3" t="str">
        <f t="shared" ref="I3:K8" si="0">VLOOKUP($G3,$A$3:$E$124,I$1,0)</f>
        <v>HKD</v>
      </c>
      <c r="J3">
        <f t="shared" si="0"/>
        <v>0</v>
      </c>
      <c r="K3">
        <f t="shared" si="0"/>
        <v>0</v>
      </c>
      <c r="L3" s="69">
        <f>ROUNDDOWN((VLOOKUP($H3&amp;"M000",Premium!$A:$O,5,FALSE)-K3)*J3/1000,0)</f>
        <v>0</v>
      </c>
      <c r="M3" s="70">
        <f>L4</f>
        <v>24000</v>
      </c>
      <c r="P3" s="23" t="s">
        <v>73</v>
      </c>
      <c r="Q3" s="25" t="str">
        <f ca="1">Q25</f>
        <v>NRRBRCH2</v>
      </c>
      <c r="R3" s="25" t="str">
        <f ca="1">R25</f>
        <v>-</v>
      </c>
      <c r="S3" s="25" t="str">
        <f ca="1">S25</f>
        <v>NRRBRCH5</v>
      </c>
      <c r="T3" s="25" t="str">
        <f ca="1">T25</f>
        <v>-</v>
      </c>
      <c r="U3" s="26"/>
      <c r="W3" s="103" cm="1">
        <f ca="1" t="array" ref="W3:AB8">OFFSET('Multiple Ccy Mapping_SC'!K:Q,MATCH('Simp Chinese'!D7,'Multiple Ccy Mapping_SC'!K:K,0),1,6,6)</f>
        <v>0</v>
      </c>
      <c r="X3" s="104">
        <v>0</v>
      </c>
      <c r="Y3" s="114">
        <v>0</v>
      </c>
      <c r="Z3" s="103">
        <v>0</v>
      </c>
      <c r="AA3" s="104">
        <v>0</v>
      </c>
      <c r="AB3" s="114">
        <v>0</v>
      </c>
    </row>
    <row r="4" spans="1:28">
      <c r="A4" t="str">
        <f>B4&amp;2</f>
        <v>NRRBRCU22</v>
      </c>
      <c r="B4" s="33" t="s">
        <v>275</v>
      </c>
      <c r="C4" s="62" t="s">
        <v>89</v>
      </c>
      <c r="D4" s="62">
        <v>16854</v>
      </c>
      <c r="E4" s="63">
        <v>5</v>
      </c>
      <c r="G4" t="str">
        <f>H4&amp;2</f>
        <v>NRRBRCH52</v>
      </c>
      <c r="H4" t="str">
        <f>"NRRBRC"&amp;IF('Simp Chinese'!$D$7="美元","U",IF('Simp Chinese'!$D$7="港币","H","C"))&amp;'Simp Chinese'!$D$3</f>
        <v>NRRBRCH5</v>
      </c>
      <c r="I4" t="str">
        <f t="shared" si="0"/>
        <v>HKD</v>
      </c>
      <c r="J4">
        <f t="shared" si="0"/>
        <v>161080</v>
      </c>
      <c r="K4">
        <f t="shared" si="0"/>
        <v>7</v>
      </c>
      <c r="L4" s="69">
        <f>ROUNDDOWN((VLOOKUP($H4&amp;"M000",Premium!$A:$O,5,FALSE)-K4)*J4/1000,0)</f>
        <v>24000</v>
      </c>
      <c r="M4" s="70">
        <f>L5</f>
        <v>40000</v>
      </c>
      <c r="P4" s="27">
        <f ca="1">P26</f>
        <v>0</v>
      </c>
      <c r="Q4" s="28">
        <f ca="1">Q26+Q43</f>
        <v>0</v>
      </c>
      <c r="R4" s="28"/>
      <c r="S4" s="28">
        <f ca="1">S26+S43</f>
        <v>0</v>
      </c>
      <c r="T4" s="28"/>
      <c r="U4" s="28"/>
      <c r="W4" s="105">
        <v>59999.8600000002</v>
      </c>
      <c r="X4" s="106">
        <v>60000.24</v>
      </c>
      <c r="Y4" s="115">
        <v>60000.24</v>
      </c>
      <c r="Z4" s="105">
        <v>23999.98</v>
      </c>
      <c r="AA4" s="106">
        <v>24000.92</v>
      </c>
      <c r="AB4" s="115">
        <v>24000.92</v>
      </c>
    </row>
    <row r="5" spans="1:28">
      <c r="A5" t="str">
        <f>B5&amp;3</f>
        <v>NRRBRCU23</v>
      </c>
      <c r="B5" s="33" t="s">
        <v>275</v>
      </c>
      <c r="C5" s="62" t="s">
        <v>89</v>
      </c>
      <c r="D5" s="62">
        <v>28572</v>
      </c>
      <c r="E5" s="63">
        <v>12.5</v>
      </c>
      <c r="G5" t="str">
        <f>H5&amp;3</f>
        <v>NRRBRCH53</v>
      </c>
      <c r="H5" t="str">
        <f>"NRRBRC"&amp;IF('Simp Chinese'!$D$7="美元","U",IF('Simp Chinese'!$D$7="港币","H","C"))&amp;'Simp Chinese'!$D$3</f>
        <v>NRRBRCH5</v>
      </c>
      <c r="I5" t="str">
        <f t="shared" si="0"/>
        <v>HKD</v>
      </c>
      <c r="J5">
        <f t="shared" si="0"/>
        <v>272112</v>
      </c>
      <c r="K5">
        <f t="shared" si="0"/>
        <v>9</v>
      </c>
      <c r="L5" s="69">
        <f>ROUNDDOWN((VLOOKUP($H5&amp;"M000",Premium!$A:$O,5,FALSE)-K5)*J5/1000,0)</f>
        <v>40000</v>
      </c>
      <c r="M5" s="70">
        <f>L6</f>
        <v>80000</v>
      </c>
      <c r="P5" s="30">
        <f ca="1" t="shared" ref="P5:P11" si="1">P27</f>
        <v>40000</v>
      </c>
      <c r="Q5" s="28">
        <f ca="1" t="shared" ref="Q5:S10" si="2">Q27+Q44</f>
        <v>0</v>
      </c>
      <c r="R5" s="28"/>
      <c r="S5" s="28">
        <f ca="1" t="shared" si="2"/>
        <v>0.05</v>
      </c>
      <c r="T5" s="28"/>
      <c r="U5" s="28"/>
      <c r="W5" s="105">
        <v>100001.74</v>
      </c>
      <c r="X5" s="106">
        <v>100002.44</v>
      </c>
      <c r="Y5" s="115">
        <v>100002.4</v>
      </c>
      <c r="Z5" s="105">
        <v>39999.95</v>
      </c>
      <c r="AA5" s="106">
        <v>40000.46</v>
      </c>
      <c r="AB5" s="115">
        <v>40000.46</v>
      </c>
    </row>
    <row r="6" spans="1:28">
      <c r="A6" t="str">
        <f>B6&amp;4</f>
        <v>NRRBRCU24</v>
      </c>
      <c r="B6" s="33" t="s">
        <v>275</v>
      </c>
      <c r="C6" s="62" t="s">
        <v>89</v>
      </c>
      <c r="D6" s="64">
        <v>57737</v>
      </c>
      <c r="E6" s="63">
        <v>17</v>
      </c>
      <c r="G6" t="str">
        <f>H6&amp;4</f>
        <v>NRRBRCH54</v>
      </c>
      <c r="H6" t="str">
        <f>"NRRBRC"&amp;IF('Simp Chinese'!$D$7="美元","U",IF('Simp Chinese'!$D$7="港币","H","C"))&amp;'Simp Chinese'!$D$3</f>
        <v>NRRBRCH5</v>
      </c>
      <c r="I6" t="str">
        <f t="shared" si="0"/>
        <v>HKD</v>
      </c>
      <c r="J6">
        <f t="shared" si="0"/>
        <v>551728</v>
      </c>
      <c r="K6">
        <f t="shared" si="0"/>
        <v>11</v>
      </c>
      <c r="L6" s="69">
        <f>ROUNDDOWN((VLOOKUP($H6&amp;"M000",Premium!$A:$O,5,FALSE)-K6)*J6/1000,0)</f>
        <v>80000</v>
      </c>
      <c r="M6" s="70">
        <f>L7</f>
        <v>160000</v>
      </c>
      <c r="P6" s="30">
        <f ca="1" t="shared" si="1"/>
        <v>80000</v>
      </c>
      <c r="Q6" s="28">
        <f ca="1" t="shared" si="2"/>
        <v>0</v>
      </c>
      <c r="R6" s="28"/>
      <c r="S6" s="28">
        <f ca="1" t="shared" si="2"/>
        <v>0.12</v>
      </c>
      <c r="T6" s="28"/>
      <c r="U6" s="28"/>
      <c r="W6" s="105">
        <v>199999.63</v>
      </c>
      <c r="X6" s="106">
        <v>200000.97</v>
      </c>
      <c r="Y6" s="115">
        <v>200000.96</v>
      </c>
      <c r="Z6" s="107">
        <v>79999.9</v>
      </c>
      <c r="AA6" s="106">
        <v>80000.56</v>
      </c>
      <c r="AB6" s="115">
        <v>80000.56</v>
      </c>
    </row>
    <row r="7" spans="1:28">
      <c r="A7" t="str">
        <f>B7&amp;5</f>
        <v>NRRBRCU25</v>
      </c>
      <c r="B7" s="33" t="s">
        <v>275</v>
      </c>
      <c r="C7" s="62" t="s">
        <v>89</v>
      </c>
      <c r="D7" s="64">
        <v>116145</v>
      </c>
      <c r="E7" s="63">
        <v>19.5</v>
      </c>
      <c r="G7" t="str">
        <f>H7&amp;5</f>
        <v>NRRBRCH55</v>
      </c>
      <c r="H7" t="str">
        <f>"NRRBRC"&amp;IF('Simp Chinese'!$D$7="美元","U",IF('Simp Chinese'!$D$7="港币","H","C"))&amp;'Simp Chinese'!$D$3</f>
        <v>NRRBRCH5</v>
      </c>
      <c r="I7" t="str">
        <f t="shared" si="0"/>
        <v>HKD</v>
      </c>
      <c r="J7">
        <f t="shared" si="0"/>
        <v>1114984</v>
      </c>
      <c r="K7">
        <f t="shared" si="0"/>
        <v>12.5</v>
      </c>
      <c r="L7" s="69">
        <f>ROUNDDOWN((VLOOKUP($H7&amp;"M000",Premium!$A:$O,5,FALSE)-K7)*J7/1000,0)</f>
        <v>160000</v>
      </c>
      <c r="M7" s="70">
        <f>L8</f>
        <v>640000</v>
      </c>
      <c r="P7" s="30">
        <f ca="1" t="shared" si="1"/>
        <v>240000</v>
      </c>
      <c r="Q7" s="28">
        <f ca="1" t="shared" si="2"/>
        <v>0</v>
      </c>
      <c r="R7" s="28"/>
      <c r="S7" s="28">
        <f ca="1" t="shared" si="2"/>
        <v>0.15</v>
      </c>
      <c r="T7" s="28"/>
      <c r="U7" s="28"/>
      <c r="W7" s="107">
        <v>400002.810000001</v>
      </c>
      <c r="X7" s="108">
        <v>400003.38</v>
      </c>
      <c r="Y7" s="115">
        <v>400003.37</v>
      </c>
      <c r="Z7" s="107">
        <v>159999.960000001</v>
      </c>
      <c r="AA7" s="106">
        <v>160000.204</v>
      </c>
      <c r="AB7" s="115">
        <v>160000.204</v>
      </c>
    </row>
    <row r="8" spans="1:28">
      <c r="A8" t="str">
        <f>B8&amp;6</f>
        <v>NRRBRCU26</v>
      </c>
      <c r="B8" s="36" t="s">
        <v>275</v>
      </c>
      <c r="C8" s="65" t="s">
        <v>89</v>
      </c>
      <c r="D8" s="65">
        <v>465117</v>
      </c>
      <c r="E8" s="66">
        <v>20</v>
      </c>
      <c r="G8" t="str">
        <f>H8&amp;6</f>
        <v>NRRBRCH56</v>
      </c>
      <c r="H8" t="str">
        <f>"NRRBRC"&amp;IF('Simp Chinese'!$D$7="美元","U",IF('Simp Chinese'!$D$7="港币","H","C"))&amp;'Simp Chinese'!$D$3</f>
        <v>NRRBRCH5</v>
      </c>
      <c r="I8" t="str">
        <f t="shared" si="0"/>
        <v>HKD</v>
      </c>
      <c r="J8">
        <f t="shared" si="0"/>
        <v>4475528</v>
      </c>
      <c r="K8">
        <f t="shared" si="0"/>
        <v>13</v>
      </c>
      <c r="L8" s="69">
        <f>ROUNDDOWN((VLOOKUP($H8&amp;"M000",Premium!$A:$O,5,FALSE)-K8)*J8/1000,0)</f>
        <v>640000</v>
      </c>
      <c r="M8" s="70"/>
      <c r="P8" s="30">
        <f ca="1" t="shared" si="1"/>
        <v>400000</v>
      </c>
      <c r="Q8" s="28">
        <f ca="1" t="shared" si="2"/>
        <v>0</v>
      </c>
      <c r="R8" s="28"/>
      <c r="S8" s="28">
        <f ca="1" t="shared" si="2"/>
        <v>0.2</v>
      </c>
      <c r="T8" s="28"/>
      <c r="U8" s="28"/>
      <c r="W8" s="105">
        <v>1600001.9</v>
      </c>
      <c r="X8" s="106">
        <v>1600002.48</v>
      </c>
      <c r="Y8" s="115">
        <v>1600002.48</v>
      </c>
      <c r="Z8" s="105">
        <v>639999.96</v>
      </c>
      <c r="AA8" s="106">
        <v>640000.5</v>
      </c>
      <c r="AB8" s="115">
        <v>640000.504</v>
      </c>
    </row>
    <row r="9" spans="1:28">
      <c r="A9" t="str">
        <f>B9&amp;1</f>
        <v>NRRBRCH21</v>
      </c>
      <c r="B9" s="33" t="s">
        <v>276</v>
      </c>
      <c r="C9" s="62" t="s">
        <v>97</v>
      </c>
      <c r="D9" s="54">
        <f>D3</f>
        <v>0</v>
      </c>
      <c r="E9" s="55">
        <f>E3</f>
        <v>0</v>
      </c>
      <c r="M9" s="71"/>
      <c r="P9" s="30">
        <f ca="1" t="shared" si="1"/>
        <v>800000</v>
      </c>
      <c r="Q9" s="28">
        <f ca="1" t="shared" si="2"/>
        <v>0</v>
      </c>
      <c r="R9" s="28"/>
      <c r="S9" s="28">
        <f ca="1" t="shared" si="2"/>
        <v>0.22</v>
      </c>
      <c r="T9" s="28"/>
      <c r="U9" s="28"/>
      <c r="W9" s="107"/>
      <c r="X9" s="108"/>
      <c r="Y9" s="115"/>
      <c r="Z9" s="105"/>
      <c r="AA9" s="106"/>
      <c r="AB9" s="115"/>
    </row>
    <row r="10" spans="1:28">
      <c r="A10" t="str">
        <f>B10&amp;2</f>
        <v>NRRBRCH22</v>
      </c>
      <c r="B10" s="33" t="s">
        <v>276</v>
      </c>
      <c r="C10" s="62" t="s">
        <v>97</v>
      </c>
      <c r="D10" s="62">
        <v>134832</v>
      </c>
      <c r="E10" s="63">
        <v>5</v>
      </c>
      <c r="P10" s="30">
        <f ca="1" t="shared" si="1"/>
        <v>2000000</v>
      </c>
      <c r="Q10" s="28">
        <f ca="1" t="shared" si="2"/>
        <v>0</v>
      </c>
      <c r="R10" s="28"/>
      <c r="S10" s="28">
        <f ca="1" t="shared" si="2"/>
        <v>0.24</v>
      </c>
      <c r="T10" s="28"/>
      <c r="U10" s="28"/>
      <c r="W10" s="105"/>
      <c r="X10" s="106"/>
      <c r="Y10" s="115"/>
      <c r="Z10" s="105"/>
      <c r="AA10" s="106"/>
      <c r="AB10" s="115"/>
    </row>
    <row r="11" spans="1:28">
      <c r="A11" t="str">
        <f>B11&amp;3</f>
        <v>NRRBRCH23</v>
      </c>
      <c r="B11" s="33" t="s">
        <v>276</v>
      </c>
      <c r="C11" s="62" t="s">
        <v>97</v>
      </c>
      <c r="D11" s="62">
        <v>228576</v>
      </c>
      <c r="E11" s="63">
        <v>12.5</v>
      </c>
      <c r="H11" s="67" t="s">
        <v>277</v>
      </c>
      <c r="I11" s="72" t="s">
        <v>73</v>
      </c>
      <c r="J11" s="73"/>
      <c r="K11" s="74">
        <f ca="1">IF(AND(L11&gt;=M11,L11&lt;=N11),O11,L11)</f>
        <v>78</v>
      </c>
      <c r="L11" s="75">
        <f ca="1">'Simp Chinese'!$I$4</f>
        <v>78</v>
      </c>
      <c r="M11" s="67">
        <f ca="1">IF('Simp Chinese'!$D$3=2,INDEX($W$3:$W$15,MATCH($N$11,$X$3:$X$15,FALSE)),INDEX($Z$3:$Z$15,MATCH($N$11,$AA$3:$AA$15,FALSE)))</f>
        <v>0</v>
      </c>
      <c r="N11" s="76">
        <f ca="1">IF('Simp Chinese'!$D$3=2,VLOOKUP(L11,$W$3:$Y$15,2),VLOOKUP(L11,$Z$3:$AB$15,2))</f>
        <v>0</v>
      </c>
      <c r="O11">
        <f ca="1">IF('Simp Chinese'!$D$3=2,VLOOKUP(L11,$W$3:$Y$15,3),VLOOKUP(L11,$Z$3:$AB$15,3))</f>
        <v>0</v>
      </c>
      <c r="P11" s="30">
        <f ca="1" t="shared" si="1"/>
        <v>4000000</v>
      </c>
      <c r="Q11" s="28">
        <f ca="1" t="shared" ref="Q11" si="3">Q33+Q50</f>
        <v>0</v>
      </c>
      <c r="R11" s="28"/>
      <c r="S11" s="28">
        <f ca="1" t="shared" ref="S11" si="4">S33+S50</f>
        <v>0.26</v>
      </c>
      <c r="T11" s="28"/>
      <c r="U11" s="28"/>
      <c r="W11" s="105"/>
      <c r="X11" s="106"/>
      <c r="Y11" s="115"/>
      <c r="Z11" s="105"/>
      <c r="AA11" s="106"/>
      <c r="AB11" s="115"/>
    </row>
    <row r="12" spans="1:28">
      <c r="A12" t="str">
        <f>B12&amp;4</f>
        <v>NRRBRCH24</v>
      </c>
      <c r="B12" s="33" t="s">
        <v>276</v>
      </c>
      <c r="C12" s="62" t="s">
        <v>97</v>
      </c>
      <c r="D12" s="64">
        <v>461896</v>
      </c>
      <c r="E12" s="63">
        <v>17</v>
      </c>
      <c r="H12" s="67"/>
      <c r="I12" s="77" t="s">
        <v>278</v>
      </c>
      <c r="J12" s="78"/>
      <c r="K12" s="79">
        <f>VLOOKUP($H3&amp;"M000",Premium!$A:$O,5,FALSE)</f>
        <v>156</v>
      </c>
      <c r="L12" s="67"/>
      <c r="M12" s="67"/>
      <c r="N12" s="67"/>
      <c r="P12" s="30"/>
      <c r="Q12" s="28"/>
      <c r="R12" s="28"/>
      <c r="S12" s="28"/>
      <c r="T12" s="28"/>
      <c r="U12" s="28"/>
      <c r="W12" s="105"/>
      <c r="X12" s="106"/>
      <c r="Y12" s="115"/>
      <c r="Z12" s="105"/>
      <c r="AA12" s="106"/>
      <c r="AB12" s="115"/>
    </row>
    <row r="13" spans="1:28">
      <c r="A13" t="str">
        <f>B13&amp;5</f>
        <v>NRRBRCH25</v>
      </c>
      <c r="B13" s="33" t="s">
        <v>276</v>
      </c>
      <c r="C13" s="62" t="s">
        <v>97</v>
      </c>
      <c r="D13" s="64">
        <v>929160</v>
      </c>
      <c r="E13" s="63">
        <v>19.5</v>
      </c>
      <c r="H13" s="67"/>
      <c r="I13" s="77" t="s">
        <v>279</v>
      </c>
      <c r="J13" s="78"/>
      <c r="K13" s="80">
        <f ca="1">INDEX($K$3:$K$8,MATCH(K11,$L$3:$L$8))</f>
        <v>0</v>
      </c>
      <c r="L13" s="67"/>
      <c r="M13" s="67"/>
      <c r="N13" s="67"/>
      <c r="P13" s="30"/>
      <c r="Q13" s="28"/>
      <c r="R13" s="28"/>
      <c r="S13" s="28"/>
      <c r="T13" s="28"/>
      <c r="U13" s="28"/>
      <c r="W13" s="105"/>
      <c r="X13" s="106"/>
      <c r="Y13" s="115"/>
      <c r="Z13" s="105"/>
      <c r="AA13" s="106"/>
      <c r="AB13" s="115"/>
    </row>
    <row r="14" spans="1:28">
      <c r="A14" t="str">
        <f>B14&amp;6</f>
        <v>NRRBRCH26</v>
      </c>
      <c r="B14" s="33" t="s">
        <v>276</v>
      </c>
      <c r="C14" s="65" t="s">
        <v>97</v>
      </c>
      <c r="D14" s="65">
        <v>3720936</v>
      </c>
      <c r="E14" s="66">
        <v>20</v>
      </c>
      <c r="H14" s="67"/>
      <c r="I14" s="81" t="s">
        <v>280</v>
      </c>
      <c r="J14" s="82"/>
      <c r="K14" s="83">
        <f ca="1">ROUNDUP(ROUND(K11/(K12-K13)*1000,2),0)</f>
        <v>500</v>
      </c>
      <c r="L14" s="84">
        <f ca="1">K14-1*0</f>
        <v>500</v>
      </c>
      <c r="M14" s="67">
        <f ca="1">ROUND(L14*(K12-K13)/1000,2)</f>
        <v>78</v>
      </c>
      <c r="N14" s="67"/>
      <c r="P14" s="30"/>
      <c r="Q14" s="28"/>
      <c r="R14" s="28"/>
      <c r="S14" s="28"/>
      <c r="T14" s="28"/>
      <c r="U14" s="28"/>
      <c r="W14" s="105"/>
      <c r="X14" s="106"/>
      <c r="Y14" s="115"/>
      <c r="Z14" s="105"/>
      <c r="AA14" s="106"/>
      <c r="AB14" s="115"/>
    </row>
    <row r="15" ht="16.5" spans="1:28">
      <c r="A15" t="str">
        <f>B15&amp;1</f>
        <v>NRRBRCC21</v>
      </c>
      <c r="B15" s="33" t="s">
        <v>281</v>
      </c>
      <c r="C15" s="62" t="s">
        <v>100</v>
      </c>
      <c r="D15" s="62">
        <f>D3</f>
        <v>0</v>
      </c>
      <c r="E15" s="63">
        <f>E3</f>
        <v>0</v>
      </c>
      <c r="H15" s="67"/>
      <c r="I15" s="67"/>
      <c r="J15" s="67"/>
      <c r="K15" s="67"/>
      <c r="L15" s="67"/>
      <c r="M15" s="67"/>
      <c r="N15" s="67"/>
      <c r="P15" s="30"/>
      <c r="Q15" s="28"/>
      <c r="R15" s="28"/>
      <c r="S15" s="28"/>
      <c r="T15" s="28"/>
      <c r="U15" s="28"/>
      <c r="W15" s="109"/>
      <c r="X15" s="110"/>
      <c r="Y15" s="116"/>
      <c r="Z15" s="109"/>
      <c r="AA15" s="110"/>
      <c r="AB15" s="116"/>
    </row>
    <row r="16" spans="1:21">
      <c r="A16" t="str">
        <f>B16&amp;2</f>
        <v>NRRBRCC22</v>
      </c>
      <c r="B16" s="33" t="s">
        <v>281</v>
      </c>
      <c r="C16" s="62" t="s">
        <v>100</v>
      </c>
      <c r="D16" s="64">
        <v>117978</v>
      </c>
      <c r="E16" s="63">
        <v>5</v>
      </c>
      <c r="H16" s="67"/>
      <c r="I16" s="67" t="s">
        <v>282</v>
      </c>
      <c r="J16" s="67"/>
      <c r="K16" s="75">
        <f ca="1">IF(K11=M14,K11,ROUND(K14/1000*(K12-K13),2))</f>
        <v>78</v>
      </c>
      <c r="L16" s="67"/>
      <c r="M16" s="67"/>
      <c r="N16" s="67"/>
      <c r="P16" s="30"/>
      <c r="Q16" s="28"/>
      <c r="R16" s="28"/>
      <c r="S16" s="28"/>
      <c r="T16" s="28"/>
      <c r="U16" s="28"/>
    </row>
    <row r="17" spans="1:21">
      <c r="A17" t="str">
        <f>B17&amp;3</f>
        <v>NRRBRCC23</v>
      </c>
      <c r="B17" s="33" t="s">
        <v>281</v>
      </c>
      <c r="C17" s="62" t="s">
        <v>100</v>
      </c>
      <c r="D17" s="64">
        <v>200004</v>
      </c>
      <c r="E17" s="63">
        <v>12.5</v>
      </c>
      <c r="H17" s="67"/>
      <c r="I17" s="67"/>
      <c r="J17" s="67"/>
      <c r="K17" s="67"/>
      <c r="L17" s="67"/>
      <c r="M17" s="67"/>
      <c r="N17" s="67"/>
      <c r="P17" s="30"/>
      <c r="Q17" s="28"/>
      <c r="R17" s="28"/>
      <c r="S17" s="28"/>
      <c r="T17" s="28"/>
      <c r="U17" s="28"/>
    </row>
    <row r="18" spans="1:23">
      <c r="A18" t="str">
        <f>B18&amp;4</f>
        <v>NRRBRCC24</v>
      </c>
      <c r="B18" s="33" t="s">
        <v>281</v>
      </c>
      <c r="C18" s="62" t="s">
        <v>100</v>
      </c>
      <c r="D18" s="64">
        <v>404159</v>
      </c>
      <c r="E18" s="63">
        <v>17</v>
      </c>
      <c r="H18" s="67"/>
      <c r="I18" s="77" t="s">
        <v>279</v>
      </c>
      <c r="J18" s="67"/>
      <c r="K18" s="67">
        <f ca="1">INDEX($K$3:$K$8,MATCH(K16,$L$3:$L$8))</f>
        <v>0</v>
      </c>
      <c r="L18" s="67"/>
      <c r="M18" s="67"/>
      <c r="N18" s="67"/>
      <c r="W18" t="s">
        <v>283</v>
      </c>
    </row>
    <row r="19" spans="1:24">
      <c r="A19" t="str">
        <f>B19&amp;5</f>
        <v>NRRBRCC25</v>
      </c>
      <c r="B19" s="33" t="s">
        <v>281</v>
      </c>
      <c r="C19" s="62" t="s">
        <v>100</v>
      </c>
      <c r="D19" s="64">
        <v>813015</v>
      </c>
      <c r="E19" s="63">
        <v>19.5</v>
      </c>
      <c r="H19" s="67"/>
      <c r="I19" s="67"/>
      <c r="J19" s="67"/>
      <c r="K19" s="67"/>
      <c r="L19" s="85"/>
      <c r="M19" s="67"/>
      <c r="N19" s="67"/>
      <c r="W19" t="s">
        <v>284</v>
      </c>
      <c r="X19" s="69">
        <f>'Simp Chinese'!F4/'Simp Chinese'!D3</f>
        <v>15.6</v>
      </c>
    </row>
    <row r="20" spans="1:24">
      <c r="A20" t="str">
        <f>B20&amp;6</f>
        <v>NRRBRCC26</v>
      </c>
      <c r="B20" s="33" t="s">
        <v>281</v>
      </c>
      <c r="C20" s="62" t="s">
        <v>100</v>
      </c>
      <c r="D20" s="64">
        <v>3255819</v>
      </c>
      <c r="E20" s="63">
        <v>20</v>
      </c>
      <c r="H20" s="67"/>
      <c r="I20" s="72" t="s">
        <v>73</v>
      </c>
      <c r="J20" s="73"/>
      <c r="K20" s="74">
        <f ca="1">IF(AND(L20&gt;=M20,L20&lt;=N20),O20,L20)</f>
        <v>77.99</v>
      </c>
      <c r="L20" s="85">
        <f ca="1">K16-0.01</f>
        <v>77.99</v>
      </c>
      <c r="M20" s="67">
        <f ca="1">IF('Simp Chinese'!$D$3=2,INDEX($W$3:$W$15,MATCH(N20,$X$3:$X$15,FALSE)),INDEX($Z$3:$Z$15,MATCH(N20,$AA$3:$AA$15,FALSE)))</f>
        <v>0</v>
      </c>
      <c r="N20" s="67">
        <f ca="1">IF('Simp Chinese'!$D$3=2,VLOOKUP(L20,$W$3:$X$15,2),VLOOKUP(L20,$Z$3:$AA$15,2))</f>
        <v>0</v>
      </c>
      <c r="O20">
        <f ca="1">IF('Simp Chinese'!$D$3=2,VLOOKUP(L20,$W$3:$Y$15,3),VLOOKUP(L20,$Z$3:$AB$15,3))</f>
        <v>0</v>
      </c>
      <c r="W20" t="s">
        <v>285</v>
      </c>
      <c r="X20" s="69">
        <f ca="1">'Simp Chinese'!K4</f>
        <v>16.78</v>
      </c>
    </row>
    <row r="21" spans="1:24">
      <c r="A21" t="str">
        <f>B21&amp;1</f>
        <v>NRRBRCU51</v>
      </c>
      <c r="B21" s="61" t="s">
        <v>286</v>
      </c>
      <c r="C21" s="54" t="s">
        <v>89</v>
      </c>
      <c r="D21" s="62">
        <v>0</v>
      </c>
      <c r="E21" s="63">
        <v>0</v>
      </c>
      <c r="H21" s="67"/>
      <c r="I21" s="77" t="s">
        <v>278</v>
      </c>
      <c r="J21" s="78"/>
      <c r="K21" s="79">
        <f>VLOOKUP($H3&amp;"M000",Premium!$A:$O,5,FALSE)</f>
        <v>156</v>
      </c>
      <c r="L21" s="85"/>
      <c r="M21" s="67"/>
      <c r="N21" s="67"/>
      <c r="P21" t="s">
        <v>287</v>
      </c>
      <c r="T21" s="111">
        <f ca="1">INDEX($Q$4:$T$17,MATCH($K$61,$P$4:$P$17),MATCH($H$3,$Q$3:$T$3,FALSE))</f>
        <v>0</v>
      </c>
      <c r="W21" t="s">
        <v>288</v>
      </c>
      <c r="X21" s="112">
        <f ca="1">IF('Simp Chinese'!P12="N",0,INDEX($Q$4:$U$17,MATCH($X$19,$P$4:$P$17),MATCH($H$3,$Q$3:$U$3,FALSE)))</f>
        <v>0</v>
      </c>
    </row>
    <row r="22" spans="1:24">
      <c r="A22" t="str">
        <f>B22&amp;2</f>
        <v>NRRBRCU52</v>
      </c>
      <c r="B22" s="33" t="s">
        <v>286</v>
      </c>
      <c r="C22" s="62" t="s">
        <v>89</v>
      </c>
      <c r="D22" s="62">
        <v>20135</v>
      </c>
      <c r="E22" s="63">
        <v>7</v>
      </c>
      <c r="H22" s="67"/>
      <c r="I22" s="77" t="s">
        <v>279</v>
      </c>
      <c r="J22" s="78"/>
      <c r="K22" s="80">
        <f ca="1">INDEX($K$3:$K$8,MATCH(K20,$L$3:$L$8))</f>
        <v>0</v>
      </c>
      <c r="L22" s="85"/>
      <c r="M22" s="67"/>
      <c r="N22" s="67"/>
      <c r="P22" t="s">
        <v>289</v>
      </c>
      <c r="T22">
        <f ca="1">ROUND(K61*T21,2)</f>
        <v>0</v>
      </c>
      <c r="W22" t="s">
        <v>290</v>
      </c>
      <c r="X22" s="112">
        <f ca="1">IF('Simp Chinese'!P12="N",0,INDEX($Q$4:$U$17,MATCH($X$20,$P$4:$P$17),MATCH($H$3,$Q$3:$U$3,FALSE)))</f>
        <v>0</v>
      </c>
    </row>
    <row r="23" spans="1:14">
      <c r="A23" t="str">
        <f>B23&amp;3</f>
        <v>NRRBRCU53</v>
      </c>
      <c r="B23" s="33" t="s">
        <v>286</v>
      </c>
      <c r="C23" s="62" t="s">
        <v>89</v>
      </c>
      <c r="D23" s="62">
        <v>34014</v>
      </c>
      <c r="E23" s="63">
        <v>9</v>
      </c>
      <c r="H23" s="67"/>
      <c r="I23" s="81" t="s">
        <v>280</v>
      </c>
      <c r="J23" s="82"/>
      <c r="K23" s="86">
        <f ca="1">ROUNDUP(K20/(K21-K22)*1000,0)</f>
        <v>500</v>
      </c>
      <c r="L23" s="85">
        <f ca="1">K23-1*0</f>
        <v>500</v>
      </c>
      <c r="M23" s="67">
        <f ca="1">ROUND(L23*(K21-K22)/1000,2)</f>
        <v>78</v>
      </c>
      <c r="N23" s="67"/>
    </row>
    <row r="24" spans="1:16">
      <c r="A24" t="str">
        <f>B24&amp;4</f>
        <v>NRRBRCU54</v>
      </c>
      <c r="B24" s="33" t="s">
        <v>286</v>
      </c>
      <c r="C24" s="62" t="s">
        <v>89</v>
      </c>
      <c r="D24" s="62">
        <v>68966</v>
      </c>
      <c r="E24" s="63">
        <v>11</v>
      </c>
      <c r="H24" s="67"/>
      <c r="I24" s="67"/>
      <c r="J24" s="67"/>
      <c r="K24" s="67"/>
      <c r="L24" s="85"/>
      <c r="M24" s="67"/>
      <c r="N24" s="67"/>
      <c r="P24" s="87" t="s">
        <v>291</v>
      </c>
    </row>
    <row r="25" spans="1:21">
      <c r="A25" t="str">
        <f>B25&amp;5</f>
        <v>NRRBRCU55</v>
      </c>
      <c r="B25" s="33" t="s">
        <v>286</v>
      </c>
      <c r="C25" s="62" t="s">
        <v>89</v>
      </c>
      <c r="D25" s="62">
        <v>139373</v>
      </c>
      <c r="E25" s="63">
        <v>12.5</v>
      </c>
      <c r="H25" s="67"/>
      <c r="I25" s="67" t="s">
        <v>282</v>
      </c>
      <c r="J25" s="67"/>
      <c r="K25" s="75">
        <f ca="1">IF(K20=M23,K20,ROUND(K23/1000*(K21-K22),2))</f>
        <v>78</v>
      </c>
      <c r="L25" s="85"/>
      <c r="M25" s="67"/>
      <c r="N25" s="67"/>
      <c r="P25" s="23" t="str" cm="1">
        <f ca="1" t="array" ref="P25:T39">OFFSET('Multiple Ccy Mapping_SC'!A:G,MATCH('Simp Chinese'!D7,'Multiple Ccy Mapping_SC'!A:A,0)-1,1,15,5)</f>
        <v>AP</v>
      </c>
      <c r="Q25" s="25" t="str">
        <v>NRRBRCH2</v>
      </c>
      <c r="R25" s="25" t="str">
        <v>-</v>
      </c>
      <c r="S25" s="25" t="str">
        <v>NRRBRCH5</v>
      </c>
      <c r="T25" s="25" t="str">
        <v>-</v>
      </c>
      <c r="U25" s="26"/>
    </row>
    <row r="26" spans="1:21">
      <c r="A26" t="str">
        <f>B26&amp;6</f>
        <v>NRRBRCU56</v>
      </c>
      <c r="B26" s="36" t="s">
        <v>286</v>
      </c>
      <c r="C26" s="65" t="s">
        <v>89</v>
      </c>
      <c r="D26" s="62">
        <v>559441</v>
      </c>
      <c r="E26" s="63">
        <v>13</v>
      </c>
      <c r="H26" s="67"/>
      <c r="I26" s="67"/>
      <c r="J26" s="67"/>
      <c r="K26" s="67"/>
      <c r="L26" s="85"/>
      <c r="M26" s="67"/>
      <c r="N26" s="67"/>
      <c r="P26" s="27">
        <v>0</v>
      </c>
      <c r="Q26" s="28">
        <v>0</v>
      </c>
      <c r="R26" s="28">
        <v>0</v>
      </c>
      <c r="S26" s="28">
        <v>0</v>
      </c>
      <c r="T26" s="28">
        <v>0</v>
      </c>
      <c r="U26" s="28"/>
    </row>
    <row r="27" spans="1:21">
      <c r="A27" t="str">
        <f>B27&amp;1</f>
        <v>NRRBRCH51</v>
      </c>
      <c r="B27" s="33" t="s">
        <v>292</v>
      </c>
      <c r="C27" s="62" t="s">
        <v>97</v>
      </c>
      <c r="D27" s="62">
        <f>D21</f>
        <v>0</v>
      </c>
      <c r="E27" s="63">
        <f>E21</f>
        <v>0</v>
      </c>
      <c r="H27" s="67"/>
      <c r="I27" s="77" t="s">
        <v>279</v>
      </c>
      <c r="J27" s="67"/>
      <c r="K27" s="67">
        <f ca="1">INDEX($K$3:$K$8,MATCH(K25,$L$3:$L$8))</f>
        <v>0</v>
      </c>
      <c r="L27" s="85"/>
      <c r="M27" s="67"/>
      <c r="N27" s="67"/>
      <c r="P27" s="30">
        <v>40000</v>
      </c>
      <c r="Q27" s="28">
        <v>0</v>
      </c>
      <c r="R27" s="28">
        <v>0</v>
      </c>
      <c r="S27" s="28">
        <v>0.05</v>
      </c>
      <c r="T27" s="28">
        <v>0</v>
      </c>
      <c r="U27" s="28"/>
    </row>
    <row r="28" spans="1:21">
      <c r="A28" t="str">
        <f>B28&amp;2</f>
        <v>NRRBRCH52</v>
      </c>
      <c r="B28" s="33" t="s">
        <v>292</v>
      </c>
      <c r="C28" s="62" t="s">
        <v>97</v>
      </c>
      <c r="D28" s="62">
        <v>161080</v>
      </c>
      <c r="E28" s="63">
        <v>7</v>
      </c>
      <c r="H28" s="67"/>
      <c r="I28" s="67"/>
      <c r="J28" s="67"/>
      <c r="K28" s="67"/>
      <c r="L28" s="85"/>
      <c r="M28" s="67"/>
      <c r="N28" s="67"/>
      <c r="P28" s="30">
        <v>80000</v>
      </c>
      <c r="Q28" s="28">
        <v>0</v>
      </c>
      <c r="R28" s="28">
        <v>0</v>
      </c>
      <c r="S28" s="28">
        <v>0.12</v>
      </c>
      <c r="T28" s="28">
        <v>0</v>
      </c>
      <c r="U28" s="28"/>
    </row>
    <row r="29" spans="1:21">
      <c r="A29" t="str">
        <f>B29&amp;3</f>
        <v>NRRBRCH53</v>
      </c>
      <c r="B29" s="33" t="s">
        <v>292</v>
      </c>
      <c r="C29" s="62" t="s">
        <v>97</v>
      </c>
      <c r="D29" s="62">
        <v>272112</v>
      </c>
      <c r="E29" s="63">
        <v>9</v>
      </c>
      <c r="H29" s="67"/>
      <c r="I29" s="72" t="s">
        <v>73</v>
      </c>
      <c r="J29" s="73"/>
      <c r="K29" s="74">
        <f ca="1">IF(AND(L29&gt;=M29,L29&lt;=N29),O29,L29)</f>
        <v>77.99</v>
      </c>
      <c r="L29" s="85">
        <f ca="1">K25-0.01</f>
        <v>77.99</v>
      </c>
      <c r="M29" s="67">
        <f ca="1">IF('Simp Chinese'!$D$3=2,INDEX($W$3:$W$15,MATCH(N29,$X$3:$X$15,FALSE)),INDEX($Z$3:$Z$15,MATCH(N29,$AA$3:$AA$15,FALSE)))</f>
        <v>0</v>
      </c>
      <c r="N29" s="67">
        <f ca="1">IF('Simp Chinese'!$D$3=2,VLOOKUP(L29,$W$3:$X$15,2),VLOOKUP(L29,$Z$3:$AA$15,2))</f>
        <v>0</v>
      </c>
      <c r="O29">
        <f ca="1">IF('Simp Chinese'!$D$3=2,VLOOKUP(L29,$W$3:$Y$15,3),VLOOKUP(L29,$Z$3:$AB$15,3))</f>
        <v>0</v>
      </c>
      <c r="P29" s="30">
        <v>240000</v>
      </c>
      <c r="Q29" s="28">
        <v>0</v>
      </c>
      <c r="R29" s="28">
        <v>0</v>
      </c>
      <c r="S29" s="28">
        <v>0.15</v>
      </c>
      <c r="T29" s="28">
        <v>0</v>
      </c>
      <c r="U29" s="28"/>
    </row>
    <row r="30" spans="1:21">
      <c r="A30" t="str">
        <f>B30&amp;4</f>
        <v>NRRBRCH54</v>
      </c>
      <c r="B30" s="33" t="s">
        <v>292</v>
      </c>
      <c r="C30" s="62" t="s">
        <v>97</v>
      </c>
      <c r="D30" s="62">
        <v>551728</v>
      </c>
      <c r="E30" s="63">
        <v>11</v>
      </c>
      <c r="H30" s="67"/>
      <c r="I30" s="77" t="s">
        <v>278</v>
      </c>
      <c r="J30" s="78"/>
      <c r="K30" s="79">
        <f>VLOOKUP($H$3&amp;"M000",Premium!$A:$O,5,FALSE)</f>
        <v>156</v>
      </c>
      <c r="L30" s="85"/>
      <c r="M30" s="67"/>
      <c r="N30" s="67"/>
      <c r="P30" s="30">
        <v>400000</v>
      </c>
      <c r="Q30" s="28">
        <v>0</v>
      </c>
      <c r="R30" s="28">
        <v>0</v>
      </c>
      <c r="S30" s="28">
        <v>0.2</v>
      </c>
      <c r="T30" s="28">
        <v>0</v>
      </c>
      <c r="U30" s="28"/>
    </row>
    <row r="31" spans="1:21">
      <c r="A31" t="str">
        <f>B31&amp;5</f>
        <v>NRRBRCH55</v>
      </c>
      <c r="B31" s="33" t="s">
        <v>292</v>
      </c>
      <c r="C31" s="62" t="s">
        <v>97</v>
      </c>
      <c r="D31" s="62">
        <v>1114984</v>
      </c>
      <c r="E31" s="63">
        <v>12.5</v>
      </c>
      <c r="H31" s="67"/>
      <c r="I31" s="77" t="s">
        <v>279</v>
      </c>
      <c r="J31" s="78"/>
      <c r="K31" s="80">
        <f ca="1">INDEX($K$3:$K$8,MATCH(K29,$L$3:$L$8))</f>
        <v>0</v>
      </c>
      <c r="L31" s="85"/>
      <c r="M31" s="67"/>
      <c r="N31" s="67"/>
      <c r="P31" s="30">
        <v>800000</v>
      </c>
      <c r="Q31" s="28">
        <v>0</v>
      </c>
      <c r="R31" s="28">
        <v>0</v>
      </c>
      <c r="S31" s="28">
        <v>0.22</v>
      </c>
      <c r="T31" s="28">
        <v>0</v>
      </c>
      <c r="U31" s="28"/>
    </row>
    <row r="32" spans="1:21">
      <c r="A32" t="str">
        <f>B32&amp;6</f>
        <v>NRRBRCH56</v>
      </c>
      <c r="B32" s="33" t="s">
        <v>292</v>
      </c>
      <c r="C32" s="65" t="s">
        <v>97</v>
      </c>
      <c r="D32" s="62">
        <v>4475528</v>
      </c>
      <c r="E32" s="63">
        <v>13</v>
      </c>
      <c r="H32" s="67"/>
      <c r="I32" s="81" t="s">
        <v>280</v>
      </c>
      <c r="J32" s="82"/>
      <c r="K32" s="86">
        <f ca="1">ROUNDUP(K29/(K30-K31)*1000,0)</f>
        <v>500</v>
      </c>
      <c r="L32" s="85">
        <f ca="1">K32-1*0</f>
        <v>500</v>
      </c>
      <c r="M32" s="67">
        <f ca="1">ROUND(L32*(K30-K31)/1000,2)</f>
        <v>78</v>
      </c>
      <c r="N32" s="67"/>
      <c r="P32" s="30">
        <v>2000000</v>
      </c>
      <c r="Q32" s="28">
        <v>0</v>
      </c>
      <c r="R32" s="28">
        <v>0</v>
      </c>
      <c r="S32" s="28">
        <v>0.24</v>
      </c>
      <c r="T32" s="28">
        <v>0</v>
      </c>
      <c r="U32" s="28"/>
    </row>
    <row r="33" spans="1:21">
      <c r="A33" t="str">
        <f>B33&amp;1</f>
        <v>NRRBRCC51</v>
      </c>
      <c r="B33" s="33" t="s">
        <v>293</v>
      </c>
      <c r="C33" s="62" t="s">
        <v>100</v>
      </c>
      <c r="D33" s="62">
        <f>D27</f>
        <v>0</v>
      </c>
      <c r="E33" s="63">
        <f>E27</f>
        <v>0</v>
      </c>
      <c r="H33" s="67"/>
      <c r="I33" s="67"/>
      <c r="J33" s="67"/>
      <c r="K33" s="67"/>
      <c r="L33" s="85"/>
      <c r="M33" s="67"/>
      <c r="N33" s="67"/>
      <c r="P33" s="30">
        <v>4000000</v>
      </c>
      <c r="Q33" s="28">
        <v>0</v>
      </c>
      <c r="R33" s="28">
        <v>0</v>
      </c>
      <c r="S33" s="28">
        <v>0.26</v>
      </c>
      <c r="T33" s="28">
        <v>0</v>
      </c>
      <c r="U33" s="28"/>
    </row>
    <row r="34" spans="1:21">
      <c r="A34" t="str">
        <f>B34&amp;2</f>
        <v>NRRBRCC52</v>
      </c>
      <c r="B34" s="33" t="s">
        <v>293</v>
      </c>
      <c r="C34" s="62" t="s">
        <v>100</v>
      </c>
      <c r="D34" s="64">
        <v>140945</v>
      </c>
      <c r="E34" s="63">
        <v>7</v>
      </c>
      <c r="H34" s="67"/>
      <c r="I34" s="67" t="s">
        <v>282</v>
      </c>
      <c r="J34" s="67"/>
      <c r="K34" s="75">
        <f ca="1">IF(K29=M32,K29,ROUND(K32/1000*(K30-K31),2))</f>
        <v>78</v>
      </c>
      <c r="L34" s="85"/>
      <c r="M34" s="67"/>
      <c r="N34" s="67"/>
      <c r="P34" s="33">
        <v>0</v>
      </c>
      <c r="Q34" s="28">
        <v>0</v>
      </c>
      <c r="R34" s="28">
        <v>0</v>
      </c>
      <c r="S34" s="28">
        <v>0</v>
      </c>
      <c r="T34" s="28">
        <v>0</v>
      </c>
      <c r="U34" s="28"/>
    </row>
    <row r="35" spans="1:21">
      <c r="A35" t="str">
        <f>B35&amp;3</f>
        <v>NRRBRCC53</v>
      </c>
      <c r="B35" s="33" t="s">
        <v>293</v>
      </c>
      <c r="C35" s="62" t="s">
        <v>100</v>
      </c>
      <c r="D35" s="64">
        <v>238098</v>
      </c>
      <c r="E35" s="63">
        <v>9</v>
      </c>
      <c r="H35" s="67"/>
      <c r="I35" s="67"/>
      <c r="J35" s="67"/>
      <c r="K35" s="67"/>
      <c r="L35" s="85"/>
      <c r="M35" s="67"/>
      <c r="N35" s="67"/>
      <c r="P35" s="33">
        <v>0</v>
      </c>
      <c r="Q35" s="28">
        <v>0</v>
      </c>
      <c r="R35" s="28">
        <v>0</v>
      </c>
      <c r="S35" s="28">
        <v>0</v>
      </c>
      <c r="T35" s="28">
        <v>0</v>
      </c>
      <c r="U35" s="28"/>
    </row>
    <row r="36" spans="1:21">
      <c r="A36" t="str">
        <f>B36&amp;4</f>
        <v>NRRBRCC54</v>
      </c>
      <c r="B36" s="33" t="s">
        <v>293</v>
      </c>
      <c r="C36" s="62" t="s">
        <v>100</v>
      </c>
      <c r="D36" s="64">
        <v>482762</v>
      </c>
      <c r="E36" s="63">
        <v>11</v>
      </c>
      <c r="H36" s="67"/>
      <c r="I36" s="77" t="s">
        <v>279</v>
      </c>
      <c r="J36" s="67"/>
      <c r="K36" s="67">
        <f ca="1">INDEX($K$3:$K$8,MATCH(K34,$L$3:$L$8))</f>
        <v>0</v>
      </c>
      <c r="L36" s="85"/>
      <c r="M36" s="67"/>
      <c r="N36" s="67"/>
      <c r="P36" s="33">
        <v>0</v>
      </c>
      <c r="Q36" s="28">
        <v>0</v>
      </c>
      <c r="R36" s="28">
        <v>0</v>
      </c>
      <c r="S36" s="28">
        <v>0</v>
      </c>
      <c r="T36" s="28">
        <v>0</v>
      </c>
      <c r="U36" s="28"/>
    </row>
    <row r="37" spans="1:21">
      <c r="A37" t="str">
        <f>B37&amp;5</f>
        <v>NRRBRCC55</v>
      </c>
      <c r="B37" s="33" t="s">
        <v>293</v>
      </c>
      <c r="C37" s="62" t="s">
        <v>100</v>
      </c>
      <c r="D37" s="64">
        <v>975611</v>
      </c>
      <c r="E37" s="63">
        <v>12.5</v>
      </c>
      <c r="H37" s="67"/>
      <c r="I37" s="67"/>
      <c r="J37" s="67"/>
      <c r="K37" s="67"/>
      <c r="L37" s="85"/>
      <c r="M37" s="67"/>
      <c r="N37" s="67"/>
      <c r="P37" s="33">
        <v>0</v>
      </c>
      <c r="Q37" s="28">
        <v>0</v>
      </c>
      <c r="R37" s="28">
        <v>0</v>
      </c>
      <c r="S37" s="28">
        <v>0</v>
      </c>
      <c r="T37" s="28">
        <v>0</v>
      </c>
      <c r="U37" s="28"/>
    </row>
    <row r="38" spans="1:21">
      <c r="A38" t="str">
        <f>B38&amp;6</f>
        <v>NRRBRCC56</v>
      </c>
      <c r="B38" s="33" t="s">
        <v>293</v>
      </c>
      <c r="C38" s="62" t="s">
        <v>100</v>
      </c>
      <c r="D38" s="64">
        <v>3916087</v>
      </c>
      <c r="E38" s="63">
        <v>13</v>
      </c>
      <c r="H38" s="67"/>
      <c r="I38" s="72" t="s">
        <v>73</v>
      </c>
      <c r="J38" s="73"/>
      <c r="K38" s="74">
        <f ca="1">IF(AND(L38&gt;=M38,L38&lt;=N38),O38,L38)</f>
        <v>77.99</v>
      </c>
      <c r="L38" s="85">
        <f ca="1">K34-0.01</f>
        <v>77.99</v>
      </c>
      <c r="M38" s="67">
        <f ca="1">IF('Simp Chinese'!$D$3=2,INDEX($W$3:$W$15,MATCH(N38,$X$3:$X$15,FALSE)),INDEX($Z$3:$Z$15,MATCH(N38,$AA$3:$AA$15,FALSE)))</f>
        <v>0</v>
      </c>
      <c r="N38" s="67">
        <f ca="1">IF('Simp Chinese'!$D$3=2,VLOOKUP(L38,$W$3:$X$15,2),VLOOKUP(L38,$Z$3:$AA$15,2))</f>
        <v>0</v>
      </c>
      <c r="O38">
        <f ca="1">IF('Simp Chinese'!$D$3=2,VLOOKUP(L38,$W$3:$Y$15,3),VLOOKUP(L38,$Z$3:$AB$15,3))</f>
        <v>0</v>
      </c>
      <c r="P38" s="33">
        <v>0</v>
      </c>
      <c r="Q38" s="28">
        <v>0</v>
      </c>
      <c r="R38" s="28">
        <v>0</v>
      </c>
      <c r="S38" s="28">
        <v>0</v>
      </c>
      <c r="T38" s="28">
        <v>0</v>
      </c>
      <c r="U38" s="28"/>
    </row>
    <row r="39" spans="1:21">
      <c r="A39" t="str">
        <f>B39&amp;1</f>
        <v>1</v>
      </c>
      <c r="B39" s="33"/>
      <c r="C39" s="62"/>
      <c r="D39" s="62"/>
      <c r="E39" s="63"/>
      <c r="H39" s="67"/>
      <c r="I39" s="77" t="s">
        <v>278</v>
      </c>
      <c r="J39" s="78"/>
      <c r="K39" s="79">
        <f>VLOOKUP($H$3&amp;"M000",Premium!$A:$O,5,FALSE)</f>
        <v>156</v>
      </c>
      <c r="L39" s="85"/>
      <c r="M39" s="67"/>
      <c r="N39" s="67"/>
      <c r="P39" s="36">
        <v>0</v>
      </c>
      <c r="Q39" s="28">
        <v>0</v>
      </c>
      <c r="R39" s="28">
        <v>0</v>
      </c>
      <c r="S39" s="28">
        <v>0</v>
      </c>
      <c r="T39" s="28">
        <v>0</v>
      </c>
      <c r="U39" s="28"/>
    </row>
    <row r="40" spans="1:14">
      <c r="A40" t="str">
        <f>B40&amp;2</f>
        <v>2</v>
      </c>
      <c r="B40" s="33"/>
      <c r="C40" s="62"/>
      <c r="D40" s="64"/>
      <c r="E40" s="63"/>
      <c r="H40" s="67"/>
      <c r="I40" s="77" t="s">
        <v>279</v>
      </c>
      <c r="J40" s="78"/>
      <c r="K40" s="80">
        <f ca="1">INDEX($K$3:$K$8,MATCH(K38,$L$3:$L$8))</f>
        <v>0</v>
      </c>
      <c r="L40" s="85"/>
      <c r="M40" s="67"/>
      <c r="N40" s="67"/>
    </row>
    <row r="41" spans="1:16">
      <c r="A41" t="str">
        <f>B41&amp;3</f>
        <v>3</v>
      </c>
      <c r="B41" s="33"/>
      <c r="C41" s="62"/>
      <c r="D41" s="64"/>
      <c r="E41" s="63"/>
      <c r="H41" s="67"/>
      <c r="I41" s="81" t="s">
        <v>280</v>
      </c>
      <c r="J41" s="82"/>
      <c r="K41" s="86">
        <f ca="1">ROUNDUP(K38/(K39-K40)*1000,0)</f>
        <v>500</v>
      </c>
      <c r="L41" s="85">
        <f ca="1">K41-1*0</f>
        <v>500</v>
      </c>
      <c r="M41" s="67">
        <f ca="1">ROUND(L41*(K39-K40)/1000,2)</f>
        <v>78</v>
      </c>
      <c r="N41" s="67"/>
      <c r="P41" s="87" t="s">
        <v>200</v>
      </c>
    </row>
    <row r="42" spans="1:21">
      <c r="A42" t="str">
        <f>B42&amp;4</f>
        <v>4</v>
      </c>
      <c r="B42" s="33"/>
      <c r="C42" s="62"/>
      <c r="D42" s="64"/>
      <c r="E42" s="63"/>
      <c r="H42" s="67"/>
      <c r="I42" s="67"/>
      <c r="J42" s="67"/>
      <c r="K42" s="67"/>
      <c r="L42" s="85"/>
      <c r="M42" s="67"/>
      <c r="N42" s="67"/>
      <c r="P42" s="23"/>
      <c r="Q42" s="25" t="str">
        <f ca="1">Q25</f>
        <v>NRRBRCH2</v>
      </c>
      <c r="R42" s="25" t="str">
        <f ca="1">R25</f>
        <v>-</v>
      </c>
      <c r="S42" s="25" t="str">
        <f ca="1">S25</f>
        <v>NRRBRCH5</v>
      </c>
      <c r="T42" s="25" t="str">
        <f ca="1">T25</f>
        <v>-</v>
      </c>
      <c r="U42" s="26"/>
    </row>
    <row r="43" spans="1:21">
      <c r="A43" t="str">
        <f>B43&amp;5</f>
        <v>5</v>
      </c>
      <c r="B43" s="33"/>
      <c r="C43" s="62"/>
      <c r="D43" s="64"/>
      <c r="E43" s="63"/>
      <c r="H43" s="67"/>
      <c r="I43" s="67" t="s">
        <v>282</v>
      </c>
      <c r="J43" s="67"/>
      <c r="K43" s="75">
        <f ca="1">IF(K38=M41,K38,ROUND(K41/1000*(K39-K40),2))</f>
        <v>78</v>
      </c>
      <c r="L43" s="85"/>
      <c r="M43" s="67"/>
      <c r="N43" s="67"/>
      <c r="P43" s="27">
        <f ca="1">P26</f>
        <v>0</v>
      </c>
      <c r="Q43" s="113">
        <v>0</v>
      </c>
      <c r="R43" s="113"/>
      <c r="S43" s="113">
        <v>0</v>
      </c>
      <c r="T43" s="113"/>
      <c r="U43" s="28"/>
    </row>
    <row r="44" spans="1:21">
      <c r="A44" t="str">
        <f>B44&amp;6</f>
        <v>6</v>
      </c>
      <c r="B44" s="33"/>
      <c r="C44" s="62"/>
      <c r="D44" s="64"/>
      <c r="E44" s="63"/>
      <c r="H44" s="67"/>
      <c r="I44" s="67"/>
      <c r="J44" s="67"/>
      <c r="K44" s="67"/>
      <c r="L44" s="85"/>
      <c r="M44" s="67"/>
      <c r="N44" s="67"/>
      <c r="P44" s="30">
        <f ca="1" t="shared" ref="P44:P56" si="5">P27</f>
        <v>40000</v>
      </c>
      <c r="Q44" s="113">
        <v>0</v>
      </c>
      <c r="R44" s="113"/>
      <c r="S44" s="113">
        <v>0</v>
      </c>
      <c r="T44" s="113"/>
      <c r="U44" s="28"/>
    </row>
    <row r="45" spans="1:21">
      <c r="A45" t="str">
        <f>B45&amp;1</f>
        <v>1</v>
      </c>
      <c r="B45" s="33"/>
      <c r="C45" s="62"/>
      <c r="D45" s="62"/>
      <c r="E45" s="63"/>
      <c r="H45" s="67"/>
      <c r="I45" s="77" t="s">
        <v>279</v>
      </c>
      <c r="J45" s="67"/>
      <c r="K45" s="67">
        <f ca="1">INDEX($K$3:$K$8,MATCH(K43,$L$3:$L$8))</f>
        <v>0</v>
      </c>
      <c r="L45" s="85"/>
      <c r="M45" s="67"/>
      <c r="N45" s="67"/>
      <c r="P45" s="30">
        <f ca="1" t="shared" si="5"/>
        <v>80000</v>
      </c>
      <c r="Q45" s="113">
        <v>0</v>
      </c>
      <c r="R45" s="113"/>
      <c r="S45" s="113">
        <v>0</v>
      </c>
      <c r="T45" s="113"/>
      <c r="U45" s="28"/>
    </row>
    <row r="46" spans="1:21">
      <c r="A46" t="str">
        <f>B46&amp;2</f>
        <v>2</v>
      </c>
      <c r="B46" s="33"/>
      <c r="C46" s="62"/>
      <c r="D46" s="62"/>
      <c r="E46" s="63"/>
      <c r="H46" s="67"/>
      <c r="I46" s="67"/>
      <c r="J46" s="67"/>
      <c r="K46" s="67"/>
      <c r="L46" s="85"/>
      <c r="M46" s="67"/>
      <c r="N46" s="67"/>
      <c r="P46" s="30">
        <f ca="1" t="shared" si="5"/>
        <v>240000</v>
      </c>
      <c r="Q46" s="113">
        <v>0</v>
      </c>
      <c r="R46" s="113"/>
      <c r="S46" s="113">
        <v>0</v>
      </c>
      <c r="T46" s="113"/>
      <c r="U46" s="28"/>
    </row>
    <row r="47" spans="1:21">
      <c r="A47" t="str">
        <f>B47&amp;3</f>
        <v>3</v>
      </c>
      <c r="B47" s="33"/>
      <c r="C47" s="62"/>
      <c r="D47" s="62"/>
      <c r="E47" s="63"/>
      <c r="H47" s="67"/>
      <c r="I47" s="72" t="s">
        <v>73</v>
      </c>
      <c r="J47" s="73"/>
      <c r="K47" s="74">
        <f ca="1">IF(AND(L47&gt;=M47,L47&lt;=N47),O47,L47)</f>
        <v>77.99</v>
      </c>
      <c r="L47" s="85">
        <f ca="1">K43-0.01</f>
        <v>77.99</v>
      </c>
      <c r="M47" s="67">
        <f ca="1">IF('Simp Chinese'!$D$3=2,INDEX($W$3:$W$15,MATCH(N47,$X$3:$X$15,FALSE)),INDEX($Z$3:$Z$15,MATCH(N47,$AA$3:$AA$15,FALSE)))</f>
        <v>0</v>
      </c>
      <c r="N47" s="67">
        <f ca="1">IF('Simp Chinese'!$D$3=2,VLOOKUP(L47,$W$3:$X$15,2),VLOOKUP(L47,$Z$3:$AA$15,2))</f>
        <v>0</v>
      </c>
      <c r="O47">
        <f ca="1">IF('Simp Chinese'!$D$3=2,VLOOKUP(L47,$W$3:$Y$15,3),VLOOKUP(L47,$Z$3:$AB$15,3))</f>
        <v>0</v>
      </c>
      <c r="P47" s="30">
        <f ca="1" t="shared" si="5"/>
        <v>400000</v>
      </c>
      <c r="Q47" s="113">
        <v>0</v>
      </c>
      <c r="R47" s="113"/>
      <c r="S47" s="113">
        <v>0</v>
      </c>
      <c r="T47" s="113"/>
      <c r="U47" s="28"/>
    </row>
    <row r="48" spans="1:21">
      <c r="A48" t="str">
        <f>B48&amp;4</f>
        <v>4</v>
      </c>
      <c r="B48" s="33"/>
      <c r="C48" s="62"/>
      <c r="D48" s="62"/>
      <c r="E48" s="63"/>
      <c r="H48" s="67"/>
      <c r="I48" s="77" t="s">
        <v>278</v>
      </c>
      <c r="J48" s="78"/>
      <c r="K48" s="79">
        <f>VLOOKUP($H$3&amp;"M000",Premium!$A:$O,5,FALSE)</f>
        <v>156</v>
      </c>
      <c r="L48" s="85"/>
      <c r="M48" s="67"/>
      <c r="N48" s="67"/>
      <c r="P48" s="30">
        <f ca="1" t="shared" si="5"/>
        <v>800000</v>
      </c>
      <c r="Q48" s="113">
        <v>0</v>
      </c>
      <c r="R48" s="113"/>
      <c r="S48" s="113">
        <v>0</v>
      </c>
      <c r="T48" s="113"/>
      <c r="U48" s="28"/>
    </row>
    <row r="49" spans="1:21">
      <c r="A49" t="str">
        <f>B49&amp;5</f>
        <v>5</v>
      </c>
      <c r="B49" s="33"/>
      <c r="C49" s="62"/>
      <c r="D49" s="62"/>
      <c r="E49" s="63"/>
      <c r="H49" s="67"/>
      <c r="I49" s="77" t="s">
        <v>279</v>
      </c>
      <c r="J49" s="78"/>
      <c r="K49" s="80">
        <f ca="1">INDEX($K$3:$K$8,MATCH(K47,$L$3:$L$8))</f>
        <v>0</v>
      </c>
      <c r="L49" s="85"/>
      <c r="M49" s="67"/>
      <c r="N49" s="67"/>
      <c r="P49" s="30">
        <f ca="1" t="shared" si="5"/>
        <v>2000000</v>
      </c>
      <c r="Q49" s="113">
        <v>0</v>
      </c>
      <c r="R49" s="113"/>
      <c r="S49" s="113">
        <v>0</v>
      </c>
      <c r="T49" s="113"/>
      <c r="U49" s="28"/>
    </row>
    <row r="50" spans="1:21">
      <c r="A50" t="str">
        <f>B50&amp;6</f>
        <v>6</v>
      </c>
      <c r="B50" s="36"/>
      <c r="C50" s="65"/>
      <c r="D50" s="65"/>
      <c r="E50" s="66"/>
      <c r="H50" s="67"/>
      <c r="I50" s="81" t="s">
        <v>280</v>
      </c>
      <c r="J50" s="82"/>
      <c r="K50" s="86">
        <f ca="1">ROUNDUP(K47/(K48-K49)*1000,0)</f>
        <v>500</v>
      </c>
      <c r="L50" s="85">
        <f ca="1">K50-1*0</f>
        <v>500</v>
      </c>
      <c r="M50" s="67">
        <f ca="1">ROUND(L50*(K48-K49)/1000,2)</f>
        <v>78</v>
      </c>
      <c r="N50" s="67"/>
      <c r="P50" s="30">
        <f ca="1" t="shared" si="5"/>
        <v>4000000</v>
      </c>
      <c r="Q50" s="113">
        <v>0</v>
      </c>
      <c r="R50" s="113"/>
      <c r="S50" s="113">
        <v>0</v>
      </c>
      <c r="T50" s="113"/>
      <c r="U50" s="28"/>
    </row>
    <row r="51" spans="1:21">
      <c r="A51" t="str">
        <f>B51&amp;1</f>
        <v>1</v>
      </c>
      <c r="H51" s="67"/>
      <c r="I51" s="67"/>
      <c r="J51" s="67"/>
      <c r="K51" s="67"/>
      <c r="L51" s="85"/>
      <c r="M51" s="67"/>
      <c r="N51" s="67"/>
      <c r="P51" s="30">
        <f ca="1" t="shared" si="5"/>
        <v>0</v>
      </c>
      <c r="Q51" s="113">
        <v>0</v>
      </c>
      <c r="R51" s="113"/>
      <c r="S51" s="113">
        <v>0</v>
      </c>
      <c r="T51" s="113"/>
      <c r="U51" s="28"/>
    </row>
    <row r="52" spans="1:21">
      <c r="A52" t="str">
        <f>B52&amp;2</f>
        <v>2</v>
      </c>
      <c r="H52" s="67"/>
      <c r="I52" s="67" t="s">
        <v>282</v>
      </c>
      <c r="J52" s="67"/>
      <c r="K52" s="75">
        <f ca="1">IF(K47=M50,K47,ROUND(K50/1000*(K48-K49),2))</f>
        <v>78</v>
      </c>
      <c r="L52" s="85"/>
      <c r="M52" s="67"/>
      <c r="N52" s="67"/>
      <c r="P52" s="30">
        <f ca="1" t="shared" si="5"/>
        <v>0</v>
      </c>
      <c r="Q52" s="113">
        <v>0</v>
      </c>
      <c r="R52" s="113"/>
      <c r="S52" s="113">
        <v>0</v>
      </c>
      <c r="T52" s="113"/>
      <c r="U52" s="28"/>
    </row>
    <row r="53" spans="1:21">
      <c r="A53" t="str">
        <f>B53&amp;3</f>
        <v>3</v>
      </c>
      <c r="H53" s="67"/>
      <c r="I53" s="67"/>
      <c r="J53" s="67"/>
      <c r="K53" s="67"/>
      <c r="L53" s="85"/>
      <c r="M53" s="67"/>
      <c r="N53" s="67"/>
      <c r="P53" s="30">
        <f ca="1" t="shared" si="5"/>
        <v>0</v>
      </c>
      <c r="Q53" s="113">
        <v>0</v>
      </c>
      <c r="R53" s="113"/>
      <c r="S53" s="113">
        <v>0</v>
      </c>
      <c r="T53" s="113"/>
      <c r="U53" s="28"/>
    </row>
    <row r="54" spans="1:21">
      <c r="A54" t="str">
        <f>B54&amp;4</f>
        <v>4</v>
      </c>
      <c r="H54" s="67"/>
      <c r="I54" s="77" t="s">
        <v>279</v>
      </c>
      <c r="J54" s="67"/>
      <c r="K54" s="67">
        <f ca="1">INDEX($K$3:$K$8,MATCH(K52,$L$3:$L$8))</f>
        <v>0</v>
      </c>
      <c r="L54" s="85"/>
      <c r="M54" s="67"/>
      <c r="N54" s="67"/>
      <c r="P54" s="30">
        <f ca="1" t="shared" si="5"/>
        <v>0</v>
      </c>
      <c r="Q54" s="113">
        <v>0</v>
      </c>
      <c r="R54" s="113"/>
      <c r="S54" s="113">
        <v>0</v>
      </c>
      <c r="T54" s="113"/>
      <c r="U54" s="28"/>
    </row>
    <row r="55" spans="1:21">
      <c r="A55" t="str">
        <f>B55&amp;5</f>
        <v>5</v>
      </c>
      <c r="L55" s="4"/>
      <c r="P55" s="30">
        <f ca="1" t="shared" si="5"/>
        <v>0</v>
      </c>
      <c r="Q55" s="113">
        <v>0</v>
      </c>
      <c r="R55" s="113"/>
      <c r="S55" s="113">
        <v>0</v>
      </c>
      <c r="T55" s="113"/>
      <c r="U55" s="28"/>
    </row>
    <row r="56" spans="1:21">
      <c r="A56" t="str">
        <f>B56&amp;6</f>
        <v>6</v>
      </c>
      <c r="H56" s="68" t="s">
        <v>294</v>
      </c>
      <c r="I56" s="88" t="s">
        <v>73</v>
      </c>
      <c r="J56" s="89"/>
      <c r="K56" s="90">
        <f ca="1">IF(AND(L56&gt;=M56,L56&lt;=N56),O56,L56)</f>
        <v>77.99</v>
      </c>
      <c r="L56" s="91">
        <f ca="1">K52-0.01</f>
        <v>77.99</v>
      </c>
      <c r="M56" s="68">
        <f ca="1">IF('Simp Chinese'!$D$3=2,INDEX($W$3:$W$15,MATCH(N56,$X$3:$X$15,FALSE)),INDEX($Z$3:$Z$15,MATCH(N56,$AA$3:$AA$15,FALSE)))</f>
        <v>0</v>
      </c>
      <c r="N56" s="68">
        <f ca="1">IF('Simp Chinese'!$D$3=2,VLOOKUP(L56,$W$3:$X$15,2),VLOOKUP(L56,$Z$3:$AA$15,2))</f>
        <v>0</v>
      </c>
      <c r="O56">
        <f ca="1">IF('Simp Chinese'!$D$3=2,VLOOKUP(L56,$W$3:$Y$15,3),VLOOKUP(L56,$Z$3:$AB$15,3))</f>
        <v>0</v>
      </c>
      <c r="P56" s="30">
        <f ca="1" t="shared" si="5"/>
        <v>0</v>
      </c>
      <c r="Q56" s="113">
        <v>0</v>
      </c>
      <c r="R56" s="113"/>
      <c r="S56" s="113">
        <v>0</v>
      </c>
      <c r="T56" s="113"/>
      <c r="U56" s="28"/>
    </row>
    <row r="57" spans="1:14">
      <c r="A57" t="str">
        <f>B57&amp;1</f>
        <v>1</v>
      </c>
      <c r="H57" s="68"/>
      <c r="I57" s="92" t="s">
        <v>278</v>
      </c>
      <c r="J57" s="93"/>
      <c r="K57" s="94">
        <f>VLOOKUP($H3&amp;"M000",Premium!$A:$O,5,FALSE)</f>
        <v>156</v>
      </c>
      <c r="L57" s="68"/>
      <c r="M57" s="68"/>
      <c r="N57" s="68"/>
    </row>
    <row r="58" spans="1:14">
      <c r="A58" t="str">
        <f>B58&amp;2</f>
        <v>2</v>
      </c>
      <c r="H58" s="68"/>
      <c r="I58" s="92" t="s">
        <v>279</v>
      </c>
      <c r="J58" s="93"/>
      <c r="K58" s="95">
        <f ca="1">INDEX($K$3:$K$8,MATCH(K56,$L$3:$L$8))</f>
        <v>0</v>
      </c>
      <c r="L58" s="68"/>
      <c r="M58" s="68"/>
      <c r="N58" s="68"/>
    </row>
    <row r="59" spans="1:14">
      <c r="A59" t="str">
        <f>B59&amp;3</f>
        <v>3</v>
      </c>
      <c r="H59" s="68"/>
      <c r="I59" s="96" t="s">
        <v>280</v>
      </c>
      <c r="J59" s="97"/>
      <c r="K59" s="98">
        <f ca="1">ROUNDUP(K56/(K57-K58)*1000,0)</f>
        <v>500</v>
      </c>
      <c r="L59" s="99">
        <f ca="1">K59-1*0</f>
        <v>500</v>
      </c>
      <c r="M59" s="68">
        <f ca="1">ROUND(L59*(K57-K58)/1000,2)</f>
        <v>78</v>
      </c>
      <c r="N59" s="68"/>
    </row>
    <row r="60" spans="1:14">
      <c r="A60" t="str">
        <f>B60&amp;4</f>
        <v>4</v>
      </c>
      <c r="H60" s="68"/>
      <c r="I60" s="68"/>
      <c r="J60" s="68"/>
      <c r="K60" s="68"/>
      <c r="L60" s="68"/>
      <c r="M60" s="68"/>
      <c r="N60" s="68"/>
    </row>
    <row r="61" spans="1:14">
      <c r="A61" t="str">
        <f>B61&amp;5</f>
        <v>5</v>
      </c>
      <c r="H61" s="68"/>
      <c r="I61" s="68" t="s">
        <v>282</v>
      </c>
      <c r="J61" s="68"/>
      <c r="K61" s="100">
        <f ca="1">IF(K56=M59,K56,ROUND(K59/1000*(K57-K58),2))</f>
        <v>78</v>
      </c>
      <c r="L61" s="68"/>
      <c r="M61" s="68"/>
      <c r="N61" s="68"/>
    </row>
    <row r="62" spans="1:14">
      <c r="A62" t="str">
        <f>B62&amp;6</f>
        <v>6</v>
      </c>
      <c r="H62" s="68"/>
      <c r="I62" s="68"/>
      <c r="J62" s="68"/>
      <c r="K62" s="68"/>
      <c r="L62" s="68"/>
      <c r="M62" s="68"/>
      <c r="N62" s="68"/>
    </row>
    <row r="63" spans="8:14">
      <c r="H63" s="68"/>
      <c r="I63" s="92" t="s">
        <v>279</v>
      </c>
      <c r="J63" s="68"/>
      <c r="K63" s="68">
        <f ca="1">INDEX($K$3:$K$8,MATCH(K61,$L$3:$L$8))</f>
        <v>0</v>
      </c>
      <c r="L63" s="68"/>
      <c r="M63" s="68"/>
      <c r="N63" s="68"/>
    </row>
  </sheetData>
  <sheetProtection algorithmName="SHA-512" hashValue="HszhTDT8pbOWxkqFmle9cq6nvRTRLcD3HrYH+GwXR/1U72RKADg26Nbz7im7WNnx+iiIHChuDp39NxQji/lFrw==" saltValue="ufhbQ5MKMujJFKk5P5nvig==" spinCount="100000" sheet="1" objects="1" scenarios="1"/>
  <pageMargins left="0.7" right="0.7" top="0.75" bottom="0.75" header="0.3" footer="0.3"/>
  <pageSetup paperSize="9" orientation="portrait"/>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5" tint="0.399975585192419"/>
  </sheetPr>
  <dimension ref="A1:Q54"/>
  <sheetViews>
    <sheetView workbookViewId="0">
      <selection activeCell="A1" sqref="A1"/>
    </sheetView>
  </sheetViews>
  <sheetFormatPr defaultColWidth="9" defaultRowHeight="15.75"/>
  <cols>
    <col min="2" max="2" width="15.125" customWidth="1"/>
    <col min="3" max="6" width="11.125" customWidth="1"/>
    <col min="7" max="7" width="8.75" customWidth="1"/>
    <col min="12" max="13" width="10.625" customWidth="1"/>
    <col min="14" max="14" width="10.75" customWidth="1"/>
    <col min="15" max="17" width="10.625" customWidth="1"/>
  </cols>
  <sheetData>
    <row r="1" spans="2:12">
      <c r="B1" s="21" t="s">
        <v>268</v>
      </c>
      <c r="D1" t="s">
        <v>295</v>
      </c>
      <c r="L1" s="21" t="s">
        <v>296</v>
      </c>
    </row>
    <row r="3" spans="2:17">
      <c r="B3" s="22" t="s">
        <v>297</v>
      </c>
      <c r="L3" s="22" t="s">
        <v>298</v>
      </c>
      <c r="M3" s="39"/>
      <c r="N3" s="39"/>
      <c r="O3" s="39"/>
      <c r="P3" s="39"/>
      <c r="Q3" s="39"/>
    </row>
    <row r="4" ht="16.5" spans="1:17">
      <c r="A4" t="s">
        <v>89</v>
      </c>
      <c r="B4" s="23" t="s">
        <v>73</v>
      </c>
      <c r="C4" s="24" t="s">
        <v>275</v>
      </c>
      <c r="D4" s="25" t="s">
        <v>299</v>
      </c>
      <c r="E4" s="26" t="s">
        <v>286</v>
      </c>
      <c r="F4" s="25" t="s">
        <v>299</v>
      </c>
      <c r="G4" s="26"/>
      <c r="K4" t="s">
        <v>89</v>
      </c>
      <c r="L4" s="40" t="s">
        <v>300</v>
      </c>
      <c r="M4" s="41"/>
      <c r="N4" s="41"/>
      <c r="O4" s="40" t="s">
        <v>301</v>
      </c>
      <c r="P4" s="41"/>
      <c r="Q4" s="41"/>
    </row>
    <row r="5" spans="2:17">
      <c r="B5" s="27">
        <v>0</v>
      </c>
      <c r="C5" s="28">
        <v>0</v>
      </c>
      <c r="D5" s="28"/>
      <c r="E5" s="29">
        <v>0</v>
      </c>
      <c r="F5" s="28"/>
      <c r="G5" s="28"/>
      <c r="L5" s="42">
        <v>0</v>
      </c>
      <c r="M5" s="43">
        <v>0</v>
      </c>
      <c r="N5" s="44">
        <v>0</v>
      </c>
      <c r="O5" s="42">
        <v>0</v>
      </c>
      <c r="P5" s="43">
        <v>0</v>
      </c>
      <c r="Q5" s="44">
        <v>0</v>
      </c>
    </row>
    <row r="6" spans="2:17">
      <c r="B6" s="30">
        <v>5000</v>
      </c>
      <c r="C6" s="28">
        <v>0</v>
      </c>
      <c r="D6" s="28"/>
      <c r="E6" s="29">
        <v>0.05</v>
      </c>
      <c r="F6" s="28"/>
      <c r="G6" s="28"/>
      <c r="L6" s="45">
        <v>7499.71</v>
      </c>
      <c r="M6" s="46">
        <v>7500.03</v>
      </c>
      <c r="N6" s="47">
        <v>7500.03</v>
      </c>
      <c r="O6" s="45">
        <v>2999.89</v>
      </c>
      <c r="P6" s="46">
        <v>3000.12</v>
      </c>
      <c r="Q6" s="47">
        <v>3000.11</v>
      </c>
    </row>
    <row r="7" spans="2:17">
      <c r="B7" s="30">
        <v>10000</v>
      </c>
      <c r="C7" s="28">
        <v>0</v>
      </c>
      <c r="D7" s="28"/>
      <c r="E7" s="29">
        <v>0.12</v>
      </c>
      <c r="F7" s="28"/>
      <c r="G7" s="28"/>
      <c r="L7" s="45">
        <v>12499.61</v>
      </c>
      <c r="M7" s="46">
        <v>12500.25</v>
      </c>
      <c r="N7" s="47">
        <v>12500.25</v>
      </c>
      <c r="O7" s="45">
        <v>4999.99</v>
      </c>
      <c r="P7" s="46">
        <v>5000.06</v>
      </c>
      <c r="Q7" s="47">
        <v>5000.02</v>
      </c>
    </row>
    <row r="8" spans="2:17">
      <c r="B8" s="31">
        <v>30000</v>
      </c>
      <c r="C8" s="28">
        <v>0</v>
      </c>
      <c r="D8" s="28"/>
      <c r="E8" s="32">
        <v>0.15</v>
      </c>
      <c r="F8" s="28"/>
      <c r="G8" s="28"/>
      <c r="L8" s="45">
        <v>24999.63</v>
      </c>
      <c r="M8" s="46">
        <v>25000.12</v>
      </c>
      <c r="N8" s="47">
        <v>25000.12</v>
      </c>
      <c r="O8" s="48">
        <v>9999.97</v>
      </c>
      <c r="P8" s="46">
        <v>10000.07</v>
      </c>
      <c r="Q8" s="47">
        <v>10000.07</v>
      </c>
    </row>
    <row r="9" spans="2:17">
      <c r="B9" s="30">
        <v>50000</v>
      </c>
      <c r="C9" s="28">
        <v>0</v>
      </c>
      <c r="D9" s="28"/>
      <c r="E9" s="32">
        <v>0.2</v>
      </c>
      <c r="F9" s="28"/>
      <c r="G9" s="28"/>
      <c r="L9" s="48">
        <v>49999.81</v>
      </c>
      <c r="M9" s="49">
        <v>50000.42</v>
      </c>
      <c r="N9" s="47">
        <v>50000.42</v>
      </c>
      <c r="O9" s="48">
        <v>19999.86</v>
      </c>
      <c r="P9" s="46">
        <v>20000.03</v>
      </c>
      <c r="Q9" s="47">
        <v>20000.02</v>
      </c>
    </row>
    <row r="10" spans="2:17">
      <c r="B10" s="30">
        <v>100000</v>
      </c>
      <c r="C10" s="28">
        <v>0</v>
      </c>
      <c r="D10" s="28"/>
      <c r="E10" s="32">
        <v>0.22</v>
      </c>
      <c r="F10" s="28"/>
      <c r="G10" s="28"/>
      <c r="L10" s="45">
        <v>199999.97</v>
      </c>
      <c r="M10" s="46">
        <v>200000.31</v>
      </c>
      <c r="N10" s="47">
        <v>200000.3</v>
      </c>
      <c r="O10" s="45">
        <v>79999.96</v>
      </c>
      <c r="P10" s="46">
        <v>80000.06</v>
      </c>
      <c r="Q10" s="47">
        <v>80000.06</v>
      </c>
    </row>
    <row r="11" spans="2:17">
      <c r="B11" s="30">
        <v>250000</v>
      </c>
      <c r="C11" s="28">
        <v>0</v>
      </c>
      <c r="D11" s="28"/>
      <c r="E11" s="32">
        <v>0.24</v>
      </c>
      <c r="F11" s="28"/>
      <c r="G11" s="28"/>
      <c r="L11" s="48"/>
      <c r="M11" s="49"/>
      <c r="N11" s="47"/>
      <c r="O11" s="45"/>
      <c r="P11" s="46"/>
      <c r="Q11" s="47"/>
    </row>
    <row r="12" spans="2:17">
      <c r="B12" s="30">
        <v>500000</v>
      </c>
      <c r="C12" s="28">
        <v>0</v>
      </c>
      <c r="D12" s="28"/>
      <c r="E12" s="32">
        <v>0.26</v>
      </c>
      <c r="F12" s="28"/>
      <c r="G12" s="28"/>
      <c r="L12" s="45"/>
      <c r="M12" s="46"/>
      <c r="N12" s="47"/>
      <c r="O12" s="45"/>
      <c r="P12" s="46"/>
      <c r="Q12" s="47"/>
    </row>
    <row r="13" spans="2:17">
      <c r="B13" s="33"/>
      <c r="C13" s="34"/>
      <c r="D13" s="34"/>
      <c r="E13" s="35"/>
      <c r="F13" s="34"/>
      <c r="G13" s="35"/>
      <c r="L13" s="45"/>
      <c r="M13" s="46"/>
      <c r="N13" s="47"/>
      <c r="O13" s="45"/>
      <c r="P13" s="46"/>
      <c r="Q13" s="47"/>
    </row>
    <row r="14" spans="2:17">
      <c r="B14" s="33"/>
      <c r="C14" s="34"/>
      <c r="D14" s="34"/>
      <c r="E14" s="35"/>
      <c r="F14" s="34"/>
      <c r="G14" s="35"/>
      <c r="L14" s="45"/>
      <c r="M14" s="46"/>
      <c r="N14" s="47"/>
      <c r="O14" s="45"/>
      <c r="P14" s="46"/>
      <c r="Q14" s="47"/>
    </row>
    <row r="15" spans="2:17">
      <c r="B15" s="33"/>
      <c r="C15" s="34"/>
      <c r="D15" s="34"/>
      <c r="E15" s="35"/>
      <c r="F15" s="34"/>
      <c r="G15" s="35"/>
      <c r="L15" s="45"/>
      <c r="M15" s="46"/>
      <c r="N15" s="47"/>
      <c r="O15" s="45"/>
      <c r="P15" s="46"/>
      <c r="Q15" s="47"/>
    </row>
    <row r="16" spans="2:17">
      <c r="B16" s="33"/>
      <c r="C16" s="34"/>
      <c r="D16" s="34"/>
      <c r="E16" s="35"/>
      <c r="F16" s="34"/>
      <c r="G16" s="35"/>
      <c r="L16" s="45"/>
      <c r="M16" s="46"/>
      <c r="N16" s="47"/>
      <c r="O16" s="45"/>
      <c r="P16" s="46"/>
      <c r="Q16" s="47"/>
    </row>
    <row r="17" ht="16.5" spans="2:17">
      <c r="B17" s="33"/>
      <c r="C17" s="34"/>
      <c r="D17" s="34"/>
      <c r="E17" s="35"/>
      <c r="F17" s="34"/>
      <c r="G17" s="35"/>
      <c r="L17" s="50"/>
      <c r="M17" s="51"/>
      <c r="N17" s="52"/>
      <c r="O17" s="50"/>
      <c r="P17" s="51"/>
      <c r="Q17" s="52"/>
    </row>
    <row r="18" spans="2:7">
      <c r="B18" s="36"/>
      <c r="C18" s="37"/>
      <c r="D18" s="37"/>
      <c r="E18" s="38"/>
      <c r="F18" s="37"/>
      <c r="G18" s="38"/>
    </row>
    <row r="21" spans="2:17">
      <c r="B21" s="22" t="s">
        <v>302</v>
      </c>
      <c r="L21" s="22" t="s">
        <v>303</v>
      </c>
      <c r="M21" s="39"/>
      <c r="N21" s="39"/>
      <c r="O21" s="39"/>
      <c r="P21" s="39"/>
      <c r="Q21" s="39"/>
    </row>
    <row r="22" ht="16.5" spans="1:17">
      <c r="A22" t="s">
        <v>97</v>
      </c>
      <c r="B22" s="23" t="s">
        <v>73</v>
      </c>
      <c r="C22" s="24" t="s">
        <v>276</v>
      </c>
      <c r="D22" s="25" t="s">
        <v>299</v>
      </c>
      <c r="E22" s="26" t="s">
        <v>292</v>
      </c>
      <c r="F22" s="25" t="s">
        <v>299</v>
      </c>
      <c r="G22" s="26"/>
      <c r="K22" t="s">
        <v>97</v>
      </c>
      <c r="L22" s="40" t="s">
        <v>304</v>
      </c>
      <c r="M22" s="41"/>
      <c r="N22" s="41"/>
      <c r="O22" s="40" t="s">
        <v>305</v>
      </c>
      <c r="P22" s="41"/>
      <c r="Q22" s="41"/>
    </row>
    <row r="23" spans="2:17">
      <c r="B23" s="27">
        <v>0</v>
      </c>
      <c r="C23" s="28">
        <v>0</v>
      </c>
      <c r="D23" s="28"/>
      <c r="E23" s="29">
        <v>0</v>
      </c>
      <c r="F23" s="28"/>
      <c r="G23" s="28"/>
      <c r="L23" s="42">
        <v>0</v>
      </c>
      <c r="M23" s="43">
        <v>0</v>
      </c>
      <c r="N23" s="44">
        <v>0</v>
      </c>
      <c r="O23" s="42">
        <v>0</v>
      </c>
      <c r="P23" s="43">
        <v>0</v>
      </c>
      <c r="Q23" s="44">
        <v>0</v>
      </c>
    </row>
    <row r="24" spans="2:17">
      <c r="B24" s="30">
        <v>40000</v>
      </c>
      <c r="C24" s="28">
        <v>0</v>
      </c>
      <c r="D24" s="28"/>
      <c r="E24" s="29">
        <v>0.05</v>
      </c>
      <c r="F24" s="28"/>
      <c r="G24" s="28"/>
      <c r="L24" s="45">
        <v>59999.8600000002</v>
      </c>
      <c r="M24" s="46">
        <v>60000.24</v>
      </c>
      <c r="N24" s="47">
        <v>60000.24</v>
      </c>
      <c r="O24" s="45">
        <v>23999.98</v>
      </c>
      <c r="P24" s="46">
        <v>24000.92</v>
      </c>
      <c r="Q24" s="47">
        <v>24000.92</v>
      </c>
    </row>
    <row r="25" spans="2:17">
      <c r="B25" s="30">
        <v>80000</v>
      </c>
      <c r="C25" s="28">
        <v>0</v>
      </c>
      <c r="D25" s="28"/>
      <c r="E25" s="29">
        <v>0.12</v>
      </c>
      <c r="F25" s="28"/>
      <c r="G25" s="28"/>
      <c r="L25" s="45">
        <v>100001.74</v>
      </c>
      <c r="M25" s="46">
        <v>100002.44</v>
      </c>
      <c r="N25" s="47">
        <v>100002.4</v>
      </c>
      <c r="O25" s="45">
        <v>39999.95</v>
      </c>
      <c r="P25" s="46">
        <v>40000.46</v>
      </c>
      <c r="Q25" s="47">
        <v>40000.46</v>
      </c>
    </row>
    <row r="26" spans="2:17">
      <c r="B26" s="31">
        <v>240000</v>
      </c>
      <c r="C26" s="28">
        <v>0</v>
      </c>
      <c r="D26" s="28"/>
      <c r="E26" s="32">
        <v>0.15</v>
      </c>
      <c r="F26" s="28"/>
      <c r="G26" s="28"/>
      <c r="L26" s="45">
        <v>199999.63</v>
      </c>
      <c r="M26" s="46">
        <v>200000.97</v>
      </c>
      <c r="N26" s="47">
        <v>200000.96</v>
      </c>
      <c r="O26" s="48">
        <v>79999.9</v>
      </c>
      <c r="P26" s="46">
        <v>80000.56</v>
      </c>
      <c r="Q26" s="47">
        <v>80000.56</v>
      </c>
    </row>
    <row r="27" spans="2:17">
      <c r="B27" s="30">
        <v>400000</v>
      </c>
      <c r="C27" s="28">
        <v>0</v>
      </c>
      <c r="D27" s="28"/>
      <c r="E27" s="32">
        <v>0.2</v>
      </c>
      <c r="F27" s="28"/>
      <c r="G27" s="28"/>
      <c r="L27" s="48">
        <v>400002.810000001</v>
      </c>
      <c r="M27" s="49">
        <v>400003.38</v>
      </c>
      <c r="N27" s="47">
        <v>400003.37</v>
      </c>
      <c r="O27" s="48">
        <v>159999.960000001</v>
      </c>
      <c r="P27" s="46">
        <v>160000.204</v>
      </c>
      <c r="Q27" s="47">
        <v>160000.204</v>
      </c>
    </row>
    <row r="28" spans="2:17">
      <c r="B28" s="30">
        <v>800000</v>
      </c>
      <c r="C28" s="28">
        <v>0</v>
      </c>
      <c r="D28" s="28"/>
      <c r="E28" s="32">
        <v>0.22</v>
      </c>
      <c r="F28" s="28"/>
      <c r="G28" s="28"/>
      <c r="L28" s="45">
        <v>1600001.9</v>
      </c>
      <c r="M28" s="46">
        <v>1600002.48</v>
      </c>
      <c r="N28" s="47">
        <v>1600002.48</v>
      </c>
      <c r="O28" s="45">
        <v>639999.96</v>
      </c>
      <c r="P28" s="46">
        <v>640000.5</v>
      </c>
      <c r="Q28" s="47">
        <v>640000.504</v>
      </c>
    </row>
    <row r="29" spans="2:17">
      <c r="B29" s="30">
        <v>2000000</v>
      </c>
      <c r="C29" s="28">
        <v>0</v>
      </c>
      <c r="D29" s="28"/>
      <c r="E29" s="32">
        <v>0.24</v>
      </c>
      <c r="F29" s="28"/>
      <c r="G29" s="28"/>
      <c r="L29" s="48"/>
      <c r="M29" s="49"/>
      <c r="N29" s="47"/>
      <c r="O29" s="45"/>
      <c r="P29" s="46"/>
      <c r="Q29" s="47"/>
    </row>
    <row r="30" spans="2:17">
      <c r="B30" s="30">
        <v>4000000</v>
      </c>
      <c r="C30" s="28">
        <v>0</v>
      </c>
      <c r="D30" s="28"/>
      <c r="E30" s="32">
        <v>0.26</v>
      </c>
      <c r="F30" s="28"/>
      <c r="G30" s="28"/>
      <c r="L30" s="45"/>
      <c r="M30" s="46"/>
      <c r="N30" s="47"/>
      <c r="O30" s="45"/>
      <c r="P30" s="46"/>
      <c r="Q30" s="47"/>
    </row>
    <row r="31" spans="2:17">
      <c r="B31" s="33"/>
      <c r="C31" s="34"/>
      <c r="D31" s="34"/>
      <c r="E31" s="35"/>
      <c r="F31" s="34"/>
      <c r="G31" s="35"/>
      <c r="L31" s="45"/>
      <c r="M31" s="46"/>
      <c r="N31" s="47"/>
      <c r="O31" s="45"/>
      <c r="P31" s="46"/>
      <c r="Q31" s="47"/>
    </row>
    <row r="32" spans="2:17">
      <c r="B32" s="33"/>
      <c r="C32" s="34"/>
      <c r="D32" s="34"/>
      <c r="E32" s="35"/>
      <c r="F32" s="34"/>
      <c r="G32" s="35"/>
      <c r="L32" s="45"/>
      <c r="M32" s="46"/>
      <c r="N32" s="47"/>
      <c r="O32" s="45"/>
      <c r="P32" s="46"/>
      <c r="Q32" s="47"/>
    </row>
    <row r="33" spans="2:17">
      <c r="B33" s="33"/>
      <c r="C33" s="34"/>
      <c r="D33" s="34"/>
      <c r="E33" s="35"/>
      <c r="F33" s="34"/>
      <c r="G33" s="35"/>
      <c r="L33" s="45"/>
      <c r="M33" s="46"/>
      <c r="N33" s="47"/>
      <c r="O33" s="45"/>
      <c r="P33" s="46"/>
      <c r="Q33" s="47"/>
    </row>
    <row r="34" spans="2:17">
      <c r="B34" s="33"/>
      <c r="C34" s="34"/>
      <c r="D34" s="34"/>
      <c r="E34" s="35"/>
      <c r="F34" s="34"/>
      <c r="G34" s="35"/>
      <c r="L34" s="45"/>
      <c r="M34" s="46"/>
      <c r="N34" s="47"/>
      <c r="O34" s="45"/>
      <c r="P34" s="46"/>
      <c r="Q34" s="47"/>
    </row>
    <row r="35" ht="16.5" spans="2:17">
      <c r="B35" s="33"/>
      <c r="C35" s="34"/>
      <c r="D35" s="34"/>
      <c r="E35" s="35"/>
      <c r="F35" s="34"/>
      <c r="G35" s="35"/>
      <c r="L35" s="50"/>
      <c r="M35" s="51"/>
      <c r="N35" s="52"/>
      <c r="O35" s="50"/>
      <c r="P35" s="51"/>
      <c r="Q35" s="52"/>
    </row>
    <row r="36" spans="2:7">
      <c r="B36" s="36"/>
      <c r="C36" s="37"/>
      <c r="D36" s="37"/>
      <c r="E36" s="38"/>
      <c r="F36" s="37"/>
      <c r="G36" s="38"/>
    </row>
    <row r="39" spans="2:17">
      <c r="B39" s="22" t="s">
        <v>306</v>
      </c>
      <c r="L39" s="22" t="s">
        <v>307</v>
      </c>
      <c r="M39" s="39"/>
      <c r="N39" s="39"/>
      <c r="O39" s="39"/>
      <c r="P39" s="39"/>
      <c r="Q39" s="39"/>
    </row>
    <row r="40" ht="16.5" spans="1:17">
      <c r="A40" t="s">
        <v>100</v>
      </c>
      <c r="B40" s="23" t="s">
        <v>73</v>
      </c>
      <c r="C40" s="24" t="s">
        <v>281</v>
      </c>
      <c r="D40" s="25" t="s">
        <v>299</v>
      </c>
      <c r="E40" s="26" t="s">
        <v>293</v>
      </c>
      <c r="F40" s="25" t="s">
        <v>299</v>
      </c>
      <c r="G40" s="26"/>
      <c r="K40" t="s">
        <v>100</v>
      </c>
      <c r="L40" s="40" t="s">
        <v>308</v>
      </c>
      <c r="M40" s="41"/>
      <c r="N40" s="41"/>
      <c r="O40" s="40" t="s">
        <v>309</v>
      </c>
      <c r="P40" s="41"/>
      <c r="Q40" s="41"/>
    </row>
    <row r="41" spans="2:17">
      <c r="B41" s="27">
        <v>0</v>
      </c>
      <c r="C41" s="28">
        <v>0</v>
      </c>
      <c r="D41" s="28"/>
      <c r="E41" s="29">
        <v>0</v>
      </c>
      <c r="F41" s="28"/>
      <c r="G41" s="28"/>
      <c r="L41" s="42">
        <v>0</v>
      </c>
      <c r="M41" s="43">
        <v>0</v>
      </c>
      <c r="N41" s="44">
        <v>0</v>
      </c>
      <c r="O41" s="42">
        <v>0</v>
      </c>
      <c r="P41" s="43">
        <v>0</v>
      </c>
      <c r="Q41" s="44">
        <v>0</v>
      </c>
    </row>
    <row r="42" spans="2:17">
      <c r="B42" s="30">
        <v>35000</v>
      </c>
      <c r="C42" s="28">
        <v>0</v>
      </c>
      <c r="D42" s="28"/>
      <c r="E42" s="29">
        <v>0.05</v>
      </c>
      <c r="F42" s="28"/>
      <c r="G42" s="28"/>
      <c r="L42" s="45">
        <v>52499.71</v>
      </c>
      <c r="M42" s="46">
        <v>52500.21</v>
      </c>
      <c r="N42" s="47">
        <v>52500.21</v>
      </c>
      <c r="O42" s="45">
        <v>20999.95</v>
      </c>
      <c r="P42" s="46">
        <v>21000.8099999998</v>
      </c>
      <c r="Q42" s="47">
        <v>21000.8</v>
      </c>
    </row>
    <row r="43" spans="2:17">
      <c r="B43" s="30">
        <v>70000</v>
      </c>
      <c r="C43" s="28">
        <v>0</v>
      </c>
      <c r="D43" s="28"/>
      <c r="E43" s="29">
        <v>0.12</v>
      </c>
      <c r="F43" s="28"/>
      <c r="G43" s="28"/>
      <c r="L43" s="45">
        <v>87500.8</v>
      </c>
      <c r="M43" s="46">
        <v>87501.75</v>
      </c>
      <c r="N43" s="47">
        <v>87501.75</v>
      </c>
      <c r="O43" s="45">
        <v>34999.9600000001</v>
      </c>
      <c r="P43" s="46">
        <v>35000.4100000002</v>
      </c>
      <c r="Q43" s="47">
        <v>35000.4</v>
      </c>
    </row>
    <row r="44" spans="2:17">
      <c r="B44" s="31">
        <v>210000</v>
      </c>
      <c r="C44" s="28">
        <v>0</v>
      </c>
      <c r="D44" s="28"/>
      <c r="E44" s="32">
        <v>0.15</v>
      </c>
      <c r="F44" s="28"/>
      <c r="G44" s="28"/>
      <c r="L44" s="45">
        <v>174999.57</v>
      </c>
      <c r="M44" s="46">
        <v>175000.85</v>
      </c>
      <c r="N44" s="47">
        <v>175000.84</v>
      </c>
      <c r="O44" s="48">
        <v>69999.9399999995</v>
      </c>
      <c r="P44" s="46">
        <v>70000.49</v>
      </c>
      <c r="Q44" s="47">
        <v>70000.49</v>
      </c>
    </row>
    <row r="45" spans="2:17">
      <c r="B45" s="30">
        <v>350000</v>
      </c>
      <c r="C45" s="28">
        <v>0</v>
      </c>
      <c r="D45" s="28"/>
      <c r="E45" s="32">
        <v>0.2</v>
      </c>
      <c r="F45" s="28"/>
      <c r="G45" s="28"/>
      <c r="L45" s="48">
        <v>350001.7</v>
      </c>
      <c r="M45" s="49">
        <v>350002.96</v>
      </c>
      <c r="N45" s="47">
        <v>350002.95</v>
      </c>
      <c r="O45" s="48">
        <v>139999.970000001</v>
      </c>
      <c r="P45" s="46">
        <v>140000.18</v>
      </c>
      <c r="Q45" s="47">
        <v>140000.17</v>
      </c>
    </row>
    <row r="46" spans="2:17">
      <c r="B46" s="30">
        <v>700000</v>
      </c>
      <c r="C46" s="28">
        <v>0</v>
      </c>
      <c r="D46" s="28"/>
      <c r="E46" s="32">
        <v>0.22</v>
      </c>
      <c r="F46" s="28"/>
      <c r="G46" s="28"/>
      <c r="L46" s="45">
        <v>1400001.93</v>
      </c>
      <c r="M46" s="46">
        <v>1400002.17</v>
      </c>
      <c r="N46" s="47">
        <v>1400002.17</v>
      </c>
      <c r="O46" s="45">
        <v>559999.86</v>
      </c>
      <c r="P46" s="46">
        <v>560000.44</v>
      </c>
      <c r="Q46" s="47">
        <v>560000.44</v>
      </c>
    </row>
    <row r="47" spans="2:17">
      <c r="B47" s="30">
        <v>1750000</v>
      </c>
      <c r="C47" s="28">
        <v>0</v>
      </c>
      <c r="D47" s="28"/>
      <c r="E47" s="32">
        <v>0.24</v>
      </c>
      <c r="F47" s="28"/>
      <c r="G47" s="28"/>
      <c r="L47" s="48"/>
      <c r="M47" s="49"/>
      <c r="N47" s="47"/>
      <c r="O47" s="45"/>
      <c r="P47" s="46"/>
      <c r="Q47" s="47"/>
    </row>
    <row r="48" spans="2:17">
      <c r="B48" s="30">
        <v>3500000</v>
      </c>
      <c r="C48" s="28">
        <v>0</v>
      </c>
      <c r="D48" s="28"/>
      <c r="E48" s="32">
        <v>0.26</v>
      </c>
      <c r="F48" s="28"/>
      <c r="G48" s="28"/>
      <c r="L48" s="45"/>
      <c r="M48" s="46"/>
      <c r="N48" s="47"/>
      <c r="O48" s="45"/>
      <c r="P48" s="46"/>
      <c r="Q48" s="47"/>
    </row>
    <row r="49" spans="2:17">
      <c r="B49" s="33"/>
      <c r="C49" s="34"/>
      <c r="D49" s="34"/>
      <c r="E49" s="35"/>
      <c r="F49" s="34"/>
      <c r="G49" s="35"/>
      <c r="L49" s="45"/>
      <c r="M49" s="46"/>
      <c r="N49" s="47"/>
      <c r="O49" s="45"/>
      <c r="P49" s="46"/>
      <c r="Q49" s="47"/>
    </row>
    <row r="50" spans="2:17">
      <c r="B50" s="33"/>
      <c r="C50" s="34"/>
      <c r="D50" s="34"/>
      <c r="E50" s="35"/>
      <c r="F50" s="34"/>
      <c r="G50" s="35"/>
      <c r="L50" s="45"/>
      <c r="M50" s="46"/>
      <c r="N50" s="47"/>
      <c r="O50" s="45"/>
      <c r="P50" s="46"/>
      <c r="Q50" s="47"/>
    </row>
    <row r="51" spans="2:17">
      <c r="B51" s="33"/>
      <c r="C51" s="34"/>
      <c r="D51" s="34"/>
      <c r="E51" s="35"/>
      <c r="F51" s="34"/>
      <c r="G51" s="35"/>
      <c r="L51" s="45"/>
      <c r="M51" s="46"/>
      <c r="N51" s="47"/>
      <c r="O51" s="45"/>
      <c r="P51" s="46"/>
      <c r="Q51" s="47"/>
    </row>
    <row r="52" spans="2:17">
      <c r="B52" s="33"/>
      <c r="C52" s="34"/>
      <c r="D52" s="34"/>
      <c r="E52" s="35"/>
      <c r="F52" s="34"/>
      <c r="G52" s="35"/>
      <c r="L52" s="45"/>
      <c r="M52" s="46"/>
      <c r="N52" s="47"/>
      <c r="O52" s="45"/>
      <c r="P52" s="46"/>
      <c r="Q52" s="47"/>
    </row>
    <row r="53" ht="16.5" spans="2:17">
      <c r="B53" s="33"/>
      <c r="C53" s="34"/>
      <c r="D53" s="34"/>
      <c r="E53" s="35"/>
      <c r="F53" s="34"/>
      <c r="G53" s="35"/>
      <c r="L53" s="50"/>
      <c r="M53" s="51"/>
      <c r="N53" s="52"/>
      <c r="O53" s="50"/>
      <c r="P53" s="51"/>
      <c r="Q53" s="52"/>
    </row>
    <row r="54" spans="2:7">
      <c r="B54" s="36"/>
      <c r="C54" s="37"/>
      <c r="D54" s="37"/>
      <c r="E54" s="38"/>
      <c r="F54" s="37"/>
      <c r="G54" s="38"/>
    </row>
  </sheetData>
  <sheetProtection algorithmName="SHA-512" hashValue="GedWvAyAGDrngKJTqjeJ4vyLkXiFvtR6xwAN89/7Xzg46cfHvrM5DoizYBzSL0SG0yhDlKXGX7Ic97jfjZTE+A==" saltValue="FjaWq5IWvNz3Xil2HNcFIQ==" spinCount="100000" sheet="1" objects="1" scenarios="1"/>
  <pageMargins left="0.7" right="0.7"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5" tint="0.399975585192419"/>
  </sheetPr>
  <dimension ref="A1:Q54"/>
  <sheetViews>
    <sheetView workbookViewId="0">
      <selection activeCell="A1" sqref="A1"/>
    </sheetView>
  </sheetViews>
  <sheetFormatPr defaultColWidth="9" defaultRowHeight="15.75"/>
  <cols>
    <col min="2" max="2" width="15.125" customWidth="1"/>
    <col min="3" max="6" width="11.125" customWidth="1"/>
    <col min="7" max="7" width="8.75" customWidth="1"/>
    <col min="12" max="13" width="10.625" customWidth="1"/>
    <col min="14" max="14" width="10.75" customWidth="1"/>
    <col min="15" max="17" width="10.625" customWidth="1"/>
  </cols>
  <sheetData>
    <row r="1" spans="2:12">
      <c r="B1" s="21" t="s">
        <v>268</v>
      </c>
      <c r="L1" s="21" t="s">
        <v>296</v>
      </c>
    </row>
    <row r="3" spans="2:17">
      <c r="B3" s="22" t="s">
        <v>297</v>
      </c>
      <c r="L3" s="22" t="s">
        <v>298</v>
      </c>
      <c r="M3" s="39"/>
      <c r="N3" s="39"/>
      <c r="O3" s="39"/>
      <c r="P3" s="39"/>
      <c r="Q3" s="39"/>
    </row>
    <row r="4" ht="16.5" spans="1:17">
      <c r="A4" t="s">
        <v>102</v>
      </c>
      <c r="B4" s="23" t="s">
        <v>73</v>
      </c>
      <c r="C4" s="24" t="s">
        <v>275</v>
      </c>
      <c r="D4" s="25" t="s">
        <v>299</v>
      </c>
      <c r="E4" s="26" t="s">
        <v>286</v>
      </c>
      <c r="F4" s="25" t="s">
        <v>299</v>
      </c>
      <c r="G4" s="26"/>
      <c r="K4" t="s">
        <v>102</v>
      </c>
      <c r="L4" s="40" t="s">
        <v>300</v>
      </c>
      <c r="M4" s="41"/>
      <c r="N4" s="41"/>
      <c r="O4" s="40" t="s">
        <v>301</v>
      </c>
      <c r="P4" s="41"/>
      <c r="Q4" s="41"/>
    </row>
    <row r="5" spans="2:17">
      <c r="B5" s="27">
        <v>0</v>
      </c>
      <c r="C5" s="28">
        <v>0</v>
      </c>
      <c r="D5" s="28"/>
      <c r="E5" s="29">
        <v>0</v>
      </c>
      <c r="F5" s="28"/>
      <c r="G5" s="28"/>
      <c r="L5" s="42">
        <v>0</v>
      </c>
      <c r="M5" s="43">
        <v>0</v>
      </c>
      <c r="N5" s="44">
        <v>0</v>
      </c>
      <c r="O5" s="42">
        <v>0</v>
      </c>
      <c r="P5" s="43">
        <v>0</v>
      </c>
      <c r="Q5" s="44">
        <v>0</v>
      </c>
    </row>
    <row r="6" spans="2:17">
      <c r="B6" s="30">
        <v>5000</v>
      </c>
      <c r="C6" s="28">
        <v>0</v>
      </c>
      <c r="D6" s="28"/>
      <c r="E6" s="29">
        <v>0.05</v>
      </c>
      <c r="F6" s="28"/>
      <c r="G6" s="28"/>
      <c r="L6" s="45">
        <v>7499.71</v>
      </c>
      <c r="M6" s="46">
        <v>7500.03</v>
      </c>
      <c r="N6" s="47">
        <v>7500.03</v>
      </c>
      <c r="O6" s="45">
        <v>2999.89</v>
      </c>
      <c r="P6" s="46">
        <v>3000.12</v>
      </c>
      <c r="Q6" s="47">
        <v>3000.11</v>
      </c>
    </row>
    <row r="7" spans="2:17">
      <c r="B7" s="30">
        <v>10000</v>
      </c>
      <c r="C7" s="28">
        <v>0</v>
      </c>
      <c r="D7" s="28"/>
      <c r="E7" s="29">
        <v>0.12</v>
      </c>
      <c r="F7" s="28"/>
      <c r="G7" s="28"/>
      <c r="L7" s="45">
        <v>12499.61</v>
      </c>
      <c r="M7" s="46">
        <v>12500.25</v>
      </c>
      <c r="N7" s="47">
        <v>12500.25</v>
      </c>
      <c r="O7" s="45">
        <v>4999.99</v>
      </c>
      <c r="P7" s="46">
        <v>5000.06</v>
      </c>
      <c r="Q7" s="47">
        <v>5000.02</v>
      </c>
    </row>
    <row r="8" spans="2:17">
      <c r="B8" s="31">
        <v>30000</v>
      </c>
      <c r="C8" s="28">
        <v>0</v>
      </c>
      <c r="D8" s="28"/>
      <c r="E8" s="32">
        <v>0.15</v>
      </c>
      <c r="F8" s="28"/>
      <c r="G8" s="28"/>
      <c r="L8" s="45">
        <v>24999.63</v>
      </c>
      <c r="M8" s="46">
        <v>25000.12</v>
      </c>
      <c r="N8" s="47">
        <v>25000.12</v>
      </c>
      <c r="O8" s="48">
        <v>9999.97</v>
      </c>
      <c r="P8" s="46">
        <v>10000.07</v>
      </c>
      <c r="Q8" s="47">
        <v>10000.07</v>
      </c>
    </row>
    <row r="9" spans="2:17">
      <c r="B9" s="30">
        <v>50000</v>
      </c>
      <c r="C9" s="28">
        <v>0</v>
      </c>
      <c r="D9" s="28"/>
      <c r="E9" s="32">
        <v>0.2</v>
      </c>
      <c r="F9" s="28"/>
      <c r="G9" s="28"/>
      <c r="L9" s="48">
        <v>49999.81</v>
      </c>
      <c r="M9" s="49">
        <v>50000.42</v>
      </c>
      <c r="N9" s="47">
        <v>50000.42</v>
      </c>
      <c r="O9" s="48">
        <v>19999.86</v>
      </c>
      <c r="P9" s="46">
        <v>20000.03</v>
      </c>
      <c r="Q9" s="47">
        <v>20000.02</v>
      </c>
    </row>
    <row r="10" spans="2:17">
      <c r="B10" s="30">
        <v>100000</v>
      </c>
      <c r="C10" s="28">
        <v>0</v>
      </c>
      <c r="D10" s="28"/>
      <c r="E10" s="32">
        <v>0.22</v>
      </c>
      <c r="F10" s="28"/>
      <c r="G10" s="28"/>
      <c r="L10" s="45">
        <v>199999.97</v>
      </c>
      <c r="M10" s="46">
        <v>200000.31</v>
      </c>
      <c r="N10" s="47">
        <v>200000.3</v>
      </c>
      <c r="O10" s="45">
        <v>79999.96</v>
      </c>
      <c r="P10" s="46">
        <v>80000.06</v>
      </c>
      <c r="Q10" s="47">
        <v>80000.06</v>
      </c>
    </row>
    <row r="11" spans="2:17">
      <c r="B11" s="30">
        <v>250000</v>
      </c>
      <c r="C11" s="28">
        <v>0</v>
      </c>
      <c r="D11" s="28"/>
      <c r="E11" s="32">
        <v>0.24</v>
      </c>
      <c r="F11" s="28"/>
      <c r="G11" s="28"/>
      <c r="L11" s="48"/>
      <c r="M11" s="49"/>
      <c r="N11" s="47"/>
      <c r="O11" s="45"/>
      <c r="P11" s="46"/>
      <c r="Q11" s="47"/>
    </row>
    <row r="12" spans="2:17">
      <c r="B12" s="30">
        <v>500000</v>
      </c>
      <c r="C12" s="28">
        <v>0</v>
      </c>
      <c r="D12" s="28"/>
      <c r="E12" s="32">
        <v>0.26</v>
      </c>
      <c r="F12" s="28"/>
      <c r="G12" s="28"/>
      <c r="L12" s="45"/>
      <c r="M12" s="46"/>
      <c r="N12" s="47"/>
      <c r="O12" s="45"/>
      <c r="P12" s="46"/>
      <c r="Q12" s="47"/>
    </row>
    <row r="13" spans="2:17">
      <c r="B13" s="33"/>
      <c r="C13" s="34"/>
      <c r="D13" s="34"/>
      <c r="E13" s="35"/>
      <c r="F13" s="34"/>
      <c r="G13" s="35"/>
      <c r="L13" s="45"/>
      <c r="M13" s="46"/>
      <c r="N13" s="47"/>
      <c r="O13" s="45"/>
      <c r="P13" s="46"/>
      <c r="Q13" s="47"/>
    </row>
    <row r="14" spans="2:17">
      <c r="B14" s="33"/>
      <c r="C14" s="34"/>
      <c r="D14" s="34"/>
      <c r="E14" s="35"/>
      <c r="F14" s="34"/>
      <c r="G14" s="35"/>
      <c r="L14" s="45"/>
      <c r="M14" s="46"/>
      <c r="N14" s="47"/>
      <c r="O14" s="45"/>
      <c r="P14" s="46"/>
      <c r="Q14" s="47"/>
    </row>
    <row r="15" spans="2:17">
      <c r="B15" s="33"/>
      <c r="C15" s="34"/>
      <c r="D15" s="34"/>
      <c r="E15" s="35"/>
      <c r="F15" s="34"/>
      <c r="G15" s="35"/>
      <c r="L15" s="45"/>
      <c r="M15" s="46"/>
      <c r="N15" s="47"/>
      <c r="O15" s="45"/>
      <c r="P15" s="46"/>
      <c r="Q15" s="47"/>
    </row>
    <row r="16" spans="2:17">
      <c r="B16" s="33"/>
      <c r="C16" s="34"/>
      <c r="D16" s="34"/>
      <c r="E16" s="35"/>
      <c r="F16" s="34"/>
      <c r="G16" s="35"/>
      <c r="L16" s="45"/>
      <c r="M16" s="46"/>
      <c r="N16" s="47"/>
      <c r="O16" s="45"/>
      <c r="P16" s="46"/>
      <c r="Q16" s="47"/>
    </row>
    <row r="17" ht="16.5" spans="2:17">
      <c r="B17" s="33"/>
      <c r="C17" s="34"/>
      <c r="D17" s="34"/>
      <c r="E17" s="35"/>
      <c r="F17" s="34"/>
      <c r="G17" s="35"/>
      <c r="L17" s="50"/>
      <c r="M17" s="51"/>
      <c r="N17" s="52"/>
      <c r="O17" s="50"/>
      <c r="P17" s="51"/>
      <c r="Q17" s="52"/>
    </row>
    <row r="18" spans="2:7">
      <c r="B18" s="36"/>
      <c r="C18" s="37"/>
      <c r="D18" s="37"/>
      <c r="E18" s="38"/>
      <c r="F18" s="37"/>
      <c r="G18" s="38"/>
    </row>
    <row r="21" spans="2:17">
      <c r="B21" s="22" t="s">
        <v>302</v>
      </c>
      <c r="L21" s="22" t="s">
        <v>303</v>
      </c>
      <c r="M21" s="39"/>
      <c r="N21" s="39"/>
      <c r="O21" s="39"/>
      <c r="P21" s="39"/>
      <c r="Q21" s="39"/>
    </row>
    <row r="22" ht="16.5" spans="1:17">
      <c r="A22" t="s">
        <v>103</v>
      </c>
      <c r="B22" s="23" t="s">
        <v>73</v>
      </c>
      <c r="C22" s="24" t="s">
        <v>276</v>
      </c>
      <c r="D22" s="25" t="s">
        <v>299</v>
      </c>
      <c r="E22" s="26" t="s">
        <v>292</v>
      </c>
      <c r="F22" s="25" t="s">
        <v>299</v>
      </c>
      <c r="G22" s="26"/>
      <c r="K22" t="s">
        <v>103</v>
      </c>
      <c r="L22" s="40" t="s">
        <v>304</v>
      </c>
      <c r="M22" s="41"/>
      <c r="N22" s="41"/>
      <c r="O22" s="40" t="s">
        <v>305</v>
      </c>
      <c r="P22" s="41"/>
      <c r="Q22" s="41"/>
    </row>
    <row r="23" spans="2:17">
      <c r="B23" s="27">
        <v>0</v>
      </c>
      <c r="C23" s="28">
        <v>0</v>
      </c>
      <c r="D23" s="28"/>
      <c r="E23" s="29">
        <v>0</v>
      </c>
      <c r="F23" s="28"/>
      <c r="G23" s="28"/>
      <c r="L23" s="42">
        <v>0</v>
      </c>
      <c r="M23" s="43">
        <v>0</v>
      </c>
      <c r="N23" s="44">
        <v>0</v>
      </c>
      <c r="O23" s="42">
        <v>0</v>
      </c>
      <c r="P23" s="43">
        <v>0</v>
      </c>
      <c r="Q23" s="44">
        <v>0</v>
      </c>
    </row>
    <row r="24" spans="2:17">
      <c r="B24" s="30">
        <v>40000</v>
      </c>
      <c r="C24" s="28">
        <v>0</v>
      </c>
      <c r="D24" s="28"/>
      <c r="E24" s="29">
        <v>0.05</v>
      </c>
      <c r="F24" s="28"/>
      <c r="G24" s="28"/>
      <c r="L24" s="45">
        <v>59999.8600000002</v>
      </c>
      <c r="M24" s="46">
        <v>60000.24</v>
      </c>
      <c r="N24" s="47">
        <v>60000.24</v>
      </c>
      <c r="O24" s="45">
        <v>23999.98</v>
      </c>
      <c r="P24" s="46">
        <v>24000.92</v>
      </c>
      <c r="Q24" s="47">
        <v>24000.92</v>
      </c>
    </row>
    <row r="25" spans="2:17">
      <c r="B25" s="30">
        <v>80000</v>
      </c>
      <c r="C25" s="28">
        <v>0</v>
      </c>
      <c r="D25" s="28"/>
      <c r="E25" s="29">
        <v>0.12</v>
      </c>
      <c r="F25" s="28"/>
      <c r="G25" s="28"/>
      <c r="L25" s="45">
        <v>100001.74</v>
      </c>
      <c r="M25" s="46">
        <v>100002.44</v>
      </c>
      <c r="N25" s="47">
        <v>100002.4</v>
      </c>
      <c r="O25" s="45">
        <v>39999.95</v>
      </c>
      <c r="P25" s="46">
        <v>40000.46</v>
      </c>
      <c r="Q25" s="47">
        <v>40000.46</v>
      </c>
    </row>
    <row r="26" spans="2:17">
      <c r="B26" s="31">
        <v>240000</v>
      </c>
      <c r="C26" s="28">
        <v>0</v>
      </c>
      <c r="D26" s="28"/>
      <c r="E26" s="32">
        <v>0.15</v>
      </c>
      <c r="F26" s="28"/>
      <c r="G26" s="28"/>
      <c r="L26" s="45">
        <v>199999.63</v>
      </c>
      <c r="M26" s="46">
        <v>200000.97</v>
      </c>
      <c r="N26" s="47">
        <v>200000.96</v>
      </c>
      <c r="O26" s="48">
        <v>79999.9</v>
      </c>
      <c r="P26" s="46">
        <v>80000.56</v>
      </c>
      <c r="Q26" s="47">
        <v>80000.56</v>
      </c>
    </row>
    <row r="27" spans="2:17">
      <c r="B27" s="30">
        <v>400000</v>
      </c>
      <c r="C27" s="28">
        <v>0</v>
      </c>
      <c r="D27" s="28"/>
      <c r="E27" s="32">
        <v>0.2</v>
      </c>
      <c r="F27" s="28"/>
      <c r="G27" s="28"/>
      <c r="L27" s="48">
        <v>400002.810000001</v>
      </c>
      <c r="M27" s="49">
        <v>400003.38</v>
      </c>
      <c r="N27" s="47">
        <v>400003.37</v>
      </c>
      <c r="O27" s="48">
        <v>159999.960000001</v>
      </c>
      <c r="P27" s="46">
        <v>160000.204</v>
      </c>
      <c r="Q27" s="47">
        <v>160000.204</v>
      </c>
    </row>
    <row r="28" spans="2:17">
      <c r="B28" s="30">
        <v>800000</v>
      </c>
      <c r="C28" s="28">
        <v>0</v>
      </c>
      <c r="D28" s="28"/>
      <c r="E28" s="32">
        <v>0.22</v>
      </c>
      <c r="F28" s="28"/>
      <c r="G28" s="28"/>
      <c r="L28" s="45">
        <v>1600001.9</v>
      </c>
      <c r="M28" s="46">
        <v>1600002.48</v>
      </c>
      <c r="N28" s="47">
        <v>1600002.48</v>
      </c>
      <c r="O28" s="45">
        <v>639999.96</v>
      </c>
      <c r="P28" s="46">
        <v>640000.5</v>
      </c>
      <c r="Q28" s="47">
        <v>640000.504</v>
      </c>
    </row>
    <row r="29" spans="2:17">
      <c r="B29" s="30">
        <v>2000000</v>
      </c>
      <c r="C29" s="28">
        <v>0</v>
      </c>
      <c r="D29" s="28"/>
      <c r="E29" s="32">
        <v>0.24</v>
      </c>
      <c r="F29" s="28"/>
      <c r="G29" s="28"/>
      <c r="L29" s="48"/>
      <c r="M29" s="49"/>
      <c r="N29" s="47"/>
      <c r="O29" s="45"/>
      <c r="P29" s="46"/>
      <c r="Q29" s="47"/>
    </row>
    <row r="30" spans="2:17">
      <c r="B30" s="30">
        <v>4000000</v>
      </c>
      <c r="C30" s="28">
        <v>0</v>
      </c>
      <c r="D30" s="28"/>
      <c r="E30" s="32">
        <v>0.26</v>
      </c>
      <c r="F30" s="28"/>
      <c r="G30" s="28"/>
      <c r="L30" s="45"/>
      <c r="M30" s="46"/>
      <c r="N30" s="47"/>
      <c r="O30" s="45"/>
      <c r="P30" s="46"/>
      <c r="Q30" s="47"/>
    </row>
    <row r="31" spans="2:17">
      <c r="B31" s="33"/>
      <c r="C31" s="34"/>
      <c r="D31" s="34"/>
      <c r="E31" s="35"/>
      <c r="F31" s="34"/>
      <c r="G31" s="35"/>
      <c r="L31" s="45"/>
      <c r="M31" s="46"/>
      <c r="N31" s="47"/>
      <c r="O31" s="45"/>
      <c r="P31" s="46"/>
      <c r="Q31" s="47"/>
    </row>
    <row r="32" spans="2:17">
      <c r="B32" s="33"/>
      <c r="C32" s="34"/>
      <c r="D32" s="34"/>
      <c r="E32" s="35"/>
      <c r="F32" s="34"/>
      <c r="G32" s="35"/>
      <c r="L32" s="45"/>
      <c r="M32" s="46"/>
      <c r="N32" s="47"/>
      <c r="O32" s="45"/>
      <c r="P32" s="46"/>
      <c r="Q32" s="47"/>
    </row>
    <row r="33" spans="2:17">
      <c r="B33" s="33"/>
      <c r="C33" s="34"/>
      <c r="D33" s="34"/>
      <c r="E33" s="35"/>
      <c r="F33" s="34"/>
      <c r="G33" s="35"/>
      <c r="L33" s="45"/>
      <c r="M33" s="46"/>
      <c r="N33" s="47"/>
      <c r="O33" s="45"/>
      <c r="P33" s="46"/>
      <c r="Q33" s="47"/>
    </row>
    <row r="34" spans="2:17">
      <c r="B34" s="33"/>
      <c r="C34" s="34"/>
      <c r="D34" s="34"/>
      <c r="E34" s="35"/>
      <c r="F34" s="34"/>
      <c r="G34" s="35"/>
      <c r="L34" s="45"/>
      <c r="M34" s="46"/>
      <c r="N34" s="47"/>
      <c r="O34" s="45"/>
      <c r="P34" s="46"/>
      <c r="Q34" s="47"/>
    </row>
    <row r="35" ht="16.5" spans="2:17">
      <c r="B35" s="33"/>
      <c r="C35" s="34"/>
      <c r="D35" s="34"/>
      <c r="E35" s="35"/>
      <c r="F35" s="34"/>
      <c r="G35" s="35"/>
      <c r="L35" s="50"/>
      <c r="M35" s="51"/>
      <c r="N35" s="52"/>
      <c r="O35" s="50"/>
      <c r="P35" s="51"/>
      <c r="Q35" s="52"/>
    </row>
    <row r="36" spans="2:7">
      <c r="B36" s="36"/>
      <c r="C36" s="37"/>
      <c r="D36" s="37"/>
      <c r="E36" s="38"/>
      <c r="F36" s="37"/>
      <c r="G36" s="38"/>
    </row>
    <row r="39" spans="2:17">
      <c r="B39" s="22" t="s">
        <v>306</v>
      </c>
      <c r="L39" s="22" t="s">
        <v>307</v>
      </c>
      <c r="M39" s="39"/>
      <c r="N39" s="39"/>
      <c r="O39" s="39"/>
      <c r="P39" s="39"/>
      <c r="Q39" s="39"/>
    </row>
    <row r="40" ht="16.5" spans="1:17">
      <c r="A40" t="s">
        <v>105</v>
      </c>
      <c r="B40" s="23" t="s">
        <v>73</v>
      </c>
      <c r="C40" s="24" t="s">
        <v>281</v>
      </c>
      <c r="D40" s="25" t="s">
        <v>299</v>
      </c>
      <c r="E40" s="26" t="s">
        <v>293</v>
      </c>
      <c r="F40" s="25" t="s">
        <v>299</v>
      </c>
      <c r="G40" s="26"/>
      <c r="K40" t="s">
        <v>105</v>
      </c>
      <c r="L40" s="40" t="s">
        <v>308</v>
      </c>
      <c r="M40" s="41"/>
      <c r="N40" s="41"/>
      <c r="O40" s="40" t="s">
        <v>309</v>
      </c>
      <c r="P40" s="41"/>
      <c r="Q40" s="41"/>
    </row>
    <row r="41" spans="2:17">
      <c r="B41" s="27">
        <v>0</v>
      </c>
      <c r="C41" s="28">
        <v>0</v>
      </c>
      <c r="D41" s="28"/>
      <c r="E41" s="29">
        <v>0</v>
      </c>
      <c r="F41" s="28"/>
      <c r="G41" s="28"/>
      <c r="L41" s="42">
        <v>0</v>
      </c>
      <c r="M41" s="43">
        <v>0</v>
      </c>
      <c r="N41" s="44">
        <v>0</v>
      </c>
      <c r="O41" s="42">
        <v>0</v>
      </c>
      <c r="P41" s="43">
        <v>0</v>
      </c>
      <c r="Q41" s="44">
        <v>0</v>
      </c>
    </row>
    <row r="42" spans="2:17">
      <c r="B42" s="30">
        <v>35000</v>
      </c>
      <c r="C42" s="28">
        <v>0</v>
      </c>
      <c r="D42" s="28"/>
      <c r="E42" s="29">
        <v>0.05</v>
      </c>
      <c r="F42" s="28"/>
      <c r="G42" s="28"/>
      <c r="L42" s="45">
        <v>52499.71</v>
      </c>
      <c r="M42" s="46">
        <v>52500.21</v>
      </c>
      <c r="N42" s="47">
        <v>52500.21</v>
      </c>
      <c r="O42" s="45">
        <v>20999.95</v>
      </c>
      <c r="P42" s="46">
        <v>21000.8099999998</v>
      </c>
      <c r="Q42" s="47">
        <v>21000.8</v>
      </c>
    </row>
    <row r="43" spans="2:17">
      <c r="B43" s="30">
        <v>70000</v>
      </c>
      <c r="C43" s="28">
        <v>0</v>
      </c>
      <c r="D43" s="28"/>
      <c r="E43" s="29">
        <v>0.12</v>
      </c>
      <c r="F43" s="28"/>
      <c r="G43" s="28"/>
      <c r="L43" s="45">
        <v>87500.8</v>
      </c>
      <c r="M43" s="46">
        <v>87501.75</v>
      </c>
      <c r="N43" s="47">
        <v>87501.75</v>
      </c>
      <c r="O43" s="45">
        <v>34999.9600000001</v>
      </c>
      <c r="P43" s="46">
        <v>35000.4100000002</v>
      </c>
      <c r="Q43" s="47">
        <v>35000.4</v>
      </c>
    </row>
    <row r="44" spans="2:17">
      <c r="B44" s="31">
        <v>210000</v>
      </c>
      <c r="C44" s="28">
        <v>0</v>
      </c>
      <c r="D44" s="28"/>
      <c r="E44" s="32">
        <v>0.15</v>
      </c>
      <c r="F44" s="28"/>
      <c r="G44" s="28"/>
      <c r="L44" s="45">
        <v>174999.57</v>
      </c>
      <c r="M44" s="46">
        <v>175000.85</v>
      </c>
      <c r="N44" s="47">
        <v>175000.84</v>
      </c>
      <c r="O44" s="48">
        <v>69999.9399999995</v>
      </c>
      <c r="P44" s="46">
        <v>70000.49</v>
      </c>
      <c r="Q44" s="47">
        <v>70000.49</v>
      </c>
    </row>
    <row r="45" spans="2:17">
      <c r="B45" s="30">
        <v>350000</v>
      </c>
      <c r="C45" s="28">
        <v>0</v>
      </c>
      <c r="D45" s="28"/>
      <c r="E45" s="32">
        <v>0.2</v>
      </c>
      <c r="F45" s="28"/>
      <c r="G45" s="28"/>
      <c r="L45" s="48">
        <v>350001.7</v>
      </c>
      <c r="M45" s="49">
        <v>350002.96</v>
      </c>
      <c r="N45" s="47">
        <v>350002.95</v>
      </c>
      <c r="O45" s="48">
        <v>139999.970000001</v>
      </c>
      <c r="P45" s="46">
        <v>140000.18</v>
      </c>
      <c r="Q45" s="47">
        <v>140000.17</v>
      </c>
    </row>
    <row r="46" spans="2:17">
      <c r="B46" s="30">
        <v>700000</v>
      </c>
      <c r="C46" s="28">
        <v>0</v>
      </c>
      <c r="D46" s="28"/>
      <c r="E46" s="32">
        <v>0.22</v>
      </c>
      <c r="F46" s="28"/>
      <c r="G46" s="28"/>
      <c r="L46" s="45">
        <v>1400001.93</v>
      </c>
      <c r="M46" s="46">
        <v>1400002.17</v>
      </c>
      <c r="N46" s="47">
        <v>1400002.17</v>
      </c>
      <c r="O46" s="45">
        <v>559999.86</v>
      </c>
      <c r="P46" s="46">
        <v>560000.44</v>
      </c>
      <c r="Q46" s="47">
        <v>560000.44</v>
      </c>
    </row>
    <row r="47" spans="2:17">
      <c r="B47" s="30">
        <v>1750000</v>
      </c>
      <c r="C47" s="28">
        <v>0</v>
      </c>
      <c r="D47" s="28"/>
      <c r="E47" s="32">
        <v>0.24</v>
      </c>
      <c r="F47" s="28"/>
      <c r="G47" s="28"/>
      <c r="L47" s="48"/>
      <c r="M47" s="49"/>
      <c r="N47" s="47"/>
      <c r="O47" s="45"/>
      <c r="P47" s="46"/>
      <c r="Q47" s="47"/>
    </row>
    <row r="48" spans="2:17">
      <c r="B48" s="30">
        <v>3500000</v>
      </c>
      <c r="C48" s="28">
        <v>0</v>
      </c>
      <c r="D48" s="28"/>
      <c r="E48" s="32">
        <v>0.26</v>
      </c>
      <c r="F48" s="28"/>
      <c r="G48" s="28"/>
      <c r="L48" s="45"/>
      <c r="M48" s="46"/>
      <c r="N48" s="47"/>
      <c r="O48" s="45"/>
      <c r="P48" s="46"/>
      <c r="Q48" s="47"/>
    </row>
    <row r="49" spans="2:17">
      <c r="B49" s="33"/>
      <c r="C49" s="34"/>
      <c r="D49" s="34"/>
      <c r="E49" s="35"/>
      <c r="F49" s="34"/>
      <c r="G49" s="35"/>
      <c r="L49" s="45"/>
      <c r="M49" s="46"/>
      <c r="N49" s="47"/>
      <c r="O49" s="45"/>
      <c r="P49" s="46"/>
      <c r="Q49" s="47"/>
    </row>
    <row r="50" spans="2:17">
      <c r="B50" s="33"/>
      <c r="C50" s="34"/>
      <c r="D50" s="34"/>
      <c r="E50" s="35"/>
      <c r="F50" s="34"/>
      <c r="G50" s="35"/>
      <c r="L50" s="45"/>
      <c r="M50" s="46"/>
      <c r="N50" s="47"/>
      <c r="O50" s="45"/>
      <c r="P50" s="46"/>
      <c r="Q50" s="47"/>
    </row>
    <row r="51" spans="2:17">
      <c r="B51" s="33"/>
      <c r="C51" s="34"/>
      <c r="D51" s="34"/>
      <c r="E51" s="35"/>
      <c r="F51" s="34"/>
      <c r="G51" s="35"/>
      <c r="L51" s="45"/>
      <c r="M51" s="46"/>
      <c r="N51" s="47"/>
      <c r="O51" s="45"/>
      <c r="P51" s="46"/>
      <c r="Q51" s="47"/>
    </row>
    <row r="52" spans="2:17">
      <c r="B52" s="33"/>
      <c r="C52" s="34"/>
      <c r="D52" s="34"/>
      <c r="E52" s="35"/>
      <c r="F52" s="34"/>
      <c r="G52" s="35"/>
      <c r="L52" s="45"/>
      <c r="M52" s="46"/>
      <c r="N52" s="47"/>
      <c r="O52" s="45"/>
      <c r="P52" s="46"/>
      <c r="Q52" s="47"/>
    </row>
    <row r="53" ht="16.5" spans="2:17">
      <c r="B53" s="33"/>
      <c r="C53" s="34"/>
      <c r="D53" s="34"/>
      <c r="E53" s="35"/>
      <c r="F53" s="34"/>
      <c r="G53" s="35"/>
      <c r="L53" s="50"/>
      <c r="M53" s="51"/>
      <c r="N53" s="52"/>
      <c r="O53" s="50"/>
      <c r="P53" s="51"/>
      <c r="Q53" s="52"/>
    </row>
    <row r="54" spans="2:7">
      <c r="B54" s="36"/>
      <c r="C54" s="37"/>
      <c r="D54" s="37"/>
      <c r="E54" s="38"/>
      <c r="F54" s="37"/>
      <c r="G54" s="38"/>
    </row>
  </sheetData>
  <sheetProtection algorithmName="SHA-512" hashValue="PkH1lFj1bDL5Uz/FdNR17xU7vj473Eqel3kmQdrHRwME3WfeOtUszsX+uO/3pq+raEZSnYr6yNl2wv7MLfG1lw==" saltValue="QWT9J0p3vI0B0Zs+jQNP9w==" spinCount="100000" sheet="1" objects="1" scenarios="1"/>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theme="5" tint="0.399975585192419"/>
  </sheetPr>
  <dimension ref="A1:Q54"/>
  <sheetViews>
    <sheetView workbookViewId="0">
      <selection activeCell="A1" sqref="A1"/>
    </sheetView>
  </sheetViews>
  <sheetFormatPr defaultColWidth="9" defaultRowHeight="15.75"/>
  <cols>
    <col min="2" max="2" width="15.125" customWidth="1"/>
    <col min="3" max="6" width="11.125" customWidth="1"/>
    <col min="7" max="7" width="8.75" customWidth="1"/>
    <col min="12" max="13" width="10.625" customWidth="1"/>
    <col min="14" max="14" width="10.75" customWidth="1"/>
    <col min="15" max="17" width="10.625" customWidth="1"/>
  </cols>
  <sheetData>
    <row r="1" spans="2:12">
      <c r="B1" s="21" t="s">
        <v>268</v>
      </c>
      <c r="L1" s="21" t="s">
        <v>296</v>
      </c>
    </row>
    <row r="3" spans="2:17">
      <c r="B3" s="22" t="s">
        <v>297</v>
      </c>
      <c r="L3" s="22" t="s">
        <v>298</v>
      </c>
      <c r="M3" s="39"/>
      <c r="N3" s="39"/>
      <c r="O3" s="39"/>
      <c r="P3" s="39"/>
      <c r="Q3" s="39"/>
    </row>
    <row r="4" ht="16.5" spans="1:17">
      <c r="A4" t="s">
        <v>102</v>
      </c>
      <c r="B4" s="23" t="s">
        <v>73</v>
      </c>
      <c r="C4" s="24" t="s">
        <v>275</v>
      </c>
      <c r="D4" s="25" t="s">
        <v>299</v>
      </c>
      <c r="E4" s="26" t="s">
        <v>286</v>
      </c>
      <c r="F4" s="25" t="s">
        <v>299</v>
      </c>
      <c r="G4" s="26"/>
      <c r="K4" t="s">
        <v>102</v>
      </c>
      <c r="L4" s="40" t="s">
        <v>300</v>
      </c>
      <c r="M4" s="41"/>
      <c r="N4" s="41"/>
      <c r="O4" s="40" t="s">
        <v>301</v>
      </c>
      <c r="P4" s="41"/>
      <c r="Q4" s="41"/>
    </row>
    <row r="5" spans="2:17">
      <c r="B5" s="27">
        <v>0</v>
      </c>
      <c r="C5" s="28">
        <v>0</v>
      </c>
      <c r="D5" s="28"/>
      <c r="E5" s="29">
        <v>0</v>
      </c>
      <c r="F5" s="28"/>
      <c r="G5" s="28"/>
      <c r="L5" s="42">
        <v>0</v>
      </c>
      <c r="M5" s="43">
        <v>0</v>
      </c>
      <c r="N5" s="44">
        <v>0</v>
      </c>
      <c r="O5" s="42">
        <v>0</v>
      </c>
      <c r="P5" s="43">
        <v>0</v>
      </c>
      <c r="Q5" s="44">
        <v>0</v>
      </c>
    </row>
    <row r="6" spans="2:17">
      <c r="B6" s="30">
        <v>5000</v>
      </c>
      <c r="C6" s="28">
        <v>0</v>
      </c>
      <c r="D6" s="28"/>
      <c r="E6" s="29">
        <v>0.05</v>
      </c>
      <c r="F6" s="28"/>
      <c r="G6" s="28"/>
      <c r="L6" s="45">
        <v>7499.71</v>
      </c>
      <c r="M6" s="46">
        <v>7500.03</v>
      </c>
      <c r="N6" s="47">
        <v>7500.03</v>
      </c>
      <c r="O6" s="45">
        <v>2999.89</v>
      </c>
      <c r="P6" s="46">
        <v>3000.12</v>
      </c>
      <c r="Q6" s="47">
        <v>3000.11</v>
      </c>
    </row>
    <row r="7" spans="2:17">
      <c r="B7" s="30">
        <v>10000</v>
      </c>
      <c r="C7" s="28">
        <v>0</v>
      </c>
      <c r="D7" s="28"/>
      <c r="E7" s="29">
        <v>0.12</v>
      </c>
      <c r="F7" s="28"/>
      <c r="G7" s="28"/>
      <c r="L7" s="45">
        <v>12499.61</v>
      </c>
      <c r="M7" s="46">
        <v>12500.25</v>
      </c>
      <c r="N7" s="47">
        <v>12500.25</v>
      </c>
      <c r="O7" s="45">
        <v>4999.99</v>
      </c>
      <c r="P7" s="46">
        <v>5000.06</v>
      </c>
      <c r="Q7" s="47">
        <v>5000.02</v>
      </c>
    </row>
    <row r="8" spans="2:17">
      <c r="B8" s="31">
        <v>30000</v>
      </c>
      <c r="C8" s="28">
        <v>0</v>
      </c>
      <c r="D8" s="28"/>
      <c r="E8" s="32">
        <v>0.15</v>
      </c>
      <c r="F8" s="28"/>
      <c r="G8" s="28"/>
      <c r="L8" s="45">
        <v>24999.63</v>
      </c>
      <c r="M8" s="46">
        <v>25000.12</v>
      </c>
      <c r="N8" s="47">
        <v>25000.12</v>
      </c>
      <c r="O8" s="48">
        <v>9999.97</v>
      </c>
      <c r="P8" s="46">
        <v>10000.07</v>
      </c>
      <c r="Q8" s="47">
        <v>10000.07</v>
      </c>
    </row>
    <row r="9" spans="2:17">
      <c r="B9" s="30">
        <v>50000</v>
      </c>
      <c r="C9" s="28">
        <v>0</v>
      </c>
      <c r="D9" s="28"/>
      <c r="E9" s="32">
        <v>0.2</v>
      </c>
      <c r="F9" s="28"/>
      <c r="G9" s="28"/>
      <c r="L9" s="48">
        <v>49999.81</v>
      </c>
      <c r="M9" s="49">
        <v>50000.42</v>
      </c>
      <c r="N9" s="47">
        <v>50000.42</v>
      </c>
      <c r="O9" s="48">
        <v>19999.86</v>
      </c>
      <c r="P9" s="46">
        <v>20000.03</v>
      </c>
      <c r="Q9" s="47">
        <v>20000.02</v>
      </c>
    </row>
    <row r="10" spans="2:17">
      <c r="B10" s="30">
        <v>100000</v>
      </c>
      <c r="C10" s="28">
        <v>0</v>
      </c>
      <c r="D10" s="28"/>
      <c r="E10" s="32">
        <v>0.22</v>
      </c>
      <c r="F10" s="28"/>
      <c r="G10" s="28"/>
      <c r="L10" s="45">
        <v>199999.97</v>
      </c>
      <c r="M10" s="46">
        <v>200000.31</v>
      </c>
      <c r="N10" s="47">
        <v>200000.3</v>
      </c>
      <c r="O10" s="45">
        <v>79999.96</v>
      </c>
      <c r="P10" s="46">
        <v>80000.06</v>
      </c>
      <c r="Q10" s="47">
        <v>80000.06</v>
      </c>
    </row>
    <row r="11" spans="2:17">
      <c r="B11" s="30">
        <v>250000</v>
      </c>
      <c r="C11" s="28">
        <v>0</v>
      </c>
      <c r="D11" s="28"/>
      <c r="E11" s="32">
        <v>0.24</v>
      </c>
      <c r="F11" s="28"/>
      <c r="G11" s="28"/>
      <c r="L11" s="48"/>
      <c r="M11" s="49"/>
      <c r="N11" s="47"/>
      <c r="O11" s="45"/>
      <c r="P11" s="46"/>
      <c r="Q11" s="47"/>
    </row>
    <row r="12" spans="2:17">
      <c r="B12" s="30">
        <v>500000</v>
      </c>
      <c r="C12" s="28">
        <v>0</v>
      </c>
      <c r="D12" s="28"/>
      <c r="E12" s="32">
        <v>0.26</v>
      </c>
      <c r="F12" s="28"/>
      <c r="G12" s="28"/>
      <c r="L12" s="45"/>
      <c r="M12" s="46"/>
      <c r="N12" s="47"/>
      <c r="O12" s="45"/>
      <c r="P12" s="46"/>
      <c r="Q12" s="47"/>
    </row>
    <row r="13" spans="2:17">
      <c r="B13" s="33"/>
      <c r="C13" s="34"/>
      <c r="D13" s="34"/>
      <c r="E13" s="35"/>
      <c r="F13" s="34"/>
      <c r="G13" s="35"/>
      <c r="L13" s="45"/>
      <c r="M13" s="46"/>
      <c r="N13" s="47"/>
      <c r="O13" s="45"/>
      <c r="P13" s="46"/>
      <c r="Q13" s="47"/>
    </row>
    <row r="14" spans="2:17">
      <c r="B14" s="33"/>
      <c r="C14" s="34"/>
      <c r="D14" s="34"/>
      <c r="E14" s="35"/>
      <c r="F14" s="34"/>
      <c r="G14" s="35"/>
      <c r="L14" s="45"/>
      <c r="M14" s="46"/>
      <c r="N14" s="47"/>
      <c r="O14" s="45"/>
      <c r="P14" s="46"/>
      <c r="Q14" s="47"/>
    </row>
    <row r="15" spans="2:17">
      <c r="B15" s="33"/>
      <c r="C15" s="34"/>
      <c r="D15" s="34"/>
      <c r="E15" s="35"/>
      <c r="F15" s="34"/>
      <c r="G15" s="35"/>
      <c r="L15" s="45"/>
      <c r="M15" s="46"/>
      <c r="N15" s="47"/>
      <c r="O15" s="45"/>
      <c r="P15" s="46"/>
      <c r="Q15" s="47"/>
    </row>
    <row r="16" spans="2:17">
      <c r="B16" s="33"/>
      <c r="C16" s="34"/>
      <c r="D16" s="34"/>
      <c r="E16" s="35"/>
      <c r="F16" s="34"/>
      <c r="G16" s="35"/>
      <c r="L16" s="45"/>
      <c r="M16" s="46"/>
      <c r="N16" s="47"/>
      <c r="O16" s="45"/>
      <c r="P16" s="46"/>
      <c r="Q16" s="47"/>
    </row>
    <row r="17" ht="16.5" spans="2:17">
      <c r="B17" s="33"/>
      <c r="C17" s="34"/>
      <c r="D17" s="34"/>
      <c r="E17" s="35"/>
      <c r="F17" s="34"/>
      <c r="G17" s="35"/>
      <c r="L17" s="50"/>
      <c r="M17" s="51"/>
      <c r="N17" s="52"/>
      <c r="O17" s="50"/>
      <c r="P17" s="51"/>
      <c r="Q17" s="52"/>
    </row>
    <row r="18" spans="2:7">
      <c r="B18" s="36"/>
      <c r="C18" s="37"/>
      <c r="D18" s="37"/>
      <c r="E18" s="38"/>
      <c r="F18" s="37"/>
      <c r="G18" s="38"/>
    </row>
    <row r="21" spans="2:17">
      <c r="B21" s="22" t="s">
        <v>302</v>
      </c>
      <c r="L21" s="22" t="s">
        <v>303</v>
      </c>
      <c r="M21" s="39"/>
      <c r="N21" s="39"/>
      <c r="O21" s="39"/>
      <c r="P21" s="39"/>
      <c r="Q21" s="39"/>
    </row>
    <row r="22" ht="16.5" spans="1:17">
      <c r="A22" t="s">
        <v>106</v>
      </c>
      <c r="B22" s="23" t="s">
        <v>73</v>
      </c>
      <c r="C22" s="24" t="s">
        <v>276</v>
      </c>
      <c r="D22" s="25" t="s">
        <v>299</v>
      </c>
      <c r="E22" s="26" t="s">
        <v>292</v>
      </c>
      <c r="F22" s="25" t="s">
        <v>299</v>
      </c>
      <c r="G22" s="26"/>
      <c r="K22" t="s">
        <v>106</v>
      </c>
      <c r="L22" s="40" t="s">
        <v>304</v>
      </c>
      <c r="M22" s="41"/>
      <c r="N22" s="41"/>
      <c r="O22" s="40" t="s">
        <v>305</v>
      </c>
      <c r="P22" s="41"/>
      <c r="Q22" s="41"/>
    </row>
    <row r="23" spans="2:17">
      <c r="B23" s="27">
        <v>0</v>
      </c>
      <c r="C23" s="28">
        <v>0</v>
      </c>
      <c r="D23" s="28"/>
      <c r="E23" s="29">
        <v>0</v>
      </c>
      <c r="F23" s="28"/>
      <c r="G23" s="28"/>
      <c r="L23" s="42">
        <v>0</v>
      </c>
      <c r="M23" s="43">
        <v>0</v>
      </c>
      <c r="N23" s="44">
        <v>0</v>
      </c>
      <c r="O23" s="42">
        <v>0</v>
      </c>
      <c r="P23" s="43">
        <v>0</v>
      </c>
      <c r="Q23" s="44">
        <v>0</v>
      </c>
    </row>
    <row r="24" spans="2:17">
      <c r="B24" s="30">
        <v>40000</v>
      </c>
      <c r="C24" s="28">
        <v>0</v>
      </c>
      <c r="D24" s="28"/>
      <c r="E24" s="29">
        <v>0.05</v>
      </c>
      <c r="F24" s="28"/>
      <c r="G24" s="28"/>
      <c r="L24" s="45">
        <v>59999.8600000002</v>
      </c>
      <c r="M24" s="46">
        <v>60000.24</v>
      </c>
      <c r="N24" s="47">
        <v>60000.24</v>
      </c>
      <c r="O24" s="45">
        <v>23999.98</v>
      </c>
      <c r="P24" s="46">
        <v>24000.92</v>
      </c>
      <c r="Q24" s="47">
        <v>24000.92</v>
      </c>
    </row>
    <row r="25" spans="2:17">
      <c r="B25" s="30">
        <v>80000</v>
      </c>
      <c r="C25" s="28">
        <v>0</v>
      </c>
      <c r="D25" s="28"/>
      <c r="E25" s="29">
        <v>0.12</v>
      </c>
      <c r="F25" s="28"/>
      <c r="G25" s="28"/>
      <c r="L25" s="45">
        <v>100001.74</v>
      </c>
      <c r="M25" s="46">
        <v>100002.44</v>
      </c>
      <c r="N25" s="47">
        <v>100002.4</v>
      </c>
      <c r="O25" s="45">
        <v>39999.95</v>
      </c>
      <c r="P25" s="46">
        <v>40000.46</v>
      </c>
      <c r="Q25" s="47">
        <v>40000.46</v>
      </c>
    </row>
    <row r="26" spans="2:17">
      <c r="B26" s="31">
        <v>240000</v>
      </c>
      <c r="C26" s="28">
        <v>0</v>
      </c>
      <c r="D26" s="28"/>
      <c r="E26" s="32">
        <v>0.15</v>
      </c>
      <c r="F26" s="28"/>
      <c r="G26" s="28"/>
      <c r="L26" s="45">
        <v>199999.63</v>
      </c>
      <c r="M26" s="46">
        <v>200000.97</v>
      </c>
      <c r="N26" s="47">
        <v>200000.96</v>
      </c>
      <c r="O26" s="48">
        <v>79999.9</v>
      </c>
      <c r="P26" s="46">
        <v>80000.56</v>
      </c>
      <c r="Q26" s="47">
        <v>80000.56</v>
      </c>
    </row>
    <row r="27" spans="2:17">
      <c r="B27" s="30">
        <v>400000</v>
      </c>
      <c r="C27" s="28">
        <v>0</v>
      </c>
      <c r="D27" s="28"/>
      <c r="E27" s="32">
        <v>0.2</v>
      </c>
      <c r="F27" s="28"/>
      <c r="G27" s="28"/>
      <c r="L27" s="48">
        <v>400002.810000001</v>
      </c>
      <c r="M27" s="49">
        <v>400003.38</v>
      </c>
      <c r="N27" s="47">
        <v>400003.37</v>
      </c>
      <c r="O27" s="48">
        <v>159999.960000001</v>
      </c>
      <c r="P27" s="46">
        <v>160000.204</v>
      </c>
      <c r="Q27" s="47">
        <v>160000.204</v>
      </c>
    </row>
    <row r="28" spans="2:17">
      <c r="B28" s="30">
        <v>800000</v>
      </c>
      <c r="C28" s="28">
        <v>0</v>
      </c>
      <c r="D28" s="28"/>
      <c r="E28" s="32">
        <v>0.22</v>
      </c>
      <c r="F28" s="28"/>
      <c r="G28" s="28"/>
      <c r="L28" s="45">
        <v>1600001.9</v>
      </c>
      <c r="M28" s="46">
        <v>1600002.48</v>
      </c>
      <c r="N28" s="47">
        <v>1600002.48</v>
      </c>
      <c r="O28" s="45">
        <v>639999.96</v>
      </c>
      <c r="P28" s="46">
        <v>640000.5</v>
      </c>
      <c r="Q28" s="47">
        <v>640000.504</v>
      </c>
    </row>
    <row r="29" spans="2:17">
      <c r="B29" s="30">
        <v>2000000</v>
      </c>
      <c r="C29" s="28">
        <v>0</v>
      </c>
      <c r="D29" s="28"/>
      <c r="E29" s="32">
        <v>0.24</v>
      </c>
      <c r="F29" s="28"/>
      <c r="G29" s="28"/>
      <c r="L29" s="48"/>
      <c r="M29" s="49"/>
      <c r="N29" s="47"/>
      <c r="O29" s="45"/>
      <c r="P29" s="46"/>
      <c r="Q29" s="47"/>
    </row>
    <row r="30" spans="2:17">
      <c r="B30" s="30">
        <v>4000000</v>
      </c>
      <c r="C30" s="28">
        <v>0</v>
      </c>
      <c r="D30" s="28"/>
      <c r="E30" s="32">
        <v>0.26</v>
      </c>
      <c r="F30" s="28"/>
      <c r="G30" s="28"/>
      <c r="L30" s="45"/>
      <c r="M30" s="46"/>
      <c r="N30" s="47"/>
      <c r="O30" s="45"/>
      <c r="P30" s="46"/>
      <c r="Q30" s="47"/>
    </row>
    <row r="31" spans="2:17">
      <c r="B31" s="33"/>
      <c r="C31" s="34"/>
      <c r="D31" s="34"/>
      <c r="E31" s="35"/>
      <c r="F31" s="34"/>
      <c r="G31" s="35"/>
      <c r="L31" s="45"/>
      <c r="M31" s="46"/>
      <c r="N31" s="47"/>
      <c r="O31" s="45"/>
      <c r="P31" s="46"/>
      <c r="Q31" s="47"/>
    </row>
    <row r="32" spans="2:17">
      <c r="B32" s="33"/>
      <c r="C32" s="34"/>
      <c r="D32" s="34"/>
      <c r="E32" s="35"/>
      <c r="F32" s="34"/>
      <c r="G32" s="35"/>
      <c r="L32" s="45"/>
      <c r="M32" s="46"/>
      <c r="N32" s="47"/>
      <c r="O32" s="45"/>
      <c r="P32" s="46"/>
      <c r="Q32" s="47"/>
    </row>
    <row r="33" spans="2:17">
      <c r="B33" s="33"/>
      <c r="C33" s="34"/>
      <c r="D33" s="34"/>
      <c r="E33" s="35"/>
      <c r="F33" s="34"/>
      <c r="G33" s="35"/>
      <c r="L33" s="45"/>
      <c r="M33" s="46"/>
      <c r="N33" s="47"/>
      <c r="O33" s="45"/>
      <c r="P33" s="46"/>
      <c r="Q33" s="47"/>
    </row>
    <row r="34" spans="2:17">
      <c r="B34" s="33"/>
      <c r="C34" s="34"/>
      <c r="D34" s="34"/>
      <c r="E34" s="35"/>
      <c r="F34" s="34"/>
      <c r="G34" s="35"/>
      <c r="L34" s="45"/>
      <c r="M34" s="46"/>
      <c r="N34" s="47"/>
      <c r="O34" s="45"/>
      <c r="P34" s="46"/>
      <c r="Q34" s="47"/>
    </row>
    <row r="35" ht="16.5" spans="2:17">
      <c r="B35" s="33"/>
      <c r="C35" s="34"/>
      <c r="D35" s="34"/>
      <c r="E35" s="35"/>
      <c r="F35" s="34"/>
      <c r="G35" s="35"/>
      <c r="L35" s="50"/>
      <c r="M35" s="51"/>
      <c r="N35" s="52"/>
      <c r="O35" s="50"/>
      <c r="P35" s="51"/>
      <c r="Q35" s="52"/>
    </row>
    <row r="36" spans="2:7">
      <c r="B36" s="36"/>
      <c r="C36" s="37"/>
      <c r="D36" s="37"/>
      <c r="E36" s="38"/>
      <c r="F36" s="37"/>
      <c r="G36" s="38"/>
    </row>
    <row r="39" spans="2:17">
      <c r="B39" s="22" t="s">
        <v>306</v>
      </c>
      <c r="L39" s="22" t="s">
        <v>307</v>
      </c>
      <c r="M39" s="39"/>
      <c r="N39" s="39"/>
      <c r="O39" s="39"/>
      <c r="P39" s="39"/>
      <c r="Q39" s="39"/>
    </row>
    <row r="40" ht="16.5" spans="1:17">
      <c r="A40" t="s">
        <v>107</v>
      </c>
      <c r="B40" s="23" t="s">
        <v>73</v>
      </c>
      <c r="C40" s="24" t="s">
        <v>281</v>
      </c>
      <c r="D40" s="25" t="s">
        <v>299</v>
      </c>
      <c r="E40" s="26" t="s">
        <v>293</v>
      </c>
      <c r="F40" s="25" t="s">
        <v>299</v>
      </c>
      <c r="G40" s="26"/>
      <c r="K40" t="s">
        <v>107</v>
      </c>
      <c r="L40" s="40" t="s">
        <v>308</v>
      </c>
      <c r="M40" s="41"/>
      <c r="N40" s="41"/>
      <c r="O40" s="40" t="s">
        <v>309</v>
      </c>
      <c r="P40" s="41"/>
      <c r="Q40" s="41"/>
    </row>
    <row r="41" spans="2:17">
      <c r="B41" s="27">
        <v>0</v>
      </c>
      <c r="C41" s="28">
        <v>0</v>
      </c>
      <c r="D41" s="28"/>
      <c r="E41" s="29">
        <v>0</v>
      </c>
      <c r="F41" s="28"/>
      <c r="G41" s="28"/>
      <c r="L41" s="42">
        <v>0</v>
      </c>
      <c r="M41" s="43">
        <v>0</v>
      </c>
      <c r="N41" s="44">
        <v>0</v>
      </c>
      <c r="O41" s="42">
        <v>0</v>
      </c>
      <c r="P41" s="43">
        <v>0</v>
      </c>
      <c r="Q41" s="44">
        <v>0</v>
      </c>
    </row>
    <row r="42" spans="2:17">
      <c r="B42" s="30">
        <v>35000</v>
      </c>
      <c r="C42" s="28">
        <v>0</v>
      </c>
      <c r="D42" s="28"/>
      <c r="E42" s="29">
        <v>0.05</v>
      </c>
      <c r="F42" s="28"/>
      <c r="G42" s="28"/>
      <c r="L42" s="45">
        <v>52499.71</v>
      </c>
      <c r="M42" s="46">
        <v>52500.21</v>
      </c>
      <c r="N42" s="47">
        <v>52500.21</v>
      </c>
      <c r="O42" s="45">
        <v>20999.95</v>
      </c>
      <c r="P42" s="46">
        <v>21000.8099999998</v>
      </c>
      <c r="Q42" s="47">
        <v>21000.8</v>
      </c>
    </row>
    <row r="43" spans="2:17">
      <c r="B43" s="30">
        <v>70000</v>
      </c>
      <c r="C43" s="28">
        <v>0</v>
      </c>
      <c r="D43" s="28"/>
      <c r="E43" s="29">
        <v>0.12</v>
      </c>
      <c r="F43" s="28"/>
      <c r="G43" s="28"/>
      <c r="L43" s="45">
        <v>87500.8</v>
      </c>
      <c r="M43" s="46">
        <v>87501.75</v>
      </c>
      <c r="N43" s="47">
        <v>87501.75</v>
      </c>
      <c r="O43" s="45">
        <v>34999.9600000001</v>
      </c>
      <c r="P43" s="46">
        <v>35000.4100000002</v>
      </c>
      <c r="Q43" s="47">
        <v>35000.4</v>
      </c>
    </row>
    <row r="44" spans="2:17">
      <c r="B44" s="31">
        <v>210000</v>
      </c>
      <c r="C44" s="28">
        <v>0</v>
      </c>
      <c r="D44" s="28"/>
      <c r="E44" s="32">
        <v>0.15</v>
      </c>
      <c r="F44" s="28"/>
      <c r="G44" s="28"/>
      <c r="L44" s="45">
        <v>174999.57</v>
      </c>
      <c r="M44" s="46">
        <v>175000.85</v>
      </c>
      <c r="N44" s="47">
        <v>175000.84</v>
      </c>
      <c r="O44" s="48">
        <v>69999.9399999995</v>
      </c>
      <c r="P44" s="46">
        <v>70000.49</v>
      </c>
      <c r="Q44" s="47">
        <v>70000.49</v>
      </c>
    </row>
    <row r="45" spans="2:17">
      <c r="B45" s="30">
        <v>350000</v>
      </c>
      <c r="C45" s="28">
        <v>0</v>
      </c>
      <c r="D45" s="28"/>
      <c r="E45" s="32">
        <v>0.2</v>
      </c>
      <c r="F45" s="28"/>
      <c r="G45" s="28"/>
      <c r="L45" s="48">
        <v>350001.7</v>
      </c>
      <c r="M45" s="49">
        <v>350002.96</v>
      </c>
      <c r="N45" s="47">
        <v>350002.95</v>
      </c>
      <c r="O45" s="48">
        <v>139999.970000001</v>
      </c>
      <c r="P45" s="46">
        <v>140000.18</v>
      </c>
      <c r="Q45" s="47">
        <v>140000.17</v>
      </c>
    </row>
    <row r="46" spans="2:17">
      <c r="B46" s="30">
        <v>700000</v>
      </c>
      <c r="C46" s="28">
        <v>0</v>
      </c>
      <c r="D46" s="28"/>
      <c r="E46" s="32">
        <v>0.22</v>
      </c>
      <c r="F46" s="28"/>
      <c r="G46" s="28"/>
      <c r="L46" s="45">
        <v>1400001.93</v>
      </c>
      <c r="M46" s="46">
        <v>1400002.17</v>
      </c>
      <c r="N46" s="47">
        <v>1400002.17</v>
      </c>
      <c r="O46" s="45">
        <v>559999.86</v>
      </c>
      <c r="P46" s="46">
        <v>560000.44</v>
      </c>
      <c r="Q46" s="47">
        <v>560000.44</v>
      </c>
    </row>
    <row r="47" spans="2:17">
      <c r="B47" s="30">
        <v>1750000</v>
      </c>
      <c r="C47" s="28">
        <v>0</v>
      </c>
      <c r="D47" s="28"/>
      <c r="E47" s="32">
        <v>0.24</v>
      </c>
      <c r="F47" s="28"/>
      <c r="G47" s="28"/>
      <c r="L47" s="48"/>
      <c r="M47" s="49"/>
      <c r="N47" s="47"/>
      <c r="O47" s="45"/>
      <c r="P47" s="46"/>
      <c r="Q47" s="47"/>
    </row>
    <row r="48" spans="2:17">
      <c r="B48" s="30">
        <v>3500000</v>
      </c>
      <c r="C48" s="28">
        <v>0</v>
      </c>
      <c r="D48" s="28"/>
      <c r="E48" s="32">
        <v>0.26</v>
      </c>
      <c r="F48" s="28"/>
      <c r="G48" s="28"/>
      <c r="L48" s="45"/>
      <c r="M48" s="46"/>
      <c r="N48" s="47"/>
      <c r="O48" s="45"/>
      <c r="P48" s="46"/>
      <c r="Q48" s="47"/>
    </row>
    <row r="49" spans="2:17">
      <c r="B49" s="33"/>
      <c r="C49" s="34"/>
      <c r="D49" s="34"/>
      <c r="E49" s="35"/>
      <c r="F49" s="34"/>
      <c r="G49" s="35"/>
      <c r="L49" s="45"/>
      <c r="M49" s="46"/>
      <c r="N49" s="47"/>
      <c r="O49" s="45"/>
      <c r="P49" s="46"/>
      <c r="Q49" s="47"/>
    </row>
    <row r="50" spans="2:17">
      <c r="B50" s="33"/>
      <c r="C50" s="34"/>
      <c r="D50" s="34"/>
      <c r="E50" s="35"/>
      <c r="F50" s="34"/>
      <c r="G50" s="35"/>
      <c r="L50" s="45"/>
      <c r="M50" s="46"/>
      <c r="N50" s="47"/>
      <c r="O50" s="45"/>
      <c r="P50" s="46"/>
      <c r="Q50" s="47"/>
    </row>
    <row r="51" spans="2:17">
      <c r="B51" s="33"/>
      <c r="C51" s="34"/>
      <c r="D51" s="34"/>
      <c r="E51" s="35"/>
      <c r="F51" s="34"/>
      <c r="G51" s="35"/>
      <c r="L51" s="45"/>
      <c r="M51" s="46"/>
      <c r="N51" s="47"/>
      <c r="O51" s="45"/>
      <c r="P51" s="46"/>
      <c r="Q51" s="47"/>
    </row>
    <row r="52" spans="2:17">
      <c r="B52" s="33"/>
      <c r="C52" s="34"/>
      <c r="D52" s="34"/>
      <c r="E52" s="35"/>
      <c r="F52" s="34"/>
      <c r="G52" s="35"/>
      <c r="L52" s="45"/>
      <c r="M52" s="46"/>
      <c r="N52" s="47"/>
      <c r="O52" s="45"/>
      <c r="P52" s="46"/>
      <c r="Q52" s="47"/>
    </row>
    <row r="53" ht="16.5" spans="2:17">
      <c r="B53" s="33"/>
      <c r="C53" s="34"/>
      <c r="D53" s="34"/>
      <c r="E53" s="35"/>
      <c r="F53" s="34"/>
      <c r="G53" s="35"/>
      <c r="L53" s="50"/>
      <c r="M53" s="51"/>
      <c r="N53" s="52"/>
      <c r="O53" s="50"/>
      <c r="P53" s="51"/>
      <c r="Q53" s="52"/>
    </row>
    <row r="54" spans="2:7">
      <c r="B54" s="36"/>
      <c r="C54" s="37"/>
      <c r="D54" s="37"/>
      <c r="E54" s="38"/>
      <c r="F54" s="37"/>
      <c r="G54" s="38"/>
    </row>
  </sheetData>
  <sheetProtection algorithmName="SHA-512" hashValue="bJIuAsTvL38T3JehBtKKv8ILUdwUqGCNF2Aik+tjgVrmAys/o5Ex1C6/nouNmXGaLOxVJWIzIyCg9eVOB8dXKQ==" saltValue="io6uZqfY4ZwcGmxdsMqJmA==" spinCount="100000" sheet="1" objects="1" scenarios="1"/>
  <pageMargins left="0.7" right="0.7"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O3106"/>
  <sheetViews>
    <sheetView workbookViewId="0">
      <selection activeCell="A1" sqref="A1"/>
    </sheetView>
  </sheetViews>
  <sheetFormatPr defaultColWidth="9" defaultRowHeight="15.75"/>
  <cols>
    <col min="1" max="1" width="21.25" customWidth="1"/>
    <col min="2" max="2" width="14.25" customWidth="1"/>
  </cols>
  <sheetData>
    <row r="1" spans="1:15">
      <c r="A1" s="1"/>
      <c r="B1" s="2" t="s">
        <v>310</v>
      </c>
      <c r="C1" s="3"/>
      <c r="D1" s="3"/>
      <c r="E1" s="4"/>
      <c r="F1" s="5"/>
      <c r="G1" s="6"/>
      <c r="H1" s="1"/>
      <c r="I1" s="1"/>
      <c r="J1" s="16"/>
      <c r="K1" s="17"/>
      <c r="L1" s="1"/>
      <c r="M1" s="1"/>
      <c r="N1" s="2"/>
      <c r="O1" s="1"/>
    </row>
    <row r="2" spans="1:15">
      <c r="A2" s="1" t="s">
        <v>311</v>
      </c>
      <c r="B2" s="7" t="s">
        <v>312</v>
      </c>
      <c r="C2" s="8" t="s">
        <v>313</v>
      </c>
      <c r="D2" s="8" t="s">
        <v>314</v>
      </c>
      <c r="E2" s="9" t="s">
        <v>315</v>
      </c>
      <c r="F2" s="10">
        <v>50</v>
      </c>
      <c r="G2" s="10">
        <v>75</v>
      </c>
      <c r="H2" s="10">
        <v>100</v>
      </c>
      <c r="I2" s="10">
        <v>125</v>
      </c>
      <c r="J2" s="10">
        <v>150</v>
      </c>
      <c r="K2" s="10">
        <v>200</v>
      </c>
      <c r="L2" s="10">
        <v>250</v>
      </c>
      <c r="M2" s="10">
        <v>300</v>
      </c>
      <c r="N2" s="10">
        <v>350</v>
      </c>
      <c r="O2" s="10">
        <v>400</v>
      </c>
    </row>
    <row r="3" spans="1:15">
      <c r="A3" s="11" t="s">
        <v>316</v>
      </c>
      <c r="B3" s="12" t="s">
        <v>275</v>
      </c>
      <c r="C3" s="13" t="s">
        <v>317</v>
      </c>
      <c r="D3" s="13">
        <v>0</v>
      </c>
      <c r="E3" s="14">
        <v>450</v>
      </c>
      <c r="F3" s="15">
        <v>0</v>
      </c>
      <c r="G3" s="15">
        <v>0</v>
      </c>
      <c r="H3" s="15">
        <v>0</v>
      </c>
      <c r="I3" s="15">
        <v>0</v>
      </c>
      <c r="J3" s="15">
        <v>0</v>
      </c>
      <c r="K3" s="15">
        <v>0</v>
      </c>
      <c r="L3" s="15">
        <v>0</v>
      </c>
      <c r="M3" s="15">
        <v>0</v>
      </c>
      <c r="N3" s="15">
        <v>0</v>
      </c>
      <c r="O3" s="15">
        <v>0</v>
      </c>
    </row>
    <row r="4" spans="1:15">
      <c r="A4" s="11" t="s">
        <v>318</v>
      </c>
      <c r="B4" s="12" t="s">
        <v>275</v>
      </c>
      <c r="C4" s="13" t="s">
        <v>317</v>
      </c>
      <c r="D4" s="13">
        <v>1</v>
      </c>
      <c r="E4" s="14">
        <v>450</v>
      </c>
      <c r="F4" s="15">
        <v>0</v>
      </c>
      <c r="G4" s="15">
        <v>0</v>
      </c>
      <c r="H4" s="15">
        <v>0</v>
      </c>
      <c r="I4" s="15">
        <v>0</v>
      </c>
      <c r="J4" s="15">
        <v>0</v>
      </c>
      <c r="K4" s="15">
        <v>0</v>
      </c>
      <c r="L4" s="15">
        <v>0</v>
      </c>
      <c r="M4" s="15">
        <v>0</v>
      </c>
      <c r="N4" s="15">
        <v>0</v>
      </c>
      <c r="O4" s="15">
        <v>0</v>
      </c>
    </row>
    <row r="5" spans="1:15">
      <c r="A5" s="11" t="s">
        <v>319</v>
      </c>
      <c r="B5" s="12" t="s">
        <v>275</v>
      </c>
      <c r="C5" s="13" t="s">
        <v>317</v>
      </c>
      <c r="D5" s="13">
        <v>2</v>
      </c>
      <c r="E5" s="14">
        <v>450</v>
      </c>
      <c r="F5" s="15">
        <v>0</v>
      </c>
      <c r="G5" s="15">
        <v>0</v>
      </c>
      <c r="H5" s="15">
        <v>0</v>
      </c>
      <c r="I5" s="15">
        <v>0</v>
      </c>
      <c r="J5" s="15">
        <v>0</v>
      </c>
      <c r="K5" s="15">
        <v>0</v>
      </c>
      <c r="L5" s="15">
        <v>0</v>
      </c>
      <c r="M5" s="15">
        <v>0</v>
      </c>
      <c r="N5" s="15">
        <v>0</v>
      </c>
      <c r="O5" s="15">
        <v>0</v>
      </c>
    </row>
    <row r="6" spans="1:15">
      <c r="A6" s="11" t="s">
        <v>320</v>
      </c>
      <c r="B6" s="12" t="s">
        <v>275</v>
      </c>
      <c r="C6" s="13" t="s">
        <v>317</v>
      </c>
      <c r="D6" s="13">
        <v>3</v>
      </c>
      <c r="E6" s="14">
        <v>450</v>
      </c>
      <c r="F6" s="15">
        <v>0</v>
      </c>
      <c r="G6" s="15">
        <v>0</v>
      </c>
      <c r="H6" s="15">
        <v>0</v>
      </c>
      <c r="I6" s="15">
        <v>0</v>
      </c>
      <c r="J6" s="15">
        <v>0</v>
      </c>
      <c r="K6" s="15">
        <v>0</v>
      </c>
      <c r="L6" s="15">
        <v>0</v>
      </c>
      <c r="M6" s="15">
        <v>0</v>
      </c>
      <c r="N6" s="15">
        <v>0</v>
      </c>
      <c r="O6" s="15">
        <v>0</v>
      </c>
    </row>
    <row r="7" spans="1:15">
      <c r="A7" s="11" t="s">
        <v>321</v>
      </c>
      <c r="B7" s="12" t="s">
        <v>275</v>
      </c>
      <c r="C7" s="13" t="s">
        <v>317</v>
      </c>
      <c r="D7" s="13">
        <v>4</v>
      </c>
      <c r="E7" s="14">
        <v>450</v>
      </c>
      <c r="F7" s="15">
        <v>0</v>
      </c>
      <c r="G7" s="15">
        <v>0</v>
      </c>
      <c r="H7" s="15">
        <v>0</v>
      </c>
      <c r="I7" s="15">
        <v>0</v>
      </c>
      <c r="J7" s="15">
        <v>0</v>
      </c>
      <c r="K7" s="15">
        <v>0</v>
      </c>
      <c r="L7" s="15">
        <v>0</v>
      </c>
      <c r="M7" s="15">
        <v>0</v>
      </c>
      <c r="N7" s="15">
        <v>0</v>
      </c>
      <c r="O7" s="15">
        <v>0</v>
      </c>
    </row>
    <row r="8" spans="1:15">
      <c r="A8" s="11" t="s">
        <v>322</v>
      </c>
      <c r="B8" s="12" t="s">
        <v>275</v>
      </c>
      <c r="C8" s="13" t="s">
        <v>317</v>
      </c>
      <c r="D8" s="13">
        <v>5</v>
      </c>
      <c r="E8" s="14">
        <v>450</v>
      </c>
      <c r="F8" s="15">
        <v>0</v>
      </c>
      <c r="G8" s="15">
        <v>0</v>
      </c>
      <c r="H8" s="15">
        <v>0</v>
      </c>
      <c r="I8" s="15">
        <v>0</v>
      </c>
      <c r="J8" s="15">
        <v>0</v>
      </c>
      <c r="K8" s="15">
        <v>0</v>
      </c>
      <c r="L8" s="15">
        <v>0</v>
      </c>
      <c r="M8" s="15">
        <v>0</v>
      </c>
      <c r="N8" s="15">
        <v>0</v>
      </c>
      <c r="O8" s="15">
        <v>0</v>
      </c>
    </row>
    <row r="9" spans="1:15">
      <c r="A9" s="11" t="s">
        <v>323</v>
      </c>
      <c r="B9" s="12" t="s">
        <v>275</v>
      </c>
      <c r="C9" s="13" t="s">
        <v>317</v>
      </c>
      <c r="D9" s="13">
        <v>6</v>
      </c>
      <c r="E9" s="14">
        <v>450</v>
      </c>
      <c r="F9" s="15">
        <v>0</v>
      </c>
      <c r="G9" s="15">
        <v>0</v>
      </c>
      <c r="H9" s="15">
        <v>0</v>
      </c>
      <c r="I9" s="15">
        <v>0</v>
      </c>
      <c r="J9" s="15">
        <v>0</v>
      </c>
      <c r="K9" s="15">
        <v>0</v>
      </c>
      <c r="L9" s="15">
        <v>0</v>
      </c>
      <c r="M9" s="15">
        <v>0</v>
      </c>
      <c r="N9" s="15">
        <v>0</v>
      </c>
      <c r="O9" s="15">
        <v>0</v>
      </c>
    </row>
    <row r="10" spans="1:15">
      <c r="A10" s="11" t="s">
        <v>324</v>
      </c>
      <c r="B10" s="12" t="s">
        <v>275</v>
      </c>
      <c r="C10" s="13" t="s">
        <v>317</v>
      </c>
      <c r="D10" s="13">
        <v>7</v>
      </c>
      <c r="E10" s="14">
        <v>450</v>
      </c>
      <c r="F10" s="15">
        <v>0</v>
      </c>
      <c r="G10" s="15">
        <v>0</v>
      </c>
      <c r="H10" s="15">
        <v>0</v>
      </c>
      <c r="I10" s="15">
        <v>0</v>
      </c>
      <c r="J10" s="15">
        <v>0</v>
      </c>
      <c r="K10" s="15">
        <v>0</v>
      </c>
      <c r="L10" s="15">
        <v>0</v>
      </c>
      <c r="M10" s="15">
        <v>0</v>
      </c>
      <c r="N10" s="15">
        <v>0</v>
      </c>
      <c r="O10" s="15">
        <v>0</v>
      </c>
    </row>
    <row r="11" spans="1:15">
      <c r="A11" s="11" t="s">
        <v>325</v>
      </c>
      <c r="B11" s="12" t="s">
        <v>275</v>
      </c>
      <c r="C11" s="13" t="s">
        <v>317</v>
      </c>
      <c r="D11" s="13">
        <v>8</v>
      </c>
      <c r="E11" s="14">
        <v>450</v>
      </c>
      <c r="F11" s="15">
        <v>0</v>
      </c>
      <c r="G11" s="15">
        <v>0</v>
      </c>
      <c r="H11" s="15">
        <v>0</v>
      </c>
      <c r="I11" s="15">
        <v>0</v>
      </c>
      <c r="J11" s="15">
        <v>0</v>
      </c>
      <c r="K11" s="15">
        <v>0</v>
      </c>
      <c r="L11" s="15">
        <v>0</v>
      </c>
      <c r="M11" s="15">
        <v>0</v>
      </c>
      <c r="N11" s="15">
        <v>0</v>
      </c>
      <c r="O11" s="15">
        <v>0</v>
      </c>
    </row>
    <row r="12" spans="1:15">
      <c r="A12" s="11" t="s">
        <v>326</v>
      </c>
      <c r="B12" s="12" t="s">
        <v>275</v>
      </c>
      <c r="C12" s="13" t="s">
        <v>317</v>
      </c>
      <c r="D12" s="13">
        <v>9</v>
      </c>
      <c r="E12" s="14">
        <v>450</v>
      </c>
      <c r="F12" s="15">
        <v>0</v>
      </c>
      <c r="G12" s="15">
        <v>0</v>
      </c>
      <c r="H12" s="15">
        <v>0</v>
      </c>
      <c r="I12" s="15">
        <v>0</v>
      </c>
      <c r="J12" s="15">
        <v>0</v>
      </c>
      <c r="K12" s="15">
        <v>0</v>
      </c>
      <c r="L12" s="15">
        <v>0</v>
      </c>
      <c r="M12" s="15">
        <v>0</v>
      </c>
      <c r="N12" s="15">
        <v>0</v>
      </c>
      <c r="O12" s="15">
        <v>0</v>
      </c>
    </row>
    <row r="13" spans="1:15">
      <c r="A13" s="11" t="s">
        <v>327</v>
      </c>
      <c r="B13" s="12" t="s">
        <v>275</v>
      </c>
      <c r="C13" s="13" t="s">
        <v>317</v>
      </c>
      <c r="D13" s="13">
        <v>10</v>
      </c>
      <c r="E13" s="14">
        <v>450</v>
      </c>
      <c r="F13" s="15">
        <v>0</v>
      </c>
      <c r="G13" s="15">
        <v>0</v>
      </c>
      <c r="H13" s="15">
        <v>0</v>
      </c>
      <c r="I13" s="15">
        <v>0</v>
      </c>
      <c r="J13" s="15">
        <v>0</v>
      </c>
      <c r="K13" s="15">
        <v>0</v>
      </c>
      <c r="L13" s="15">
        <v>0</v>
      </c>
      <c r="M13" s="15">
        <v>0</v>
      </c>
      <c r="N13" s="15">
        <v>0</v>
      </c>
      <c r="O13" s="15">
        <v>0</v>
      </c>
    </row>
    <row r="14" spans="1:15">
      <c r="A14" s="11" t="s">
        <v>328</v>
      </c>
      <c r="B14" s="12" t="s">
        <v>275</v>
      </c>
      <c r="C14" s="13" t="s">
        <v>317</v>
      </c>
      <c r="D14" s="13">
        <v>11</v>
      </c>
      <c r="E14" s="14">
        <v>450</v>
      </c>
      <c r="F14" s="15">
        <v>0</v>
      </c>
      <c r="G14" s="15">
        <v>0</v>
      </c>
      <c r="H14" s="15">
        <v>0</v>
      </c>
      <c r="I14" s="15">
        <v>0</v>
      </c>
      <c r="J14" s="15">
        <v>0</v>
      </c>
      <c r="K14" s="15">
        <v>0</v>
      </c>
      <c r="L14" s="15">
        <v>0</v>
      </c>
      <c r="M14" s="15">
        <v>0</v>
      </c>
      <c r="N14" s="15">
        <v>0</v>
      </c>
      <c r="O14" s="15">
        <v>0</v>
      </c>
    </row>
    <row r="15" spans="1:15">
      <c r="A15" s="11" t="s">
        <v>329</v>
      </c>
      <c r="B15" s="12" t="s">
        <v>275</v>
      </c>
      <c r="C15" s="13" t="s">
        <v>317</v>
      </c>
      <c r="D15" s="13">
        <v>12</v>
      </c>
      <c r="E15" s="14">
        <v>450</v>
      </c>
      <c r="F15" s="15">
        <v>0</v>
      </c>
      <c r="G15" s="15">
        <v>0</v>
      </c>
      <c r="H15" s="15">
        <v>0</v>
      </c>
      <c r="I15" s="15">
        <v>0</v>
      </c>
      <c r="J15" s="15">
        <v>0</v>
      </c>
      <c r="K15" s="15">
        <v>0</v>
      </c>
      <c r="L15" s="15">
        <v>0</v>
      </c>
      <c r="M15" s="15">
        <v>0</v>
      </c>
      <c r="N15" s="15">
        <v>0</v>
      </c>
      <c r="O15" s="15">
        <v>0</v>
      </c>
    </row>
    <row r="16" spans="1:15">
      <c r="A16" s="11" t="s">
        <v>330</v>
      </c>
      <c r="B16" s="12" t="s">
        <v>275</v>
      </c>
      <c r="C16" s="13" t="s">
        <v>317</v>
      </c>
      <c r="D16" s="13">
        <v>13</v>
      </c>
      <c r="E16" s="14">
        <v>450</v>
      </c>
      <c r="F16" s="15">
        <v>0</v>
      </c>
      <c r="G16" s="15">
        <v>0</v>
      </c>
      <c r="H16" s="15">
        <v>0</v>
      </c>
      <c r="I16" s="15">
        <v>0</v>
      </c>
      <c r="J16" s="15">
        <v>0</v>
      </c>
      <c r="K16" s="15">
        <v>0</v>
      </c>
      <c r="L16" s="15">
        <v>0</v>
      </c>
      <c r="M16" s="15">
        <v>0</v>
      </c>
      <c r="N16" s="15">
        <v>0</v>
      </c>
      <c r="O16" s="15">
        <v>0</v>
      </c>
    </row>
    <row r="17" spans="1:15">
      <c r="A17" s="11" t="s">
        <v>331</v>
      </c>
      <c r="B17" s="12" t="s">
        <v>275</v>
      </c>
      <c r="C17" s="13" t="s">
        <v>317</v>
      </c>
      <c r="D17" s="13">
        <v>14</v>
      </c>
      <c r="E17" s="14">
        <v>450</v>
      </c>
      <c r="F17" s="15">
        <v>0</v>
      </c>
      <c r="G17" s="15">
        <v>0</v>
      </c>
      <c r="H17" s="15">
        <v>0</v>
      </c>
      <c r="I17" s="15">
        <v>0</v>
      </c>
      <c r="J17" s="15">
        <v>0</v>
      </c>
      <c r="K17" s="15">
        <v>0</v>
      </c>
      <c r="L17" s="15">
        <v>0</v>
      </c>
      <c r="M17" s="15">
        <v>0</v>
      </c>
      <c r="N17" s="15">
        <v>0</v>
      </c>
      <c r="O17" s="15">
        <v>0</v>
      </c>
    </row>
    <row r="18" spans="1:15">
      <c r="A18" s="11" t="s">
        <v>332</v>
      </c>
      <c r="B18" s="12" t="s">
        <v>275</v>
      </c>
      <c r="C18" s="13" t="s">
        <v>317</v>
      </c>
      <c r="D18" s="13">
        <v>15</v>
      </c>
      <c r="E18" s="14">
        <v>450</v>
      </c>
      <c r="F18" s="15">
        <v>0</v>
      </c>
      <c r="G18" s="15">
        <v>0</v>
      </c>
      <c r="H18" s="15">
        <v>0</v>
      </c>
      <c r="I18" s="15">
        <v>0</v>
      </c>
      <c r="J18" s="15">
        <v>0</v>
      </c>
      <c r="K18" s="15">
        <v>0</v>
      </c>
      <c r="L18" s="15">
        <v>0</v>
      </c>
      <c r="M18" s="15">
        <v>0</v>
      </c>
      <c r="N18" s="15">
        <v>0</v>
      </c>
      <c r="O18" s="15">
        <v>0</v>
      </c>
    </row>
    <row r="19" spans="1:15">
      <c r="A19" s="11" t="s">
        <v>333</v>
      </c>
      <c r="B19" s="12" t="s">
        <v>275</v>
      </c>
      <c r="C19" s="13" t="s">
        <v>317</v>
      </c>
      <c r="D19" s="13">
        <v>16</v>
      </c>
      <c r="E19" s="14">
        <v>450</v>
      </c>
      <c r="F19" s="15">
        <v>0</v>
      </c>
      <c r="G19" s="15">
        <v>0</v>
      </c>
      <c r="H19" s="15">
        <v>0</v>
      </c>
      <c r="I19" s="15">
        <v>0</v>
      </c>
      <c r="J19" s="15">
        <v>0</v>
      </c>
      <c r="K19" s="15">
        <v>0</v>
      </c>
      <c r="L19" s="15">
        <v>0</v>
      </c>
      <c r="M19" s="15">
        <v>0</v>
      </c>
      <c r="N19" s="15">
        <v>0</v>
      </c>
      <c r="O19" s="15">
        <v>0</v>
      </c>
    </row>
    <row r="20" spans="1:15">
      <c r="A20" s="11" t="s">
        <v>334</v>
      </c>
      <c r="B20" s="12" t="s">
        <v>275</v>
      </c>
      <c r="C20" s="13" t="s">
        <v>317</v>
      </c>
      <c r="D20" s="13">
        <v>17</v>
      </c>
      <c r="E20" s="14">
        <v>450</v>
      </c>
      <c r="F20" s="15">
        <v>0</v>
      </c>
      <c r="G20" s="15">
        <v>0</v>
      </c>
      <c r="H20" s="15">
        <v>0</v>
      </c>
      <c r="I20" s="15">
        <v>0</v>
      </c>
      <c r="J20" s="15">
        <v>0</v>
      </c>
      <c r="K20" s="15">
        <v>0</v>
      </c>
      <c r="L20" s="15">
        <v>0</v>
      </c>
      <c r="M20" s="15">
        <v>0</v>
      </c>
      <c r="N20" s="15">
        <v>0</v>
      </c>
      <c r="O20" s="15">
        <v>0</v>
      </c>
    </row>
    <row r="21" spans="1:15">
      <c r="A21" s="11" t="s">
        <v>335</v>
      </c>
      <c r="B21" s="12" t="s">
        <v>275</v>
      </c>
      <c r="C21" s="13" t="s">
        <v>317</v>
      </c>
      <c r="D21" s="13">
        <v>18</v>
      </c>
      <c r="E21" s="14">
        <v>450</v>
      </c>
      <c r="F21" s="15">
        <v>0</v>
      </c>
      <c r="G21" s="15">
        <v>0</v>
      </c>
      <c r="H21" s="15">
        <v>0</v>
      </c>
      <c r="I21" s="15">
        <v>0</v>
      </c>
      <c r="J21" s="15">
        <v>0</v>
      </c>
      <c r="K21" s="15">
        <v>0</v>
      </c>
      <c r="L21" s="15">
        <v>0</v>
      </c>
      <c r="M21" s="15">
        <v>0</v>
      </c>
      <c r="N21" s="15">
        <v>0</v>
      </c>
      <c r="O21" s="15">
        <v>0</v>
      </c>
    </row>
    <row r="22" spans="1:15">
      <c r="A22" s="11" t="s">
        <v>336</v>
      </c>
      <c r="B22" s="12" t="s">
        <v>275</v>
      </c>
      <c r="C22" s="13" t="s">
        <v>317</v>
      </c>
      <c r="D22" s="13">
        <v>19</v>
      </c>
      <c r="E22" s="14">
        <v>450</v>
      </c>
      <c r="F22" s="15">
        <v>0</v>
      </c>
      <c r="G22" s="15">
        <v>0</v>
      </c>
      <c r="H22" s="15">
        <v>0</v>
      </c>
      <c r="I22" s="15">
        <v>0</v>
      </c>
      <c r="J22" s="15">
        <v>0</v>
      </c>
      <c r="K22" s="15">
        <v>0</v>
      </c>
      <c r="L22" s="15">
        <v>0</v>
      </c>
      <c r="M22" s="15">
        <v>0</v>
      </c>
      <c r="N22" s="15">
        <v>0</v>
      </c>
      <c r="O22" s="15">
        <v>0</v>
      </c>
    </row>
    <row r="23" spans="1:15">
      <c r="A23" s="11" t="s">
        <v>337</v>
      </c>
      <c r="B23" s="12" t="s">
        <v>275</v>
      </c>
      <c r="C23" s="13" t="s">
        <v>317</v>
      </c>
      <c r="D23" s="13">
        <v>20</v>
      </c>
      <c r="E23" s="14">
        <v>450</v>
      </c>
      <c r="F23" s="15">
        <v>0</v>
      </c>
      <c r="G23" s="15">
        <v>0</v>
      </c>
      <c r="H23" s="15">
        <v>0</v>
      </c>
      <c r="I23" s="15">
        <v>0</v>
      </c>
      <c r="J23" s="15">
        <v>0</v>
      </c>
      <c r="K23" s="15">
        <v>0</v>
      </c>
      <c r="L23" s="15">
        <v>0</v>
      </c>
      <c r="M23" s="15">
        <v>0</v>
      </c>
      <c r="N23" s="15">
        <v>0</v>
      </c>
      <c r="O23" s="15">
        <v>0</v>
      </c>
    </row>
    <row r="24" spans="1:15">
      <c r="A24" s="11" t="s">
        <v>338</v>
      </c>
      <c r="B24" s="12" t="s">
        <v>275</v>
      </c>
      <c r="C24" s="13" t="s">
        <v>317</v>
      </c>
      <c r="D24" s="13">
        <v>21</v>
      </c>
      <c r="E24" s="14">
        <v>450</v>
      </c>
      <c r="F24" s="15">
        <v>0</v>
      </c>
      <c r="G24" s="15">
        <v>0</v>
      </c>
      <c r="H24" s="15">
        <v>0</v>
      </c>
      <c r="I24" s="15">
        <v>0</v>
      </c>
      <c r="J24" s="15">
        <v>0</v>
      </c>
      <c r="K24" s="15">
        <v>0</v>
      </c>
      <c r="L24" s="15">
        <v>0</v>
      </c>
      <c r="M24" s="15">
        <v>0</v>
      </c>
      <c r="N24" s="15">
        <v>0</v>
      </c>
      <c r="O24" s="15">
        <v>0</v>
      </c>
    </row>
    <row r="25" spans="1:15">
      <c r="A25" s="11" t="s">
        <v>339</v>
      </c>
      <c r="B25" s="12" t="s">
        <v>275</v>
      </c>
      <c r="C25" s="13" t="s">
        <v>317</v>
      </c>
      <c r="D25" s="13">
        <v>22</v>
      </c>
      <c r="E25" s="14">
        <v>450</v>
      </c>
      <c r="F25" s="15">
        <v>0</v>
      </c>
      <c r="G25" s="15">
        <v>0</v>
      </c>
      <c r="H25" s="15">
        <v>0</v>
      </c>
      <c r="I25" s="15">
        <v>0</v>
      </c>
      <c r="J25" s="15">
        <v>0</v>
      </c>
      <c r="K25" s="15">
        <v>0</v>
      </c>
      <c r="L25" s="15">
        <v>0</v>
      </c>
      <c r="M25" s="15">
        <v>0</v>
      </c>
      <c r="N25" s="15">
        <v>0</v>
      </c>
      <c r="O25" s="15">
        <v>0</v>
      </c>
    </row>
    <row r="26" spans="1:15">
      <c r="A26" s="11" t="s">
        <v>340</v>
      </c>
      <c r="B26" s="12" t="s">
        <v>275</v>
      </c>
      <c r="C26" s="13" t="s">
        <v>317</v>
      </c>
      <c r="D26" s="13">
        <v>23</v>
      </c>
      <c r="E26" s="14">
        <v>450</v>
      </c>
      <c r="F26" s="15">
        <v>0</v>
      </c>
      <c r="G26" s="15">
        <v>0</v>
      </c>
      <c r="H26" s="15">
        <v>0</v>
      </c>
      <c r="I26" s="15">
        <v>0</v>
      </c>
      <c r="J26" s="15">
        <v>0</v>
      </c>
      <c r="K26" s="15">
        <v>0</v>
      </c>
      <c r="L26" s="15">
        <v>0</v>
      </c>
      <c r="M26" s="15">
        <v>0</v>
      </c>
      <c r="N26" s="15">
        <v>0</v>
      </c>
      <c r="O26" s="15">
        <v>0</v>
      </c>
    </row>
    <row r="27" spans="1:15">
      <c r="A27" s="11" t="s">
        <v>341</v>
      </c>
      <c r="B27" s="12" t="s">
        <v>275</v>
      </c>
      <c r="C27" s="13" t="s">
        <v>317</v>
      </c>
      <c r="D27" s="13">
        <v>24</v>
      </c>
      <c r="E27" s="14">
        <v>450</v>
      </c>
      <c r="F27" s="15">
        <v>0</v>
      </c>
      <c r="G27" s="15">
        <v>0</v>
      </c>
      <c r="H27" s="15">
        <v>0</v>
      </c>
      <c r="I27" s="15">
        <v>0</v>
      </c>
      <c r="J27" s="15">
        <v>0</v>
      </c>
      <c r="K27" s="15">
        <v>0</v>
      </c>
      <c r="L27" s="15">
        <v>0</v>
      </c>
      <c r="M27" s="15">
        <v>0</v>
      </c>
      <c r="N27" s="15">
        <v>0</v>
      </c>
      <c r="O27" s="15">
        <v>0</v>
      </c>
    </row>
    <row r="28" spans="1:15">
      <c r="A28" s="11" t="s">
        <v>342</v>
      </c>
      <c r="B28" s="12" t="s">
        <v>275</v>
      </c>
      <c r="C28" s="13" t="s">
        <v>317</v>
      </c>
      <c r="D28" s="13">
        <v>25</v>
      </c>
      <c r="E28" s="14">
        <v>450</v>
      </c>
      <c r="F28" s="15">
        <v>0</v>
      </c>
      <c r="G28" s="15">
        <v>0</v>
      </c>
      <c r="H28" s="15">
        <v>0</v>
      </c>
      <c r="I28" s="15">
        <v>0</v>
      </c>
      <c r="J28" s="15">
        <v>0</v>
      </c>
      <c r="K28" s="15">
        <v>0</v>
      </c>
      <c r="L28" s="15">
        <v>0</v>
      </c>
      <c r="M28" s="15">
        <v>0</v>
      </c>
      <c r="N28" s="15">
        <v>0</v>
      </c>
      <c r="O28" s="15">
        <v>0</v>
      </c>
    </row>
    <row r="29" spans="1:15">
      <c r="A29" s="11" t="s">
        <v>343</v>
      </c>
      <c r="B29" s="12" t="s">
        <v>275</v>
      </c>
      <c r="C29" s="13" t="s">
        <v>317</v>
      </c>
      <c r="D29" s="13">
        <v>26</v>
      </c>
      <c r="E29" s="14">
        <v>450</v>
      </c>
      <c r="F29" s="15">
        <v>0</v>
      </c>
      <c r="G29" s="15">
        <v>0</v>
      </c>
      <c r="H29" s="15">
        <v>0</v>
      </c>
      <c r="I29" s="15">
        <v>0</v>
      </c>
      <c r="J29" s="15">
        <v>0</v>
      </c>
      <c r="K29" s="15">
        <v>0</v>
      </c>
      <c r="L29" s="15">
        <v>0</v>
      </c>
      <c r="M29" s="15">
        <v>0</v>
      </c>
      <c r="N29" s="15">
        <v>0</v>
      </c>
      <c r="O29" s="15">
        <v>0</v>
      </c>
    </row>
    <row r="30" spans="1:15">
      <c r="A30" s="11" t="s">
        <v>344</v>
      </c>
      <c r="B30" s="12" t="s">
        <v>275</v>
      </c>
      <c r="C30" s="13" t="s">
        <v>317</v>
      </c>
      <c r="D30" s="13">
        <v>27</v>
      </c>
      <c r="E30" s="14">
        <v>450</v>
      </c>
      <c r="F30" s="15">
        <v>0</v>
      </c>
      <c r="G30" s="15">
        <v>0</v>
      </c>
      <c r="H30" s="15">
        <v>0</v>
      </c>
      <c r="I30" s="15">
        <v>0</v>
      </c>
      <c r="J30" s="15">
        <v>0</v>
      </c>
      <c r="K30" s="15">
        <v>0</v>
      </c>
      <c r="L30" s="15">
        <v>0</v>
      </c>
      <c r="M30" s="15">
        <v>0</v>
      </c>
      <c r="N30" s="15">
        <v>0</v>
      </c>
      <c r="O30" s="15">
        <v>0</v>
      </c>
    </row>
    <row r="31" spans="1:15">
      <c r="A31" s="11" t="s">
        <v>345</v>
      </c>
      <c r="B31" s="12" t="s">
        <v>275</v>
      </c>
      <c r="C31" s="13" t="s">
        <v>317</v>
      </c>
      <c r="D31" s="13">
        <v>28</v>
      </c>
      <c r="E31" s="14">
        <v>450</v>
      </c>
      <c r="F31" s="15">
        <v>0</v>
      </c>
      <c r="G31" s="15">
        <v>0</v>
      </c>
      <c r="H31" s="15">
        <v>0</v>
      </c>
      <c r="I31" s="15">
        <v>0</v>
      </c>
      <c r="J31" s="15">
        <v>0</v>
      </c>
      <c r="K31" s="15">
        <v>0</v>
      </c>
      <c r="L31" s="15">
        <v>0</v>
      </c>
      <c r="M31" s="15">
        <v>0</v>
      </c>
      <c r="N31" s="15">
        <v>0</v>
      </c>
      <c r="O31" s="15">
        <v>0</v>
      </c>
    </row>
    <row r="32" spans="1:15">
      <c r="A32" s="11" t="s">
        <v>346</v>
      </c>
      <c r="B32" s="12" t="s">
        <v>275</v>
      </c>
      <c r="C32" s="13" t="s">
        <v>317</v>
      </c>
      <c r="D32" s="13">
        <v>29</v>
      </c>
      <c r="E32" s="14">
        <v>450</v>
      </c>
      <c r="F32" s="15">
        <v>0</v>
      </c>
      <c r="G32" s="15">
        <v>0</v>
      </c>
      <c r="H32" s="15">
        <v>0</v>
      </c>
      <c r="I32" s="15">
        <v>0</v>
      </c>
      <c r="J32" s="15">
        <v>0</v>
      </c>
      <c r="K32" s="15">
        <v>0</v>
      </c>
      <c r="L32" s="15">
        <v>0</v>
      </c>
      <c r="M32" s="15">
        <v>0</v>
      </c>
      <c r="N32" s="15">
        <v>0</v>
      </c>
      <c r="O32" s="15">
        <v>0</v>
      </c>
    </row>
    <row r="33" spans="1:15">
      <c r="A33" s="11" t="s">
        <v>347</v>
      </c>
      <c r="B33" s="12" t="s">
        <v>275</v>
      </c>
      <c r="C33" s="13" t="s">
        <v>317</v>
      </c>
      <c r="D33" s="13">
        <v>30</v>
      </c>
      <c r="E33" s="14">
        <v>450</v>
      </c>
      <c r="F33" s="15">
        <v>0</v>
      </c>
      <c r="G33" s="15">
        <v>0</v>
      </c>
      <c r="H33" s="15">
        <v>0</v>
      </c>
      <c r="I33" s="15">
        <v>0</v>
      </c>
      <c r="J33" s="15">
        <v>0</v>
      </c>
      <c r="K33" s="15">
        <v>0</v>
      </c>
      <c r="L33" s="15">
        <v>0</v>
      </c>
      <c r="M33" s="15">
        <v>0</v>
      </c>
      <c r="N33" s="15">
        <v>0</v>
      </c>
      <c r="O33" s="15">
        <v>0</v>
      </c>
    </row>
    <row r="34" spans="1:15">
      <c r="A34" s="11" t="s">
        <v>348</v>
      </c>
      <c r="B34" s="12" t="s">
        <v>275</v>
      </c>
      <c r="C34" s="13" t="s">
        <v>317</v>
      </c>
      <c r="D34" s="13">
        <v>31</v>
      </c>
      <c r="E34" s="14">
        <v>450</v>
      </c>
      <c r="F34" s="15">
        <v>0</v>
      </c>
      <c r="G34" s="15">
        <v>0</v>
      </c>
      <c r="H34" s="15">
        <v>0</v>
      </c>
      <c r="I34" s="15">
        <v>0</v>
      </c>
      <c r="J34" s="15">
        <v>0</v>
      </c>
      <c r="K34" s="15">
        <v>0</v>
      </c>
      <c r="L34" s="15">
        <v>0</v>
      </c>
      <c r="M34" s="15">
        <v>0</v>
      </c>
      <c r="N34" s="15">
        <v>0</v>
      </c>
      <c r="O34" s="15">
        <v>0</v>
      </c>
    </row>
    <row r="35" spans="1:15">
      <c r="A35" s="11" t="s">
        <v>349</v>
      </c>
      <c r="B35" s="12" t="s">
        <v>275</v>
      </c>
      <c r="C35" s="13" t="s">
        <v>317</v>
      </c>
      <c r="D35" s="13">
        <v>32</v>
      </c>
      <c r="E35" s="14">
        <v>450</v>
      </c>
      <c r="F35" s="15">
        <v>0</v>
      </c>
      <c r="G35" s="15">
        <v>0</v>
      </c>
      <c r="H35" s="15">
        <v>0</v>
      </c>
      <c r="I35" s="15">
        <v>0</v>
      </c>
      <c r="J35" s="15">
        <v>0</v>
      </c>
      <c r="K35" s="15">
        <v>0</v>
      </c>
      <c r="L35" s="15">
        <v>0</v>
      </c>
      <c r="M35" s="15">
        <v>0</v>
      </c>
      <c r="N35" s="15">
        <v>0</v>
      </c>
      <c r="O35" s="15">
        <v>0</v>
      </c>
    </row>
    <row r="36" spans="1:15">
      <c r="A36" s="11" t="s">
        <v>350</v>
      </c>
      <c r="B36" s="12" t="s">
        <v>275</v>
      </c>
      <c r="C36" s="13" t="s">
        <v>317</v>
      </c>
      <c r="D36" s="13">
        <v>33</v>
      </c>
      <c r="E36" s="14">
        <v>450</v>
      </c>
      <c r="F36" s="15">
        <v>0</v>
      </c>
      <c r="G36" s="15">
        <v>0</v>
      </c>
      <c r="H36" s="15">
        <v>0</v>
      </c>
      <c r="I36" s="15">
        <v>0</v>
      </c>
      <c r="J36" s="15">
        <v>0</v>
      </c>
      <c r="K36" s="15">
        <v>0</v>
      </c>
      <c r="L36" s="15">
        <v>0</v>
      </c>
      <c r="M36" s="15">
        <v>0</v>
      </c>
      <c r="N36" s="15">
        <v>0</v>
      </c>
      <c r="O36" s="15">
        <v>0</v>
      </c>
    </row>
    <row r="37" spans="1:15">
      <c r="A37" s="11" t="s">
        <v>351</v>
      </c>
      <c r="B37" s="12" t="s">
        <v>275</v>
      </c>
      <c r="C37" s="13" t="s">
        <v>317</v>
      </c>
      <c r="D37" s="13">
        <v>34</v>
      </c>
      <c r="E37" s="14">
        <v>450</v>
      </c>
      <c r="F37" s="15">
        <v>0</v>
      </c>
      <c r="G37" s="15">
        <v>0</v>
      </c>
      <c r="H37" s="15">
        <v>0</v>
      </c>
      <c r="I37" s="15">
        <v>0</v>
      </c>
      <c r="J37" s="15">
        <v>0</v>
      </c>
      <c r="K37" s="15">
        <v>0</v>
      </c>
      <c r="L37" s="15">
        <v>0</v>
      </c>
      <c r="M37" s="15">
        <v>0</v>
      </c>
      <c r="N37" s="15">
        <v>0</v>
      </c>
      <c r="O37" s="15">
        <v>0</v>
      </c>
    </row>
    <row r="38" spans="1:15">
      <c r="A38" s="11" t="s">
        <v>352</v>
      </c>
      <c r="B38" s="12" t="s">
        <v>275</v>
      </c>
      <c r="C38" s="13" t="s">
        <v>317</v>
      </c>
      <c r="D38" s="13">
        <v>35</v>
      </c>
      <c r="E38" s="14">
        <v>450</v>
      </c>
      <c r="F38" s="15">
        <v>0</v>
      </c>
      <c r="G38" s="15">
        <v>0</v>
      </c>
      <c r="H38" s="15">
        <v>0</v>
      </c>
      <c r="I38" s="15">
        <v>0</v>
      </c>
      <c r="J38" s="15">
        <v>0</v>
      </c>
      <c r="K38" s="15">
        <v>0</v>
      </c>
      <c r="L38" s="15">
        <v>0</v>
      </c>
      <c r="M38" s="15">
        <v>0</v>
      </c>
      <c r="N38" s="15">
        <v>0</v>
      </c>
      <c r="O38" s="15">
        <v>0</v>
      </c>
    </row>
    <row r="39" spans="1:15">
      <c r="A39" s="11" t="s">
        <v>353</v>
      </c>
      <c r="B39" s="12" t="s">
        <v>275</v>
      </c>
      <c r="C39" s="13" t="s">
        <v>317</v>
      </c>
      <c r="D39" s="13">
        <v>36</v>
      </c>
      <c r="E39" s="14">
        <v>450</v>
      </c>
      <c r="F39" s="15">
        <v>0</v>
      </c>
      <c r="G39" s="15">
        <v>0</v>
      </c>
      <c r="H39" s="15">
        <v>0</v>
      </c>
      <c r="I39" s="15">
        <v>0</v>
      </c>
      <c r="J39" s="15">
        <v>0</v>
      </c>
      <c r="K39" s="15">
        <v>0</v>
      </c>
      <c r="L39" s="15">
        <v>0</v>
      </c>
      <c r="M39" s="15">
        <v>0</v>
      </c>
      <c r="N39" s="15">
        <v>0</v>
      </c>
      <c r="O39" s="15">
        <v>0</v>
      </c>
    </row>
    <row r="40" spans="1:15">
      <c r="A40" s="11" t="s">
        <v>354</v>
      </c>
      <c r="B40" s="12" t="s">
        <v>275</v>
      </c>
      <c r="C40" s="13" t="s">
        <v>317</v>
      </c>
      <c r="D40" s="13">
        <v>37</v>
      </c>
      <c r="E40" s="14">
        <v>450</v>
      </c>
      <c r="F40" s="15">
        <v>0</v>
      </c>
      <c r="G40" s="15">
        <v>0</v>
      </c>
      <c r="H40" s="15">
        <v>0</v>
      </c>
      <c r="I40" s="15">
        <v>0</v>
      </c>
      <c r="J40" s="15">
        <v>0</v>
      </c>
      <c r="K40" s="15">
        <v>0</v>
      </c>
      <c r="L40" s="15">
        <v>0</v>
      </c>
      <c r="M40" s="15">
        <v>0</v>
      </c>
      <c r="N40" s="15">
        <v>0</v>
      </c>
      <c r="O40" s="15">
        <v>0</v>
      </c>
    </row>
    <row r="41" spans="1:15">
      <c r="A41" s="11" t="s">
        <v>355</v>
      </c>
      <c r="B41" s="12" t="s">
        <v>275</v>
      </c>
      <c r="C41" s="13" t="s">
        <v>317</v>
      </c>
      <c r="D41" s="13">
        <v>38</v>
      </c>
      <c r="E41" s="14">
        <v>450</v>
      </c>
      <c r="F41" s="15">
        <v>0</v>
      </c>
      <c r="G41" s="15">
        <v>0</v>
      </c>
      <c r="H41" s="15">
        <v>0</v>
      </c>
      <c r="I41" s="15">
        <v>0</v>
      </c>
      <c r="J41" s="15">
        <v>0</v>
      </c>
      <c r="K41" s="15">
        <v>0</v>
      </c>
      <c r="L41" s="15">
        <v>0</v>
      </c>
      <c r="M41" s="15">
        <v>0</v>
      </c>
      <c r="N41" s="15">
        <v>0</v>
      </c>
      <c r="O41" s="15">
        <v>0</v>
      </c>
    </row>
    <row r="42" spans="1:15">
      <c r="A42" s="11" t="s">
        <v>356</v>
      </c>
      <c r="B42" s="12" t="s">
        <v>275</v>
      </c>
      <c r="C42" s="13" t="s">
        <v>317</v>
      </c>
      <c r="D42" s="13">
        <v>39</v>
      </c>
      <c r="E42" s="14">
        <v>450</v>
      </c>
      <c r="F42" s="15">
        <v>0</v>
      </c>
      <c r="G42" s="15">
        <v>0</v>
      </c>
      <c r="H42" s="15">
        <v>0</v>
      </c>
      <c r="I42" s="15">
        <v>0</v>
      </c>
      <c r="J42" s="15">
        <v>0</v>
      </c>
      <c r="K42" s="15">
        <v>0</v>
      </c>
      <c r="L42" s="15">
        <v>0</v>
      </c>
      <c r="M42" s="15">
        <v>0</v>
      </c>
      <c r="N42" s="15">
        <v>0</v>
      </c>
      <c r="O42" s="15">
        <v>0</v>
      </c>
    </row>
    <row r="43" spans="1:15">
      <c r="A43" s="11" t="s">
        <v>357</v>
      </c>
      <c r="B43" s="12" t="s">
        <v>275</v>
      </c>
      <c r="C43" s="13" t="s">
        <v>317</v>
      </c>
      <c r="D43" s="13">
        <v>40</v>
      </c>
      <c r="E43" s="14">
        <v>450</v>
      </c>
      <c r="F43" s="15">
        <v>0</v>
      </c>
      <c r="G43" s="15">
        <v>0</v>
      </c>
      <c r="H43" s="15">
        <v>0</v>
      </c>
      <c r="I43" s="15">
        <v>0</v>
      </c>
      <c r="J43" s="15">
        <v>0</v>
      </c>
      <c r="K43" s="15">
        <v>0</v>
      </c>
      <c r="L43" s="15">
        <v>0</v>
      </c>
      <c r="M43" s="15">
        <v>0</v>
      </c>
      <c r="N43" s="15">
        <v>0</v>
      </c>
      <c r="O43" s="15">
        <v>0</v>
      </c>
    </row>
    <row r="44" spans="1:15">
      <c r="A44" s="11" t="s">
        <v>358</v>
      </c>
      <c r="B44" s="12" t="s">
        <v>275</v>
      </c>
      <c r="C44" s="13" t="s">
        <v>317</v>
      </c>
      <c r="D44" s="13">
        <v>41</v>
      </c>
      <c r="E44" s="14">
        <v>450</v>
      </c>
      <c r="F44" s="15">
        <v>0</v>
      </c>
      <c r="G44" s="15">
        <v>0</v>
      </c>
      <c r="H44" s="15">
        <v>0</v>
      </c>
      <c r="I44" s="15">
        <v>0</v>
      </c>
      <c r="J44" s="15">
        <v>0</v>
      </c>
      <c r="K44" s="15">
        <v>0</v>
      </c>
      <c r="L44" s="15">
        <v>0</v>
      </c>
      <c r="M44" s="15">
        <v>0</v>
      </c>
      <c r="N44" s="15">
        <v>0</v>
      </c>
      <c r="O44" s="15">
        <v>0</v>
      </c>
    </row>
    <row r="45" spans="1:15">
      <c r="A45" s="11" t="s">
        <v>359</v>
      </c>
      <c r="B45" s="12" t="s">
        <v>275</v>
      </c>
      <c r="C45" s="13" t="s">
        <v>317</v>
      </c>
      <c r="D45" s="13">
        <v>42</v>
      </c>
      <c r="E45" s="14">
        <v>450</v>
      </c>
      <c r="F45" s="15">
        <v>0</v>
      </c>
      <c r="G45" s="15">
        <v>0</v>
      </c>
      <c r="H45" s="15">
        <v>0</v>
      </c>
      <c r="I45" s="15">
        <v>0</v>
      </c>
      <c r="J45" s="15">
        <v>0</v>
      </c>
      <c r="K45" s="15">
        <v>0</v>
      </c>
      <c r="L45" s="15">
        <v>0</v>
      </c>
      <c r="M45" s="15">
        <v>0</v>
      </c>
      <c r="N45" s="15">
        <v>0</v>
      </c>
      <c r="O45" s="15">
        <v>0</v>
      </c>
    </row>
    <row r="46" spans="1:15">
      <c r="A46" s="11" t="s">
        <v>360</v>
      </c>
      <c r="B46" s="12" t="s">
        <v>275</v>
      </c>
      <c r="C46" s="13" t="s">
        <v>317</v>
      </c>
      <c r="D46" s="13">
        <v>43</v>
      </c>
      <c r="E46" s="14">
        <v>450</v>
      </c>
      <c r="F46" s="15">
        <v>0</v>
      </c>
      <c r="G46" s="15">
        <v>0</v>
      </c>
      <c r="H46" s="15">
        <v>0</v>
      </c>
      <c r="I46" s="15">
        <v>0</v>
      </c>
      <c r="J46" s="15">
        <v>0</v>
      </c>
      <c r="K46" s="15">
        <v>0</v>
      </c>
      <c r="L46" s="15">
        <v>0</v>
      </c>
      <c r="M46" s="15">
        <v>0</v>
      </c>
      <c r="N46" s="15">
        <v>0</v>
      </c>
      <c r="O46" s="15">
        <v>0</v>
      </c>
    </row>
    <row r="47" spans="1:15">
      <c r="A47" s="11" t="s">
        <v>361</v>
      </c>
      <c r="B47" s="12" t="s">
        <v>275</v>
      </c>
      <c r="C47" s="13" t="s">
        <v>317</v>
      </c>
      <c r="D47" s="13">
        <v>44</v>
      </c>
      <c r="E47" s="14">
        <v>450</v>
      </c>
      <c r="F47" s="15">
        <v>0</v>
      </c>
      <c r="G47" s="15">
        <v>0</v>
      </c>
      <c r="H47" s="15">
        <v>0</v>
      </c>
      <c r="I47" s="15">
        <v>0</v>
      </c>
      <c r="J47" s="15">
        <v>0</v>
      </c>
      <c r="K47" s="15">
        <v>0</v>
      </c>
      <c r="L47" s="15">
        <v>0</v>
      </c>
      <c r="M47" s="15">
        <v>0</v>
      </c>
      <c r="N47" s="15">
        <v>0</v>
      </c>
      <c r="O47" s="15">
        <v>0</v>
      </c>
    </row>
    <row r="48" spans="1:15">
      <c r="A48" s="11" t="s">
        <v>362</v>
      </c>
      <c r="B48" s="12" t="s">
        <v>275</v>
      </c>
      <c r="C48" s="13" t="s">
        <v>317</v>
      </c>
      <c r="D48" s="13">
        <v>45</v>
      </c>
      <c r="E48" s="14">
        <v>450</v>
      </c>
      <c r="F48" s="15">
        <v>0</v>
      </c>
      <c r="G48" s="15">
        <v>0</v>
      </c>
      <c r="H48" s="15">
        <v>0</v>
      </c>
      <c r="I48" s="15">
        <v>0</v>
      </c>
      <c r="J48" s="15">
        <v>0</v>
      </c>
      <c r="K48" s="15">
        <v>0</v>
      </c>
      <c r="L48" s="15">
        <v>0</v>
      </c>
      <c r="M48" s="15">
        <v>0</v>
      </c>
      <c r="N48" s="15">
        <v>0</v>
      </c>
      <c r="O48" s="15">
        <v>0</v>
      </c>
    </row>
    <row r="49" spans="1:15">
      <c r="A49" s="11" t="s">
        <v>363</v>
      </c>
      <c r="B49" s="12" t="s">
        <v>275</v>
      </c>
      <c r="C49" s="13" t="s">
        <v>317</v>
      </c>
      <c r="D49" s="13">
        <v>46</v>
      </c>
      <c r="E49" s="14">
        <v>450</v>
      </c>
      <c r="F49" s="15">
        <v>0</v>
      </c>
      <c r="G49" s="15">
        <v>0</v>
      </c>
      <c r="H49" s="15">
        <v>0</v>
      </c>
      <c r="I49" s="15">
        <v>0</v>
      </c>
      <c r="J49" s="15">
        <v>0</v>
      </c>
      <c r="K49" s="15">
        <v>0</v>
      </c>
      <c r="L49" s="15">
        <v>0</v>
      </c>
      <c r="M49" s="15">
        <v>0</v>
      </c>
      <c r="N49" s="15">
        <v>0</v>
      </c>
      <c r="O49" s="15">
        <v>0</v>
      </c>
    </row>
    <row r="50" spans="1:15">
      <c r="A50" s="11" t="s">
        <v>364</v>
      </c>
      <c r="B50" s="12" t="s">
        <v>275</v>
      </c>
      <c r="C50" s="13" t="s">
        <v>317</v>
      </c>
      <c r="D50" s="13">
        <v>47</v>
      </c>
      <c r="E50" s="14">
        <v>450</v>
      </c>
      <c r="F50" s="15">
        <v>0</v>
      </c>
      <c r="G50" s="15">
        <v>0</v>
      </c>
      <c r="H50" s="15">
        <v>0</v>
      </c>
      <c r="I50" s="15">
        <v>0</v>
      </c>
      <c r="J50" s="15">
        <v>0</v>
      </c>
      <c r="K50" s="15">
        <v>0</v>
      </c>
      <c r="L50" s="15">
        <v>0</v>
      </c>
      <c r="M50" s="15">
        <v>0</v>
      </c>
      <c r="N50" s="15">
        <v>0</v>
      </c>
      <c r="O50" s="15">
        <v>0</v>
      </c>
    </row>
    <row r="51" spans="1:15">
      <c r="A51" s="11" t="s">
        <v>365</v>
      </c>
      <c r="B51" s="12" t="s">
        <v>275</v>
      </c>
      <c r="C51" s="13" t="s">
        <v>317</v>
      </c>
      <c r="D51" s="13">
        <v>48</v>
      </c>
      <c r="E51" s="14">
        <v>450</v>
      </c>
      <c r="F51" s="15">
        <v>0</v>
      </c>
      <c r="G51" s="15">
        <v>0</v>
      </c>
      <c r="H51" s="15">
        <v>0</v>
      </c>
      <c r="I51" s="15">
        <v>0</v>
      </c>
      <c r="J51" s="15">
        <v>0</v>
      </c>
      <c r="K51" s="15">
        <v>0</v>
      </c>
      <c r="L51" s="15">
        <v>0</v>
      </c>
      <c r="M51" s="15">
        <v>0</v>
      </c>
      <c r="N51" s="15">
        <v>0</v>
      </c>
      <c r="O51" s="15">
        <v>0</v>
      </c>
    </row>
    <row r="52" spans="1:15">
      <c r="A52" s="11" t="s">
        <v>366</v>
      </c>
      <c r="B52" s="12" t="s">
        <v>275</v>
      </c>
      <c r="C52" s="13" t="s">
        <v>317</v>
      </c>
      <c r="D52" s="13">
        <v>49</v>
      </c>
      <c r="E52" s="14">
        <v>450</v>
      </c>
      <c r="F52" s="15">
        <v>0</v>
      </c>
      <c r="G52" s="15">
        <v>0</v>
      </c>
      <c r="H52" s="15">
        <v>0</v>
      </c>
      <c r="I52" s="15">
        <v>0</v>
      </c>
      <c r="J52" s="15">
        <v>0</v>
      </c>
      <c r="K52" s="15">
        <v>0</v>
      </c>
      <c r="L52" s="15">
        <v>0</v>
      </c>
      <c r="M52" s="15">
        <v>0</v>
      </c>
      <c r="N52" s="15">
        <v>0</v>
      </c>
      <c r="O52" s="15">
        <v>0</v>
      </c>
    </row>
    <row r="53" spans="1:15">
      <c r="A53" s="11" t="s">
        <v>367</v>
      </c>
      <c r="B53" s="12" t="s">
        <v>275</v>
      </c>
      <c r="C53" s="13" t="s">
        <v>317</v>
      </c>
      <c r="D53" s="13">
        <v>50</v>
      </c>
      <c r="E53" s="14">
        <v>450</v>
      </c>
      <c r="F53" s="15">
        <v>0</v>
      </c>
      <c r="G53" s="15">
        <v>0</v>
      </c>
      <c r="H53" s="15">
        <v>0</v>
      </c>
      <c r="I53" s="15">
        <v>0</v>
      </c>
      <c r="J53" s="15">
        <v>0</v>
      </c>
      <c r="K53" s="15">
        <v>0</v>
      </c>
      <c r="L53" s="15">
        <v>0</v>
      </c>
      <c r="M53" s="15">
        <v>0</v>
      </c>
      <c r="N53" s="15">
        <v>0</v>
      </c>
      <c r="O53" s="15">
        <v>0</v>
      </c>
    </row>
    <row r="54" spans="1:15">
      <c r="A54" s="11" t="s">
        <v>368</v>
      </c>
      <c r="B54" s="12" t="s">
        <v>275</v>
      </c>
      <c r="C54" s="13" t="s">
        <v>317</v>
      </c>
      <c r="D54" s="13">
        <v>51</v>
      </c>
      <c r="E54" s="14">
        <v>450</v>
      </c>
      <c r="F54" s="15">
        <v>0</v>
      </c>
      <c r="G54" s="15">
        <v>0</v>
      </c>
      <c r="H54" s="15">
        <v>0</v>
      </c>
      <c r="I54" s="15">
        <v>0</v>
      </c>
      <c r="J54" s="15">
        <v>0</v>
      </c>
      <c r="K54" s="15">
        <v>0</v>
      </c>
      <c r="L54" s="15">
        <v>0</v>
      </c>
      <c r="M54" s="15">
        <v>0</v>
      </c>
      <c r="N54" s="15">
        <v>0</v>
      </c>
      <c r="O54" s="15">
        <v>0</v>
      </c>
    </row>
    <row r="55" spans="1:15">
      <c r="A55" s="11" t="s">
        <v>369</v>
      </c>
      <c r="B55" s="12" t="s">
        <v>275</v>
      </c>
      <c r="C55" s="13" t="s">
        <v>317</v>
      </c>
      <c r="D55" s="13">
        <v>52</v>
      </c>
      <c r="E55" s="14">
        <v>450</v>
      </c>
      <c r="F55" s="15">
        <v>0</v>
      </c>
      <c r="G55" s="15">
        <v>0</v>
      </c>
      <c r="H55" s="15">
        <v>0</v>
      </c>
      <c r="I55" s="15">
        <v>0</v>
      </c>
      <c r="J55" s="15">
        <v>0</v>
      </c>
      <c r="K55" s="15">
        <v>0</v>
      </c>
      <c r="L55" s="15">
        <v>0</v>
      </c>
      <c r="M55" s="15">
        <v>0</v>
      </c>
      <c r="N55" s="15">
        <v>0</v>
      </c>
      <c r="O55" s="15">
        <v>0</v>
      </c>
    </row>
    <row r="56" spans="1:15">
      <c r="A56" s="11" t="s">
        <v>370</v>
      </c>
      <c r="B56" s="12" t="s">
        <v>275</v>
      </c>
      <c r="C56" s="13" t="s">
        <v>317</v>
      </c>
      <c r="D56" s="13">
        <v>53</v>
      </c>
      <c r="E56" s="14">
        <v>450</v>
      </c>
      <c r="F56" s="15">
        <v>0</v>
      </c>
      <c r="G56" s="15">
        <v>0</v>
      </c>
      <c r="H56" s="15">
        <v>0</v>
      </c>
      <c r="I56" s="15">
        <v>0</v>
      </c>
      <c r="J56" s="15">
        <v>0</v>
      </c>
      <c r="K56" s="15">
        <v>0</v>
      </c>
      <c r="L56" s="15">
        <v>0</v>
      </c>
      <c r="M56" s="15">
        <v>0</v>
      </c>
      <c r="N56" s="15">
        <v>0</v>
      </c>
      <c r="O56" s="15">
        <v>0</v>
      </c>
    </row>
    <row r="57" spans="1:15">
      <c r="A57" s="11" t="s">
        <v>371</v>
      </c>
      <c r="B57" s="12" t="s">
        <v>275</v>
      </c>
      <c r="C57" s="13" t="s">
        <v>317</v>
      </c>
      <c r="D57" s="13">
        <v>54</v>
      </c>
      <c r="E57" s="14">
        <v>450</v>
      </c>
      <c r="F57" s="15">
        <v>0</v>
      </c>
      <c r="G57" s="15">
        <v>0</v>
      </c>
      <c r="H57" s="15">
        <v>0</v>
      </c>
      <c r="I57" s="15">
        <v>0</v>
      </c>
      <c r="J57" s="15">
        <v>0</v>
      </c>
      <c r="K57" s="15">
        <v>0</v>
      </c>
      <c r="L57" s="15">
        <v>0</v>
      </c>
      <c r="M57" s="15">
        <v>0</v>
      </c>
      <c r="N57" s="15">
        <v>0</v>
      </c>
      <c r="O57" s="15">
        <v>0</v>
      </c>
    </row>
    <row r="58" spans="1:15">
      <c r="A58" s="11" t="s">
        <v>372</v>
      </c>
      <c r="B58" s="12" t="s">
        <v>275</v>
      </c>
      <c r="C58" s="13" t="s">
        <v>317</v>
      </c>
      <c r="D58" s="13">
        <v>55</v>
      </c>
      <c r="E58" s="14">
        <v>450</v>
      </c>
      <c r="F58" s="15">
        <v>0</v>
      </c>
      <c r="G58" s="15">
        <v>0</v>
      </c>
      <c r="H58" s="15">
        <v>0</v>
      </c>
      <c r="I58" s="15">
        <v>0</v>
      </c>
      <c r="J58" s="15">
        <v>0</v>
      </c>
      <c r="K58" s="15">
        <v>0</v>
      </c>
      <c r="L58" s="15">
        <v>0</v>
      </c>
      <c r="M58" s="15">
        <v>0</v>
      </c>
      <c r="N58" s="15">
        <v>0</v>
      </c>
      <c r="O58" s="15">
        <v>0</v>
      </c>
    </row>
    <row r="59" spans="1:15">
      <c r="A59" s="11" t="s">
        <v>373</v>
      </c>
      <c r="B59" s="12" t="s">
        <v>275</v>
      </c>
      <c r="C59" s="13" t="s">
        <v>317</v>
      </c>
      <c r="D59" s="13">
        <v>56</v>
      </c>
      <c r="E59" s="14">
        <v>450</v>
      </c>
      <c r="F59" s="15">
        <v>0</v>
      </c>
      <c r="G59" s="15">
        <v>0</v>
      </c>
      <c r="H59" s="15">
        <v>0</v>
      </c>
      <c r="I59" s="15">
        <v>0</v>
      </c>
      <c r="J59" s="15">
        <v>0</v>
      </c>
      <c r="K59" s="15">
        <v>0</v>
      </c>
      <c r="L59" s="15">
        <v>0</v>
      </c>
      <c r="M59" s="15">
        <v>0</v>
      </c>
      <c r="N59" s="15">
        <v>0</v>
      </c>
      <c r="O59" s="15">
        <v>0</v>
      </c>
    </row>
    <row r="60" spans="1:15">
      <c r="A60" s="11" t="s">
        <v>374</v>
      </c>
      <c r="B60" s="12" t="s">
        <v>275</v>
      </c>
      <c r="C60" s="13" t="s">
        <v>317</v>
      </c>
      <c r="D60" s="13">
        <v>57</v>
      </c>
      <c r="E60" s="14">
        <v>450</v>
      </c>
      <c r="F60" s="15">
        <v>0</v>
      </c>
      <c r="G60" s="15">
        <v>0</v>
      </c>
      <c r="H60" s="15">
        <v>0</v>
      </c>
      <c r="I60" s="15">
        <v>0</v>
      </c>
      <c r="J60" s="15">
        <v>0</v>
      </c>
      <c r="K60" s="15">
        <v>0</v>
      </c>
      <c r="L60" s="15">
        <v>0</v>
      </c>
      <c r="M60" s="15">
        <v>0</v>
      </c>
      <c r="N60" s="15">
        <v>0</v>
      </c>
      <c r="O60" s="15">
        <v>0</v>
      </c>
    </row>
    <row r="61" spans="1:15">
      <c r="A61" s="11" t="s">
        <v>375</v>
      </c>
      <c r="B61" s="12" t="s">
        <v>275</v>
      </c>
      <c r="C61" s="13" t="s">
        <v>317</v>
      </c>
      <c r="D61" s="13">
        <v>58</v>
      </c>
      <c r="E61" s="14">
        <v>450</v>
      </c>
      <c r="F61" s="15">
        <v>0</v>
      </c>
      <c r="G61" s="15">
        <v>0</v>
      </c>
      <c r="H61" s="15">
        <v>0</v>
      </c>
      <c r="I61" s="15">
        <v>0</v>
      </c>
      <c r="J61" s="15">
        <v>0</v>
      </c>
      <c r="K61" s="15">
        <v>0</v>
      </c>
      <c r="L61" s="15">
        <v>0</v>
      </c>
      <c r="M61" s="15">
        <v>0</v>
      </c>
      <c r="N61" s="15">
        <v>0</v>
      </c>
      <c r="O61" s="15">
        <v>0</v>
      </c>
    </row>
    <row r="62" spans="1:15">
      <c r="A62" s="11" t="s">
        <v>376</v>
      </c>
      <c r="B62" s="12" t="s">
        <v>275</v>
      </c>
      <c r="C62" s="13" t="s">
        <v>317</v>
      </c>
      <c r="D62" s="13">
        <v>59</v>
      </c>
      <c r="E62" s="14">
        <v>450</v>
      </c>
      <c r="F62" s="15">
        <v>0</v>
      </c>
      <c r="G62" s="15">
        <v>0</v>
      </c>
      <c r="H62" s="15">
        <v>0</v>
      </c>
      <c r="I62" s="15">
        <v>0</v>
      </c>
      <c r="J62" s="15">
        <v>0</v>
      </c>
      <c r="K62" s="15">
        <v>0</v>
      </c>
      <c r="L62" s="15">
        <v>0</v>
      </c>
      <c r="M62" s="15">
        <v>0</v>
      </c>
      <c r="N62" s="15">
        <v>0</v>
      </c>
      <c r="O62" s="15">
        <v>0</v>
      </c>
    </row>
    <row r="63" spans="1:15">
      <c r="A63" s="11" t="s">
        <v>377</v>
      </c>
      <c r="B63" s="12" t="s">
        <v>275</v>
      </c>
      <c r="C63" s="13" t="s">
        <v>317</v>
      </c>
      <c r="D63" s="13">
        <v>60</v>
      </c>
      <c r="E63" s="14">
        <v>450</v>
      </c>
      <c r="F63" s="15">
        <v>0</v>
      </c>
      <c r="G63" s="15">
        <v>0</v>
      </c>
      <c r="H63" s="15">
        <v>0</v>
      </c>
      <c r="I63" s="15">
        <v>0</v>
      </c>
      <c r="J63" s="15">
        <v>0</v>
      </c>
      <c r="K63" s="15">
        <v>0</v>
      </c>
      <c r="L63" s="15">
        <v>0</v>
      </c>
      <c r="M63" s="15">
        <v>0</v>
      </c>
      <c r="N63" s="15">
        <v>0</v>
      </c>
      <c r="O63" s="15">
        <v>0</v>
      </c>
    </row>
    <row r="64" spans="1:15">
      <c r="A64" s="11" t="s">
        <v>378</v>
      </c>
      <c r="B64" s="12" t="s">
        <v>275</v>
      </c>
      <c r="C64" s="13" t="s">
        <v>317</v>
      </c>
      <c r="D64" s="13">
        <v>61</v>
      </c>
      <c r="E64" s="14">
        <v>450</v>
      </c>
      <c r="F64" s="15">
        <v>0</v>
      </c>
      <c r="G64" s="15">
        <v>0</v>
      </c>
      <c r="H64" s="15">
        <v>0</v>
      </c>
      <c r="I64" s="15">
        <v>0</v>
      </c>
      <c r="J64" s="15">
        <v>0</v>
      </c>
      <c r="K64" s="15">
        <v>0</v>
      </c>
      <c r="L64" s="15">
        <v>0</v>
      </c>
      <c r="M64" s="15">
        <v>0</v>
      </c>
      <c r="N64" s="15">
        <v>0</v>
      </c>
      <c r="O64" s="15">
        <v>0</v>
      </c>
    </row>
    <row r="65" spans="1:15">
      <c r="A65" s="11" t="s">
        <v>379</v>
      </c>
      <c r="B65" s="12" t="s">
        <v>275</v>
      </c>
      <c r="C65" s="13" t="s">
        <v>317</v>
      </c>
      <c r="D65" s="13">
        <v>62</v>
      </c>
      <c r="E65" s="14">
        <v>450</v>
      </c>
      <c r="F65" s="15">
        <v>0</v>
      </c>
      <c r="G65" s="15">
        <v>0</v>
      </c>
      <c r="H65" s="15">
        <v>0</v>
      </c>
      <c r="I65" s="15">
        <v>0</v>
      </c>
      <c r="J65" s="15">
        <v>0</v>
      </c>
      <c r="K65" s="15">
        <v>0</v>
      </c>
      <c r="L65" s="15">
        <v>0</v>
      </c>
      <c r="M65" s="15">
        <v>0</v>
      </c>
      <c r="N65" s="15">
        <v>0</v>
      </c>
      <c r="O65" s="15">
        <v>0</v>
      </c>
    </row>
    <row r="66" spans="1:15">
      <c r="A66" s="11" t="s">
        <v>380</v>
      </c>
      <c r="B66" s="12" t="s">
        <v>275</v>
      </c>
      <c r="C66" s="13" t="s">
        <v>317</v>
      </c>
      <c r="D66" s="13">
        <v>63</v>
      </c>
      <c r="E66" s="14">
        <v>450</v>
      </c>
      <c r="F66" s="15">
        <v>0</v>
      </c>
      <c r="G66" s="15">
        <v>0</v>
      </c>
      <c r="H66" s="15">
        <v>0</v>
      </c>
      <c r="I66" s="15">
        <v>0</v>
      </c>
      <c r="J66" s="15">
        <v>0</v>
      </c>
      <c r="K66" s="15">
        <v>0</v>
      </c>
      <c r="L66" s="15">
        <v>0</v>
      </c>
      <c r="M66" s="15">
        <v>0</v>
      </c>
      <c r="N66" s="15">
        <v>0</v>
      </c>
      <c r="O66" s="15">
        <v>0</v>
      </c>
    </row>
    <row r="67" spans="1:15">
      <c r="A67" s="11" t="s">
        <v>381</v>
      </c>
      <c r="B67" s="12" t="s">
        <v>275</v>
      </c>
      <c r="C67" s="13" t="s">
        <v>317</v>
      </c>
      <c r="D67" s="13">
        <v>64</v>
      </c>
      <c r="E67" s="14">
        <v>450</v>
      </c>
      <c r="F67" s="15">
        <v>0</v>
      </c>
      <c r="G67" s="15">
        <v>0</v>
      </c>
      <c r="H67" s="15">
        <v>0</v>
      </c>
      <c r="I67" s="15">
        <v>0</v>
      </c>
      <c r="J67" s="15">
        <v>0</v>
      </c>
      <c r="K67" s="15">
        <v>0</v>
      </c>
      <c r="L67" s="15">
        <v>0</v>
      </c>
      <c r="M67" s="15">
        <v>0</v>
      </c>
      <c r="N67" s="15">
        <v>0</v>
      </c>
      <c r="O67" s="15">
        <v>0</v>
      </c>
    </row>
    <row r="68" spans="1:15">
      <c r="A68" s="11" t="s">
        <v>382</v>
      </c>
      <c r="B68" s="12" t="s">
        <v>275</v>
      </c>
      <c r="C68" s="13" t="s">
        <v>317</v>
      </c>
      <c r="D68" s="13">
        <v>65</v>
      </c>
      <c r="E68" s="14">
        <v>450</v>
      </c>
      <c r="F68" s="15">
        <v>0</v>
      </c>
      <c r="G68" s="15">
        <v>0</v>
      </c>
      <c r="H68" s="15">
        <v>0</v>
      </c>
      <c r="I68" s="15">
        <v>0</v>
      </c>
      <c r="J68" s="15">
        <v>0</v>
      </c>
      <c r="K68" s="15">
        <v>0</v>
      </c>
      <c r="L68" s="15">
        <v>0</v>
      </c>
      <c r="M68" s="15">
        <v>0</v>
      </c>
      <c r="N68" s="15">
        <v>0</v>
      </c>
      <c r="O68" s="15">
        <v>0</v>
      </c>
    </row>
    <row r="69" spans="1:15">
      <c r="A69" s="11" t="s">
        <v>383</v>
      </c>
      <c r="B69" s="12" t="s">
        <v>275</v>
      </c>
      <c r="C69" s="13" t="s">
        <v>317</v>
      </c>
      <c r="D69" s="13">
        <v>66</v>
      </c>
      <c r="E69" s="14">
        <v>450</v>
      </c>
      <c r="F69" s="15">
        <v>0</v>
      </c>
      <c r="G69" s="15">
        <v>0</v>
      </c>
      <c r="H69" s="15">
        <v>0</v>
      </c>
      <c r="I69" s="15">
        <v>0</v>
      </c>
      <c r="J69" s="15">
        <v>0</v>
      </c>
      <c r="K69" s="15">
        <v>0</v>
      </c>
      <c r="L69" s="15">
        <v>0</v>
      </c>
      <c r="M69" s="15">
        <v>0</v>
      </c>
      <c r="N69" s="15">
        <v>0</v>
      </c>
      <c r="O69" s="15">
        <v>0</v>
      </c>
    </row>
    <row r="70" spans="1:15">
      <c r="A70" s="11" t="s">
        <v>384</v>
      </c>
      <c r="B70" s="12" t="s">
        <v>275</v>
      </c>
      <c r="C70" s="13" t="s">
        <v>317</v>
      </c>
      <c r="D70" s="13">
        <v>67</v>
      </c>
      <c r="E70" s="14">
        <v>450</v>
      </c>
      <c r="F70" s="15">
        <v>0</v>
      </c>
      <c r="G70" s="15">
        <v>0</v>
      </c>
      <c r="H70" s="15">
        <v>0</v>
      </c>
      <c r="I70" s="15">
        <v>0</v>
      </c>
      <c r="J70" s="15">
        <v>0</v>
      </c>
      <c r="K70" s="15">
        <v>0</v>
      </c>
      <c r="L70" s="15">
        <v>0</v>
      </c>
      <c r="M70" s="15">
        <v>0</v>
      </c>
      <c r="N70" s="15">
        <v>0</v>
      </c>
      <c r="O70" s="15">
        <v>0</v>
      </c>
    </row>
    <row r="71" spans="1:15">
      <c r="A71" s="11" t="s">
        <v>385</v>
      </c>
      <c r="B71" s="12" t="s">
        <v>275</v>
      </c>
      <c r="C71" s="13" t="s">
        <v>317</v>
      </c>
      <c r="D71" s="13">
        <v>68</v>
      </c>
      <c r="E71" s="14">
        <v>450</v>
      </c>
      <c r="F71" s="15">
        <v>0</v>
      </c>
      <c r="G71" s="15">
        <v>0</v>
      </c>
      <c r="H71" s="15">
        <v>0</v>
      </c>
      <c r="I71" s="15">
        <v>0</v>
      </c>
      <c r="J71" s="15">
        <v>0</v>
      </c>
      <c r="K71" s="15">
        <v>0</v>
      </c>
      <c r="L71" s="15">
        <v>0</v>
      </c>
      <c r="M71" s="15">
        <v>0</v>
      </c>
      <c r="N71" s="15">
        <v>0</v>
      </c>
      <c r="O71" s="15">
        <v>0</v>
      </c>
    </row>
    <row r="72" spans="1:15">
      <c r="A72" s="11" t="s">
        <v>386</v>
      </c>
      <c r="B72" s="12" t="s">
        <v>275</v>
      </c>
      <c r="C72" s="13" t="s">
        <v>317</v>
      </c>
      <c r="D72" s="13">
        <v>69</v>
      </c>
      <c r="E72" s="14">
        <v>450</v>
      </c>
      <c r="F72" s="15">
        <v>0</v>
      </c>
      <c r="G72" s="15">
        <v>0</v>
      </c>
      <c r="H72" s="15">
        <v>0</v>
      </c>
      <c r="I72" s="15">
        <v>0</v>
      </c>
      <c r="J72" s="15">
        <v>0</v>
      </c>
      <c r="K72" s="15">
        <v>0</v>
      </c>
      <c r="L72" s="15">
        <v>0</v>
      </c>
      <c r="M72" s="15">
        <v>0</v>
      </c>
      <c r="N72" s="15">
        <v>0</v>
      </c>
      <c r="O72" s="15">
        <v>0</v>
      </c>
    </row>
    <row r="73" spans="1:15">
      <c r="A73" s="11" t="s">
        <v>387</v>
      </c>
      <c r="B73" s="12" t="s">
        <v>275</v>
      </c>
      <c r="C73" s="13" t="s">
        <v>317</v>
      </c>
      <c r="D73" s="13">
        <v>70</v>
      </c>
      <c r="E73" s="14">
        <v>450</v>
      </c>
      <c r="F73" s="15">
        <v>0</v>
      </c>
      <c r="G73" s="15">
        <v>0</v>
      </c>
      <c r="H73" s="15">
        <v>0</v>
      </c>
      <c r="I73" s="15">
        <v>0</v>
      </c>
      <c r="J73" s="15">
        <v>0</v>
      </c>
      <c r="K73" s="15">
        <v>0</v>
      </c>
      <c r="L73" s="15">
        <v>0</v>
      </c>
      <c r="M73" s="15">
        <v>0</v>
      </c>
      <c r="N73" s="15">
        <v>0</v>
      </c>
      <c r="O73" s="15">
        <v>0</v>
      </c>
    </row>
    <row r="74" spans="1:15">
      <c r="A74" s="11" t="s">
        <v>388</v>
      </c>
      <c r="B74" s="12" t="s">
        <v>275</v>
      </c>
      <c r="C74" s="13" t="s">
        <v>317</v>
      </c>
      <c r="D74" s="13">
        <v>71</v>
      </c>
      <c r="E74" s="14">
        <v>450</v>
      </c>
      <c r="F74" s="15">
        <v>0</v>
      </c>
      <c r="G74" s="15">
        <v>0</v>
      </c>
      <c r="H74" s="15">
        <v>0</v>
      </c>
      <c r="I74" s="15">
        <v>0</v>
      </c>
      <c r="J74" s="15">
        <v>0</v>
      </c>
      <c r="K74" s="15">
        <v>0</v>
      </c>
      <c r="L74" s="15">
        <v>0</v>
      </c>
      <c r="M74" s="15">
        <v>0</v>
      </c>
      <c r="N74" s="15">
        <v>0</v>
      </c>
      <c r="O74" s="15">
        <v>0</v>
      </c>
    </row>
    <row r="75" spans="1:15">
      <c r="A75" s="11" t="s">
        <v>389</v>
      </c>
      <c r="B75" s="12" t="s">
        <v>275</v>
      </c>
      <c r="C75" s="13" t="s">
        <v>317</v>
      </c>
      <c r="D75" s="13">
        <v>72</v>
      </c>
      <c r="E75" s="14">
        <v>450</v>
      </c>
      <c r="F75" s="15">
        <v>0</v>
      </c>
      <c r="G75" s="15">
        <v>0</v>
      </c>
      <c r="H75" s="15">
        <v>0</v>
      </c>
      <c r="I75" s="15">
        <v>0</v>
      </c>
      <c r="J75" s="15">
        <v>0</v>
      </c>
      <c r="K75" s="15">
        <v>0</v>
      </c>
      <c r="L75" s="15">
        <v>0</v>
      </c>
      <c r="M75" s="15">
        <v>0</v>
      </c>
      <c r="N75" s="15">
        <v>0</v>
      </c>
      <c r="O75" s="15">
        <v>0</v>
      </c>
    </row>
    <row r="76" spans="1:15">
      <c r="A76" s="11" t="s">
        <v>390</v>
      </c>
      <c r="B76" s="12" t="s">
        <v>275</v>
      </c>
      <c r="C76" s="13" t="s">
        <v>317</v>
      </c>
      <c r="D76" s="13">
        <v>73</v>
      </c>
      <c r="E76" s="14">
        <v>450</v>
      </c>
      <c r="F76" s="15">
        <v>0</v>
      </c>
      <c r="G76" s="15">
        <v>0</v>
      </c>
      <c r="H76" s="15">
        <v>0</v>
      </c>
      <c r="I76" s="15">
        <v>0</v>
      </c>
      <c r="J76" s="15">
        <v>0</v>
      </c>
      <c r="K76" s="15">
        <v>0</v>
      </c>
      <c r="L76" s="15">
        <v>0</v>
      </c>
      <c r="M76" s="15">
        <v>0</v>
      </c>
      <c r="N76" s="15">
        <v>0</v>
      </c>
      <c r="O76" s="15">
        <v>0</v>
      </c>
    </row>
    <row r="77" spans="1:15">
      <c r="A77" s="11" t="s">
        <v>391</v>
      </c>
      <c r="B77" s="12" t="s">
        <v>275</v>
      </c>
      <c r="C77" s="13" t="s">
        <v>317</v>
      </c>
      <c r="D77" s="13">
        <v>74</v>
      </c>
      <c r="E77" s="14">
        <v>450</v>
      </c>
      <c r="F77" s="15">
        <v>0</v>
      </c>
      <c r="G77" s="15">
        <v>0</v>
      </c>
      <c r="H77" s="15">
        <v>0</v>
      </c>
      <c r="I77" s="15">
        <v>0</v>
      </c>
      <c r="J77" s="15">
        <v>0</v>
      </c>
      <c r="K77" s="15">
        <v>0</v>
      </c>
      <c r="L77" s="15">
        <v>0</v>
      </c>
      <c r="M77" s="15">
        <v>0</v>
      </c>
      <c r="N77" s="15">
        <v>0</v>
      </c>
      <c r="O77" s="15">
        <v>0</v>
      </c>
    </row>
    <row r="78" spans="1:15">
      <c r="A78" s="11" t="s">
        <v>392</v>
      </c>
      <c r="B78" s="12" t="s">
        <v>275</v>
      </c>
      <c r="C78" s="13" t="s">
        <v>317</v>
      </c>
      <c r="D78" s="13">
        <v>75</v>
      </c>
      <c r="E78" s="14">
        <v>450</v>
      </c>
      <c r="F78" s="15">
        <v>0</v>
      </c>
      <c r="G78" s="15">
        <v>0</v>
      </c>
      <c r="H78" s="15">
        <v>0</v>
      </c>
      <c r="I78" s="15">
        <v>0</v>
      </c>
      <c r="J78" s="15">
        <v>0</v>
      </c>
      <c r="K78" s="15">
        <v>0</v>
      </c>
      <c r="L78" s="15">
        <v>0</v>
      </c>
      <c r="M78" s="15">
        <v>0</v>
      </c>
      <c r="N78" s="15">
        <v>0</v>
      </c>
      <c r="O78" s="15">
        <v>0</v>
      </c>
    </row>
    <row r="79" spans="1:15">
      <c r="A79" s="11" t="s">
        <v>393</v>
      </c>
      <c r="B79" s="12" t="s">
        <v>275</v>
      </c>
      <c r="C79" s="13" t="s">
        <v>317</v>
      </c>
      <c r="D79" s="13">
        <v>76</v>
      </c>
      <c r="E79" s="14">
        <v>450</v>
      </c>
      <c r="F79" s="15">
        <v>0</v>
      </c>
      <c r="G79" s="15">
        <v>0</v>
      </c>
      <c r="H79" s="15">
        <v>0</v>
      </c>
      <c r="I79" s="15">
        <v>0</v>
      </c>
      <c r="J79" s="15">
        <v>0</v>
      </c>
      <c r="K79" s="15">
        <v>0</v>
      </c>
      <c r="L79" s="15">
        <v>0</v>
      </c>
      <c r="M79" s="15">
        <v>0</v>
      </c>
      <c r="N79" s="15">
        <v>0</v>
      </c>
      <c r="O79" s="15">
        <v>0</v>
      </c>
    </row>
    <row r="80" spans="1:15">
      <c r="A80" s="11" t="s">
        <v>394</v>
      </c>
      <c r="B80" s="12" t="s">
        <v>275</v>
      </c>
      <c r="C80" s="13" t="s">
        <v>317</v>
      </c>
      <c r="D80" s="13">
        <v>77</v>
      </c>
      <c r="E80" s="14">
        <v>450</v>
      </c>
      <c r="F80" s="15">
        <v>0</v>
      </c>
      <c r="G80" s="15">
        <v>0</v>
      </c>
      <c r="H80" s="15">
        <v>0</v>
      </c>
      <c r="I80" s="15">
        <v>0</v>
      </c>
      <c r="J80" s="15">
        <v>0</v>
      </c>
      <c r="K80" s="15">
        <v>0</v>
      </c>
      <c r="L80" s="15">
        <v>0</v>
      </c>
      <c r="M80" s="15">
        <v>0</v>
      </c>
      <c r="N80" s="15">
        <v>0</v>
      </c>
      <c r="O80" s="15">
        <v>0</v>
      </c>
    </row>
    <row r="81" spans="1:15">
      <c r="A81" s="11" t="s">
        <v>395</v>
      </c>
      <c r="B81" s="12" t="s">
        <v>275</v>
      </c>
      <c r="C81" s="13" t="s">
        <v>317</v>
      </c>
      <c r="D81" s="13">
        <v>78</v>
      </c>
      <c r="E81" s="14">
        <v>450</v>
      </c>
      <c r="F81" s="15">
        <v>0</v>
      </c>
      <c r="G81" s="15">
        <v>0</v>
      </c>
      <c r="H81" s="15">
        <v>0</v>
      </c>
      <c r="I81" s="15">
        <v>0</v>
      </c>
      <c r="J81" s="15">
        <v>0</v>
      </c>
      <c r="K81" s="15">
        <v>0</v>
      </c>
      <c r="L81" s="15">
        <v>0</v>
      </c>
      <c r="M81" s="15">
        <v>0</v>
      </c>
      <c r="N81" s="15">
        <v>0</v>
      </c>
      <c r="O81" s="15">
        <v>0</v>
      </c>
    </row>
    <row r="82" spans="1:15">
      <c r="A82" s="11" t="s">
        <v>396</v>
      </c>
      <c r="B82" s="12" t="s">
        <v>275</v>
      </c>
      <c r="C82" s="13" t="s">
        <v>317</v>
      </c>
      <c r="D82" s="13">
        <v>79</v>
      </c>
      <c r="E82" s="14">
        <v>450</v>
      </c>
      <c r="F82" s="15">
        <v>0</v>
      </c>
      <c r="G82" s="15">
        <v>0</v>
      </c>
      <c r="H82" s="15">
        <v>0</v>
      </c>
      <c r="I82" s="15">
        <v>0</v>
      </c>
      <c r="J82" s="15">
        <v>0</v>
      </c>
      <c r="K82" s="15">
        <v>0</v>
      </c>
      <c r="L82" s="15">
        <v>0</v>
      </c>
      <c r="M82" s="15">
        <v>0</v>
      </c>
      <c r="N82" s="15">
        <v>0</v>
      </c>
      <c r="O82" s="15">
        <v>0</v>
      </c>
    </row>
    <row r="83" spans="1:15">
      <c r="A83" s="11" t="s">
        <v>397</v>
      </c>
      <c r="B83" s="12" t="s">
        <v>275</v>
      </c>
      <c r="C83" s="13" t="s">
        <v>317</v>
      </c>
      <c r="D83" s="13">
        <v>80</v>
      </c>
      <c r="E83" s="14">
        <v>450</v>
      </c>
      <c r="F83" s="15">
        <v>0</v>
      </c>
      <c r="G83" s="15">
        <v>0</v>
      </c>
      <c r="H83" s="15">
        <v>0</v>
      </c>
      <c r="I83" s="15">
        <v>0</v>
      </c>
      <c r="J83" s="15">
        <v>0</v>
      </c>
      <c r="K83" s="15">
        <v>0</v>
      </c>
      <c r="L83" s="15">
        <v>0</v>
      </c>
      <c r="M83" s="15">
        <v>0</v>
      </c>
      <c r="N83" s="15">
        <v>0</v>
      </c>
      <c r="O83" s="15">
        <v>0</v>
      </c>
    </row>
    <row r="84" spans="1:15">
      <c r="A84" s="11" t="s">
        <v>398</v>
      </c>
      <c r="B84" s="12" t="s">
        <v>275</v>
      </c>
      <c r="C84" s="13" t="s">
        <v>317</v>
      </c>
      <c r="D84" s="13">
        <v>81</v>
      </c>
      <c r="E84" s="14">
        <v>450</v>
      </c>
      <c r="F84" s="15">
        <v>0</v>
      </c>
      <c r="G84" s="15">
        <v>0</v>
      </c>
      <c r="H84" s="15">
        <v>0</v>
      </c>
      <c r="I84" s="15">
        <v>0</v>
      </c>
      <c r="J84" s="15">
        <v>0</v>
      </c>
      <c r="K84" s="15">
        <v>0</v>
      </c>
      <c r="L84" s="15">
        <v>0</v>
      </c>
      <c r="M84" s="15">
        <v>0</v>
      </c>
      <c r="N84" s="15">
        <v>0</v>
      </c>
      <c r="O84" s="15">
        <v>0</v>
      </c>
    </row>
    <row r="85" spans="1:15">
      <c r="A85" s="11" t="s">
        <v>399</v>
      </c>
      <c r="B85" s="12" t="s">
        <v>275</v>
      </c>
      <c r="C85" s="13" t="s">
        <v>317</v>
      </c>
      <c r="D85" s="13">
        <v>82</v>
      </c>
      <c r="E85" s="14">
        <v>450</v>
      </c>
      <c r="F85" s="15">
        <v>0</v>
      </c>
      <c r="G85" s="15">
        <v>0</v>
      </c>
      <c r="H85" s="15">
        <v>0</v>
      </c>
      <c r="I85" s="15">
        <v>0</v>
      </c>
      <c r="J85" s="15">
        <v>0</v>
      </c>
      <c r="K85" s="15">
        <v>0</v>
      </c>
      <c r="L85" s="15">
        <v>0</v>
      </c>
      <c r="M85" s="15">
        <v>0</v>
      </c>
      <c r="N85" s="15">
        <v>0</v>
      </c>
      <c r="O85" s="15">
        <v>0</v>
      </c>
    </row>
    <row r="86" spans="1:15">
      <c r="A86" s="11" t="s">
        <v>400</v>
      </c>
      <c r="B86" s="12" t="s">
        <v>275</v>
      </c>
      <c r="C86" s="13" t="s">
        <v>317</v>
      </c>
      <c r="D86" s="13">
        <v>83</v>
      </c>
      <c r="E86" s="14">
        <v>450</v>
      </c>
      <c r="F86" s="15">
        <v>0</v>
      </c>
      <c r="G86" s="15">
        <v>0</v>
      </c>
      <c r="H86" s="15">
        <v>0</v>
      </c>
      <c r="I86" s="15">
        <v>0</v>
      </c>
      <c r="J86" s="15">
        <v>0</v>
      </c>
      <c r="K86" s="15">
        <v>0</v>
      </c>
      <c r="L86" s="15">
        <v>0</v>
      </c>
      <c r="M86" s="15">
        <v>0</v>
      </c>
      <c r="N86" s="15">
        <v>0</v>
      </c>
      <c r="O86" s="15">
        <v>0</v>
      </c>
    </row>
    <row r="87" spans="1:15">
      <c r="A87" s="11" t="s">
        <v>401</v>
      </c>
      <c r="B87" s="12" t="s">
        <v>275</v>
      </c>
      <c r="C87" s="13" t="s">
        <v>317</v>
      </c>
      <c r="D87" s="13">
        <v>84</v>
      </c>
      <c r="E87" s="14">
        <v>450</v>
      </c>
      <c r="F87" s="15">
        <v>0</v>
      </c>
      <c r="G87" s="15">
        <v>0</v>
      </c>
      <c r="H87" s="15">
        <v>0</v>
      </c>
      <c r="I87" s="15">
        <v>0</v>
      </c>
      <c r="J87" s="15">
        <v>0</v>
      </c>
      <c r="K87" s="15">
        <v>0</v>
      </c>
      <c r="L87" s="15">
        <v>0</v>
      </c>
      <c r="M87" s="15">
        <v>0</v>
      </c>
      <c r="N87" s="15">
        <v>0</v>
      </c>
      <c r="O87" s="15">
        <v>0</v>
      </c>
    </row>
    <row r="88" spans="1:15">
      <c r="A88" s="11" t="s">
        <v>402</v>
      </c>
      <c r="B88" s="12" t="s">
        <v>275</v>
      </c>
      <c r="C88" s="13" t="s">
        <v>317</v>
      </c>
      <c r="D88" s="13">
        <v>85</v>
      </c>
      <c r="E88" s="14">
        <v>450</v>
      </c>
      <c r="F88" s="15">
        <v>0</v>
      </c>
      <c r="G88" s="15">
        <v>0</v>
      </c>
      <c r="H88" s="15">
        <v>0</v>
      </c>
      <c r="I88" s="15">
        <v>0</v>
      </c>
      <c r="J88" s="15">
        <v>0</v>
      </c>
      <c r="K88" s="15">
        <v>0</v>
      </c>
      <c r="L88" s="15">
        <v>0</v>
      </c>
      <c r="M88" s="15">
        <v>0</v>
      </c>
      <c r="N88" s="15">
        <v>0</v>
      </c>
      <c r="O88" s="15">
        <v>0</v>
      </c>
    </row>
    <row r="89" spans="1:15">
      <c r="A89" s="11" t="s">
        <v>403</v>
      </c>
      <c r="B89" s="12" t="s">
        <v>275</v>
      </c>
      <c r="C89" s="13" t="s">
        <v>404</v>
      </c>
      <c r="D89" s="13">
        <v>0</v>
      </c>
      <c r="E89" s="14">
        <v>450</v>
      </c>
      <c r="F89" s="15">
        <v>0</v>
      </c>
      <c r="G89" s="15">
        <v>0</v>
      </c>
      <c r="H89" s="15">
        <v>0</v>
      </c>
      <c r="I89" s="15">
        <v>0</v>
      </c>
      <c r="J89" s="15">
        <v>0</v>
      </c>
      <c r="K89" s="15">
        <v>0</v>
      </c>
      <c r="L89" s="15">
        <v>0</v>
      </c>
      <c r="M89" s="15">
        <v>0</v>
      </c>
      <c r="N89" s="15">
        <v>0</v>
      </c>
      <c r="O89" s="15">
        <v>0</v>
      </c>
    </row>
    <row r="90" spans="1:15">
      <c r="A90" s="11" t="s">
        <v>405</v>
      </c>
      <c r="B90" s="12" t="s">
        <v>275</v>
      </c>
      <c r="C90" s="13" t="s">
        <v>404</v>
      </c>
      <c r="D90" s="13">
        <v>1</v>
      </c>
      <c r="E90" s="14">
        <v>450</v>
      </c>
      <c r="F90" s="15">
        <v>0</v>
      </c>
      <c r="G90" s="15">
        <v>0</v>
      </c>
      <c r="H90" s="15">
        <v>0</v>
      </c>
      <c r="I90" s="15">
        <v>0</v>
      </c>
      <c r="J90" s="15">
        <v>0</v>
      </c>
      <c r="K90" s="15">
        <v>0</v>
      </c>
      <c r="L90" s="15">
        <v>0</v>
      </c>
      <c r="M90" s="15">
        <v>0</v>
      </c>
      <c r="N90" s="15">
        <v>0</v>
      </c>
      <c r="O90" s="15">
        <v>0</v>
      </c>
    </row>
    <row r="91" spans="1:15">
      <c r="A91" s="11" t="s">
        <v>406</v>
      </c>
      <c r="B91" s="12" t="s">
        <v>275</v>
      </c>
      <c r="C91" s="13" t="s">
        <v>404</v>
      </c>
      <c r="D91" s="13">
        <v>2</v>
      </c>
      <c r="E91" s="14">
        <v>450</v>
      </c>
      <c r="F91" s="15">
        <v>0</v>
      </c>
      <c r="G91" s="15">
        <v>0</v>
      </c>
      <c r="H91" s="15">
        <v>0</v>
      </c>
      <c r="I91" s="15">
        <v>0</v>
      </c>
      <c r="J91" s="15">
        <v>0</v>
      </c>
      <c r="K91" s="15">
        <v>0</v>
      </c>
      <c r="L91" s="15">
        <v>0</v>
      </c>
      <c r="M91" s="15">
        <v>0</v>
      </c>
      <c r="N91" s="15">
        <v>0</v>
      </c>
      <c r="O91" s="15">
        <v>0</v>
      </c>
    </row>
    <row r="92" spans="1:15">
      <c r="A92" s="11" t="s">
        <v>407</v>
      </c>
      <c r="B92" s="12" t="s">
        <v>275</v>
      </c>
      <c r="C92" s="13" t="s">
        <v>404</v>
      </c>
      <c r="D92" s="13">
        <v>3</v>
      </c>
      <c r="E92" s="14">
        <v>450</v>
      </c>
      <c r="F92" s="15">
        <v>0</v>
      </c>
      <c r="G92" s="15">
        <v>0</v>
      </c>
      <c r="H92" s="15">
        <v>0</v>
      </c>
      <c r="I92" s="15">
        <v>0</v>
      </c>
      <c r="J92" s="15">
        <v>0</v>
      </c>
      <c r="K92" s="15">
        <v>0</v>
      </c>
      <c r="L92" s="15">
        <v>0</v>
      </c>
      <c r="M92" s="15">
        <v>0</v>
      </c>
      <c r="N92" s="15">
        <v>0</v>
      </c>
      <c r="O92" s="15">
        <v>0</v>
      </c>
    </row>
    <row r="93" spans="1:15">
      <c r="A93" s="11" t="s">
        <v>408</v>
      </c>
      <c r="B93" s="12" t="s">
        <v>275</v>
      </c>
      <c r="C93" s="13" t="s">
        <v>404</v>
      </c>
      <c r="D93" s="13">
        <v>4</v>
      </c>
      <c r="E93" s="14">
        <v>450</v>
      </c>
      <c r="F93" s="15">
        <v>0</v>
      </c>
      <c r="G93" s="15">
        <v>0</v>
      </c>
      <c r="H93" s="15">
        <v>0</v>
      </c>
      <c r="I93" s="15">
        <v>0</v>
      </c>
      <c r="J93" s="15">
        <v>0</v>
      </c>
      <c r="K93" s="15">
        <v>0</v>
      </c>
      <c r="L93" s="15">
        <v>0</v>
      </c>
      <c r="M93" s="15">
        <v>0</v>
      </c>
      <c r="N93" s="15">
        <v>0</v>
      </c>
      <c r="O93" s="15">
        <v>0</v>
      </c>
    </row>
    <row r="94" spans="1:15">
      <c r="A94" s="11" t="s">
        <v>409</v>
      </c>
      <c r="B94" s="12" t="s">
        <v>275</v>
      </c>
      <c r="C94" s="13" t="s">
        <v>404</v>
      </c>
      <c r="D94" s="13">
        <v>5</v>
      </c>
      <c r="E94" s="14">
        <v>450</v>
      </c>
      <c r="F94" s="15">
        <v>0</v>
      </c>
      <c r="G94" s="15">
        <v>0</v>
      </c>
      <c r="H94" s="15">
        <v>0</v>
      </c>
      <c r="I94" s="15">
        <v>0</v>
      </c>
      <c r="J94" s="15">
        <v>0</v>
      </c>
      <c r="K94" s="15">
        <v>0</v>
      </c>
      <c r="L94" s="15">
        <v>0</v>
      </c>
      <c r="M94" s="15">
        <v>0</v>
      </c>
      <c r="N94" s="15">
        <v>0</v>
      </c>
      <c r="O94" s="15">
        <v>0</v>
      </c>
    </row>
    <row r="95" spans="1:15">
      <c r="A95" s="11" t="s">
        <v>410</v>
      </c>
      <c r="B95" s="12" t="s">
        <v>275</v>
      </c>
      <c r="C95" s="13" t="s">
        <v>404</v>
      </c>
      <c r="D95" s="13">
        <v>6</v>
      </c>
      <c r="E95" s="14">
        <v>450</v>
      </c>
      <c r="F95" s="15">
        <v>0</v>
      </c>
      <c r="G95" s="15">
        <v>0</v>
      </c>
      <c r="H95" s="15">
        <v>0</v>
      </c>
      <c r="I95" s="15">
        <v>0</v>
      </c>
      <c r="J95" s="15">
        <v>0</v>
      </c>
      <c r="K95" s="15">
        <v>0</v>
      </c>
      <c r="L95" s="15">
        <v>0</v>
      </c>
      <c r="M95" s="15">
        <v>0</v>
      </c>
      <c r="N95" s="15">
        <v>0</v>
      </c>
      <c r="O95" s="15">
        <v>0</v>
      </c>
    </row>
    <row r="96" spans="1:15">
      <c r="A96" s="11" t="s">
        <v>411</v>
      </c>
      <c r="B96" s="12" t="s">
        <v>275</v>
      </c>
      <c r="C96" s="13" t="s">
        <v>404</v>
      </c>
      <c r="D96" s="13">
        <v>7</v>
      </c>
      <c r="E96" s="14">
        <v>450</v>
      </c>
      <c r="F96" s="15">
        <v>0</v>
      </c>
      <c r="G96" s="15">
        <v>0</v>
      </c>
      <c r="H96" s="15">
        <v>0</v>
      </c>
      <c r="I96" s="15">
        <v>0</v>
      </c>
      <c r="J96" s="15">
        <v>0</v>
      </c>
      <c r="K96" s="15">
        <v>0</v>
      </c>
      <c r="L96" s="15">
        <v>0</v>
      </c>
      <c r="M96" s="15">
        <v>0</v>
      </c>
      <c r="N96" s="15">
        <v>0</v>
      </c>
      <c r="O96" s="15">
        <v>0</v>
      </c>
    </row>
    <row r="97" spans="1:15">
      <c r="A97" s="11" t="s">
        <v>412</v>
      </c>
      <c r="B97" s="12" t="s">
        <v>275</v>
      </c>
      <c r="C97" s="13" t="s">
        <v>404</v>
      </c>
      <c r="D97" s="13">
        <v>8</v>
      </c>
      <c r="E97" s="14">
        <v>450</v>
      </c>
      <c r="F97" s="15">
        <v>0</v>
      </c>
      <c r="G97" s="15">
        <v>0</v>
      </c>
      <c r="H97" s="15">
        <v>0</v>
      </c>
      <c r="I97" s="15">
        <v>0</v>
      </c>
      <c r="J97" s="15">
        <v>0</v>
      </c>
      <c r="K97" s="15">
        <v>0</v>
      </c>
      <c r="L97" s="15">
        <v>0</v>
      </c>
      <c r="M97" s="15">
        <v>0</v>
      </c>
      <c r="N97" s="15">
        <v>0</v>
      </c>
      <c r="O97" s="15">
        <v>0</v>
      </c>
    </row>
    <row r="98" spans="1:15">
      <c r="A98" s="11" t="s">
        <v>413</v>
      </c>
      <c r="B98" s="12" t="s">
        <v>275</v>
      </c>
      <c r="C98" s="13" t="s">
        <v>404</v>
      </c>
      <c r="D98" s="13">
        <v>9</v>
      </c>
      <c r="E98" s="14">
        <v>450</v>
      </c>
      <c r="F98" s="15">
        <v>0</v>
      </c>
      <c r="G98" s="15">
        <v>0</v>
      </c>
      <c r="H98" s="15">
        <v>0</v>
      </c>
      <c r="I98" s="15">
        <v>0</v>
      </c>
      <c r="J98" s="15">
        <v>0</v>
      </c>
      <c r="K98" s="15">
        <v>0</v>
      </c>
      <c r="L98" s="15">
        <v>0</v>
      </c>
      <c r="M98" s="15">
        <v>0</v>
      </c>
      <c r="N98" s="15">
        <v>0</v>
      </c>
      <c r="O98" s="15">
        <v>0</v>
      </c>
    </row>
    <row r="99" spans="1:15">
      <c r="A99" s="11" t="s">
        <v>414</v>
      </c>
      <c r="B99" s="12" t="s">
        <v>275</v>
      </c>
      <c r="C99" s="13" t="s">
        <v>404</v>
      </c>
      <c r="D99" s="13">
        <v>10</v>
      </c>
      <c r="E99" s="14">
        <v>450</v>
      </c>
      <c r="F99" s="15">
        <v>0</v>
      </c>
      <c r="G99" s="15">
        <v>0</v>
      </c>
      <c r="H99" s="15">
        <v>0</v>
      </c>
      <c r="I99" s="15">
        <v>0</v>
      </c>
      <c r="J99" s="15">
        <v>0</v>
      </c>
      <c r="K99" s="15">
        <v>0</v>
      </c>
      <c r="L99" s="15">
        <v>0</v>
      </c>
      <c r="M99" s="15">
        <v>0</v>
      </c>
      <c r="N99" s="15">
        <v>0</v>
      </c>
      <c r="O99" s="15">
        <v>0</v>
      </c>
    </row>
    <row r="100" spans="1:15">
      <c r="A100" s="11" t="s">
        <v>415</v>
      </c>
      <c r="B100" s="12" t="s">
        <v>275</v>
      </c>
      <c r="C100" s="13" t="s">
        <v>404</v>
      </c>
      <c r="D100" s="13">
        <v>11</v>
      </c>
      <c r="E100" s="14">
        <v>450</v>
      </c>
      <c r="F100" s="15">
        <v>0</v>
      </c>
      <c r="G100" s="15">
        <v>0</v>
      </c>
      <c r="H100" s="15">
        <v>0</v>
      </c>
      <c r="I100" s="15">
        <v>0</v>
      </c>
      <c r="J100" s="15">
        <v>0</v>
      </c>
      <c r="K100" s="15">
        <v>0</v>
      </c>
      <c r="L100" s="15">
        <v>0</v>
      </c>
      <c r="M100" s="15">
        <v>0</v>
      </c>
      <c r="N100" s="15">
        <v>0</v>
      </c>
      <c r="O100" s="15">
        <v>0</v>
      </c>
    </row>
    <row r="101" spans="1:15">
      <c r="A101" s="11" t="s">
        <v>416</v>
      </c>
      <c r="B101" s="12" t="s">
        <v>275</v>
      </c>
      <c r="C101" s="13" t="s">
        <v>404</v>
      </c>
      <c r="D101" s="13">
        <v>12</v>
      </c>
      <c r="E101" s="14">
        <v>450</v>
      </c>
      <c r="F101" s="15">
        <v>0</v>
      </c>
      <c r="G101" s="15">
        <v>0</v>
      </c>
      <c r="H101" s="15">
        <v>0</v>
      </c>
      <c r="I101" s="15">
        <v>0</v>
      </c>
      <c r="J101" s="15">
        <v>0</v>
      </c>
      <c r="K101" s="15">
        <v>0</v>
      </c>
      <c r="L101" s="15">
        <v>0</v>
      </c>
      <c r="M101" s="15">
        <v>0</v>
      </c>
      <c r="N101" s="15">
        <v>0</v>
      </c>
      <c r="O101" s="15">
        <v>0</v>
      </c>
    </row>
    <row r="102" spans="1:15">
      <c r="A102" s="11" t="s">
        <v>417</v>
      </c>
      <c r="B102" s="12" t="s">
        <v>275</v>
      </c>
      <c r="C102" s="13" t="s">
        <v>404</v>
      </c>
      <c r="D102" s="13">
        <v>13</v>
      </c>
      <c r="E102" s="14">
        <v>450</v>
      </c>
      <c r="F102" s="15">
        <v>0</v>
      </c>
      <c r="G102" s="15">
        <v>0</v>
      </c>
      <c r="H102" s="15">
        <v>0</v>
      </c>
      <c r="I102" s="15">
        <v>0</v>
      </c>
      <c r="J102" s="15">
        <v>0</v>
      </c>
      <c r="K102" s="15">
        <v>0</v>
      </c>
      <c r="L102" s="15">
        <v>0</v>
      </c>
      <c r="M102" s="15">
        <v>0</v>
      </c>
      <c r="N102" s="15">
        <v>0</v>
      </c>
      <c r="O102" s="15">
        <v>0</v>
      </c>
    </row>
    <row r="103" spans="1:15">
      <c r="A103" s="11" t="s">
        <v>418</v>
      </c>
      <c r="B103" s="12" t="s">
        <v>275</v>
      </c>
      <c r="C103" s="13" t="s">
        <v>404</v>
      </c>
      <c r="D103" s="13">
        <v>14</v>
      </c>
      <c r="E103" s="14">
        <v>450</v>
      </c>
      <c r="F103" s="15">
        <v>0</v>
      </c>
      <c r="G103" s="15">
        <v>0</v>
      </c>
      <c r="H103" s="15">
        <v>0</v>
      </c>
      <c r="I103" s="15">
        <v>0</v>
      </c>
      <c r="J103" s="15">
        <v>0</v>
      </c>
      <c r="K103" s="15">
        <v>0</v>
      </c>
      <c r="L103" s="15">
        <v>0</v>
      </c>
      <c r="M103" s="15">
        <v>0</v>
      </c>
      <c r="N103" s="15">
        <v>0</v>
      </c>
      <c r="O103" s="15">
        <v>0</v>
      </c>
    </row>
    <row r="104" spans="1:15">
      <c r="A104" s="11" t="s">
        <v>419</v>
      </c>
      <c r="B104" s="12" t="s">
        <v>275</v>
      </c>
      <c r="C104" s="13" t="s">
        <v>404</v>
      </c>
      <c r="D104" s="13">
        <v>15</v>
      </c>
      <c r="E104" s="14">
        <v>450</v>
      </c>
      <c r="F104" s="15">
        <v>0</v>
      </c>
      <c r="G104" s="15">
        <v>0</v>
      </c>
      <c r="H104" s="15">
        <v>0</v>
      </c>
      <c r="I104" s="15">
        <v>0</v>
      </c>
      <c r="J104" s="15">
        <v>0</v>
      </c>
      <c r="K104" s="15">
        <v>0</v>
      </c>
      <c r="L104" s="15">
        <v>0</v>
      </c>
      <c r="M104" s="15">
        <v>0</v>
      </c>
      <c r="N104" s="15">
        <v>0</v>
      </c>
      <c r="O104" s="15">
        <v>0</v>
      </c>
    </row>
    <row r="105" spans="1:15">
      <c r="A105" s="11" t="s">
        <v>420</v>
      </c>
      <c r="B105" s="12" t="s">
        <v>275</v>
      </c>
      <c r="C105" s="13" t="s">
        <v>404</v>
      </c>
      <c r="D105" s="13">
        <v>16</v>
      </c>
      <c r="E105" s="14">
        <v>450</v>
      </c>
      <c r="F105" s="15">
        <v>0</v>
      </c>
      <c r="G105" s="15">
        <v>0</v>
      </c>
      <c r="H105" s="15">
        <v>0</v>
      </c>
      <c r="I105" s="15">
        <v>0</v>
      </c>
      <c r="J105" s="15">
        <v>0</v>
      </c>
      <c r="K105" s="15">
        <v>0</v>
      </c>
      <c r="L105" s="15">
        <v>0</v>
      </c>
      <c r="M105" s="15">
        <v>0</v>
      </c>
      <c r="N105" s="15">
        <v>0</v>
      </c>
      <c r="O105" s="15">
        <v>0</v>
      </c>
    </row>
    <row r="106" spans="1:15">
      <c r="A106" s="11" t="s">
        <v>421</v>
      </c>
      <c r="B106" s="12" t="s">
        <v>275</v>
      </c>
      <c r="C106" s="13" t="s">
        <v>404</v>
      </c>
      <c r="D106" s="13">
        <v>17</v>
      </c>
      <c r="E106" s="14">
        <v>450</v>
      </c>
      <c r="F106" s="15">
        <v>0</v>
      </c>
      <c r="G106" s="15">
        <v>0</v>
      </c>
      <c r="H106" s="15">
        <v>0</v>
      </c>
      <c r="I106" s="15">
        <v>0</v>
      </c>
      <c r="J106" s="15">
        <v>0</v>
      </c>
      <c r="K106" s="15">
        <v>0</v>
      </c>
      <c r="L106" s="15">
        <v>0</v>
      </c>
      <c r="M106" s="15">
        <v>0</v>
      </c>
      <c r="N106" s="15">
        <v>0</v>
      </c>
      <c r="O106" s="15">
        <v>0</v>
      </c>
    </row>
    <row r="107" spans="1:15">
      <c r="A107" s="11" t="s">
        <v>422</v>
      </c>
      <c r="B107" s="12" t="s">
        <v>275</v>
      </c>
      <c r="C107" s="13" t="s">
        <v>404</v>
      </c>
      <c r="D107" s="13">
        <v>18</v>
      </c>
      <c r="E107" s="14">
        <v>450</v>
      </c>
      <c r="F107" s="15">
        <v>0</v>
      </c>
      <c r="G107" s="15">
        <v>0</v>
      </c>
      <c r="H107" s="15">
        <v>0</v>
      </c>
      <c r="I107" s="15">
        <v>0</v>
      </c>
      <c r="J107" s="15">
        <v>0</v>
      </c>
      <c r="K107" s="15">
        <v>0</v>
      </c>
      <c r="L107" s="15">
        <v>0</v>
      </c>
      <c r="M107" s="15">
        <v>0</v>
      </c>
      <c r="N107" s="15">
        <v>0</v>
      </c>
      <c r="O107" s="15">
        <v>0</v>
      </c>
    </row>
    <row r="108" spans="1:15">
      <c r="A108" s="11" t="s">
        <v>423</v>
      </c>
      <c r="B108" s="12" t="s">
        <v>275</v>
      </c>
      <c r="C108" s="13" t="s">
        <v>404</v>
      </c>
      <c r="D108" s="13">
        <v>19</v>
      </c>
      <c r="E108" s="14">
        <v>450</v>
      </c>
      <c r="F108" s="15">
        <v>0</v>
      </c>
      <c r="G108" s="15">
        <v>0</v>
      </c>
      <c r="H108" s="15">
        <v>0</v>
      </c>
      <c r="I108" s="15">
        <v>0</v>
      </c>
      <c r="J108" s="15">
        <v>0</v>
      </c>
      <c r="K108" s="15">
        <v>0</v>
      </c>
      <c r="L108" s="15">
        <v>0</v>
      </c>
      <c r="M108" s="15">
        <v>0</v>
      </c>
      <c r="N108" s="15">
        <v>0</v>
      </c>
      <c r="O108" s="15">
        <v>0</v>
      </c>
    </row>
    <row r="109" spans="1:15">
      <c r="A109" s="11" t="s">
        <v>424</v>
      </c>
      <c r="B109" s="12" t="s">
        <v>275</v>
      </c>
      <c r="C109" s="13" t="s">
        <v>404</v>
      </c>
      <c r="D109" s="13">
        <v>20</v>
      </c>
      <c r="E109" s="14">
        <v>450</v>
      </c>
      <c r="F109" s="15">
        <v>0</v>
      </c>
      <c r="G109" s="15">
        <v>0</v>
      </c>
      <c r="H109" s="15">
        <v>0</v>
      </c>
      <c r="I109" s="15">
        <v>0</v>
      </c>
      <c r="J109" s="15">
        <v>0</v>
      </c>
      <c r="K109" s="15">
        <v>0</v>
      </c>
      <c r="L109" s="15">
        <v>0</v>
      </c>
      <c r="M109" s="15">
        <v>0</v>
      </c>
      <c r="N109" s="15">
        <v>0</v>
      </c>
      <c r="O109" s="15">
        <v>0</v>
      </c>
    </row>
    <row r="110" spans="1:15">
      <c r="A110" s="11" t="s">
        <v>425</v>
      </c>
      <c r="B110" s="12" t="s">
        <v>275</v>
      </c>
      <c r="C110" s="13" t="s">
        <v>404</v>
      </c>
      <c r="D110" s="13">
        <v>21</v>
      </c>
      <c r="E110" s="14">
        <v>450</v>
      </c>
      <c r="F110" s="15">
        <v>0</v>
      </c>
      <c r="G110" s="15">
        <v>0</v>
      </c>
      <c r="H110" s="15">
        <v>0</v>
      </c>
      <c r="I110" s="15">
        <v>0</v>
      </c>
      <c r="J110" s="15">
        <v>0</v>
      </c>
      <c r="K110" s="15">
        <v>0</v>
      </c>
      <c r="L110" s="15">
        <v>0</v>
      </c>
      <c r="M110" s="15">
        <v>0</v>
      </c>
      <c r="N110" s="15">
        <v>0</v>
      </c>
      <c r="O110" s="15">
        <v>0</v>
      </c>
    </row>
    <row r="111" spans="1:15">
      <c r="A111" s="11" t="s">
        <v>426</v>
      </c>
      <c r="B111" s="12" t="s">
        <v>275</v>
      </c>
      <c r="C111" s="13" t="s">
        <v>404</v>
      </c>
      <c r="D111" s="13">
        <v>22</v>
      </c>
      <c r="E111" s="14">
        <v>450</v>
      </c>
      <c r="F111" s="15">
        <v>0</v>
      </c>
      <c r="G111" s="15">
        <v>0</v>
      </c>
      <c r="H111" s="15">
        <v>0</v>
      </c>
      <c r="I111" s="15">
        <v>0</v>
      </c>
      <c r="J111" s="15">
        <v>0</v>
      </c>
      <c r="K111" s="15">
        <v>0</v>
      </c>
      <c r="L111" s="15">
        <v>0</v>
      </c>
      <c r="M111" s="15">
        <v>0</v>
      </c>
      <c r="N111" s="15">
        <v>0</v>
      </c>
      <c r="O111" s="15">
        <v>0</v>
      </c>
    </row>
    <row r="112" spans="1:15">
      <c r="A112" s="11" t="s">
        <v>427</v>
      </c>
      <c r="B112" s="12" t="s">
        <v>275</v>
      </c>
      <c r="C112" s="13" t="s">
        <v>404</v>
      </c>
      <c r="D112" s="13">
        <v>23</v>
      </c>
      <c r="E112" s="14">
        <v>450</v>
      </c>
      <c r="F112" s="15">
        <v>0</v>
      </c>
      <c r="G112" s="15">
        <v>0</v>
      </c>
      <c r="H112" s="15">
        <v>0</v>
      </c>
      <c r="I112" s="15">
        <v>0</v>
      </c>
      <c r="J112" s="15">
        <v>0</v>
      </c>
      <c r="K112" s="15">
        <v>0</v>
      </c>
      <c r="L112" s="15">
        <v>0</v>
      </c>
      <c r="M112" s="15">
        <v>0</v>
      </c>
      <c r="N112" s="15">
        <v>0</v>
      </c>
      <c r="O112" s="15">
        <v>0</v>
      </c>
    </row>
    <row r="113" spans="1:15">
      <c r="A113" s="11" t="s">
        <v>428</v>
      </c>
      <c r="B113" s="12" t="s">
        <v>275</v>
      </c>
      <c r="C113" s="13" t="s">
        <v>404</v>
      </c>
      <c r="D113" s="13">
        <v>24</v>
      </c>
      <c r="E113" s="14">
        <v>450</v>
      </c>
      <c r="F113" s="15">
        <v>0</v>
      </c>
      <c r="G113" s="15">
        <v>0</v>
      </c>
      <c r="H113" s="15">
        <v>0</v>
      </c>
      <c r="I113" s="15">
        <v>0</v>
      </c>
      <c r="J113" s="15">
        <v>0</v>
      </c>
      <c r="K113" s="15">
        <v>0</v>
      </c>
      <c r="L113" s="15">
        <v>0</v>
      </c>
      <c r="M113" s="15">
        <v>0</v>
      </c>
      <c r="N113" s="15">
        <v>0</v>
      </c>
      <c r="O113" s="15">
        <v>0</v>
      </c>
    </row>
    <row r="114" spans="1:15">
      <c r="A114" s="11" t="s">
        <v>429</v>
      </c>
      <c r="B114" s="12" t="s">
        <v>275</v>
      </c>
      <c r="C114" s="13" t="s">
        <v>404</v>
      </c>
      <c r="D114" s="13">
        <v>25</v>
      </c>
      <c r="E114" s="14">
        <v>450</v>
      </c>
      <c r="F114" s="15">
        <v>0</v>
      </c>
      <c r="G114" s="15">
        <v>0</v>
      </c>
      <c r="H114" s="15">
        <v>0</v>
      </c>
      <c r="I114" s="15">
        <v>0</v>
      </c>
      <c r="J114" s="15">
        <v>0</v>
      </c>
      <c r="K114" s="15">
        <v>0</v>
      </c>
      <c r="L114" s="15">
        <v>0</v>
      </c>
      <c r="M114" s="15">
        <v>0</v>
      </c>
      <c r="N114" s="15">
        <v>0</v>
      </c>
      <c r="O114" s="15">
        <v>0</v>
      </c>
    </row>
    <row r="115" spans="1:15">
      <c r="A115" s="11" t="s">
        <v>430</v>
      </c>
      <c r="B115" s="12" t="s">
        <v>275</v>
      </c>
      <c r="C115" s="13" t="s">
        <v>404</v>
      </c>
      <c r="D115" s="13">
        <v>26</v>
      </c>
      <c r="E115" s="14">
        <v>450</v>
      </c>
      <c r="F115" s="15">
        <v>0</v>
      </c>
      <c r="G115" s="15">
        <v>0</v>
      </c>
      <c r="H115" s="15">
        <v>0</v>
      </c>
      <c r="I115" s="15">
        <v>0</v>
      </c>
      <c r="J115" s="15">
        <v>0</v>
      </c>
      <c r="K115" s="15">
        <v>0</v>
      </c>
      <c r="L115" s="15">
        <v>0</v>
      </c>
      <c r="M115" s="15">
        <v>0</v>
      </c>
      <c r="N115" s="15">
        <v>0</v>
      </c>
      <c r="O115" s="15">
        <v>0</v>
      </c>
    </row>
    <row r="116" spans="1:15">
      <c r="A116" s="11" t="s">
        <v>431</v>
      </c>
      <c r="B116" s="12" t="s">
        <v>275</v>
      </c>
      <c r="C116" s="13" t="s">
        <v>404</v>
      </c>
      <c r="D116" s="13">
        <v>27</v>
      </c>
      <c r="E116" s="14">
        <v>450</v>
      </c>
      <c r="F116" s="15">
        <v>0</v>
      </c>
      <c r="G116" s="15">
        <v>0</v>
      </c>
      <c r="H116" s="15">
        <v>0</v>
      </c>
      <c r="I116" s="15">
        <v>0</v>
      </c>
      <c r="J116" s="15">
        <v>0</v>
      </c>
      <c r="K116" s="15">
        <v>0</v>
      </c>
      <c r="L116" s="15">
        <v>0</v>
      </c>
      <c r="M116" s="15">
        <v>0</v>
      </c>
      <c r="N116" s="15">
        <v>0</v>
      </c>
      <c r="O116" s="15">
        <v>0</v>
      </c>
    </row>
    <row r="117" spans="1:15">
      <c r="A117" s="11" t="s">
        <v>432</v>
      </c>
      <c r="B117" s="12" t="s">
        <v>275</v>
      </c>
      <c r="C117" s="13" t="s">
        <v>404</v>
      </c>
      <c r="D117" s="13">
        <v>28</v>
      </c>
      <c r="E117" s="14">
        <v>450</v>
      </c>
      <c r="F117" s="15">
        <v>0</v>
      </c>
      <c r="G117" s="15">
        <v>0</v>
      </c>
      <c r="H117" s="15">
        <v>0</v>
      </c>
      <c r="I117" s="15">
        <v>0</v>
      </c>
      <c r="J117" s="15">
        <v>0</v>
      </c>
      <c r="K117" s="15">
        <v>0</v>
      </c>
      <c r="L117" s="15">
        <v>0</v>
      </c>
      <c r="M117" s="15">
        <v>0</v>
      </c>
      <c r="N117" s="15">
        <v>0</v>
      </c>
      <c r="O117" s="15">
        <v>0</v>
      </c>
    </row>
    <row r="118" spans="1:15">
      <c r="A118" s="11" t="s">
        <v>433</v>
      </c>
      <c r="B118" s="12" t="s">
        <v>275</v>
      </c>
      <c r="C118" s="13" t="s">
        <v>404</v>
      </c>
      <c r="D118" s="13">
        <v>29</v>
      </c>
      <c r="E118" s="14">
        <v>450</v>
      </c>
      <c r="F118" s="15">
        <v>0</v>
      </c>
      <c r="G118" s="15">
        <v>0</v>
      </c>
      <c r="H118" s="15">
        <v>0</v>
      </c>
      <c r="I118" s="15">
        <v>0</v>
      </c>
      <c r="J118" s="15">
        <v>0</v>
      </c>
      <c r="K118" s="15">
        <v>0</v>
      </c>
      <c r="L118" s="15">
        <v>0</v>
      </c>
      <c r="M118" s="15">
        <v>0</v>
      </c>
      <c r="N118" s="15">
        <v>0</v>
      </c>
      <c r="O118" s="15">
        <v>0</v>
      </c>
    </row>
    <row r="119" spans="1:15">
      <c r="A119" s="11" t="s">
        <v>434</v>
      </c>
      <c r="B119" s="12" t="s">
        <v>275</v>
      </c>
      <c r="C119" s="13" t="s">
        <v>404</v>
      </c>
      <c r="D119" s="13">
        <v>30</v>
      </c>
      <c r="E119" s="14">
        <v>450</v>
      </c>
      <c r="F119" s="15">
        <v>0</v>
      </c>
      <c r="G119" s="15">
        <v>0</v>
      </c>
      <c r="H119" s="15">
        <v>0</v>
      </c>
      <c r="I119" s="15">
        <v>0</v>
      </c>
      <c r="J119" s="15">
        <v>0</v>
      </c>
      <c r="K119" s="15">
        <v>0</v>
      </c>
      <c r="L119" s="15">
        <v>0</v>
      </c>
      <c r="M119" s="15">
        <v>0</v>
      </c>
      <c r="N119" s="15">
        <v>0</v>
      </c>
      <c r="O119" s="15">
        <v>0</v>
      </c>
    </row>
    <row r="120" spans="1:15">
      <c r="A120" s="11" t="s">
        <v>435</v>
      </c>
      <c r="B120" s="12" t="s">
        <v>275</v>
      </c>
      <c r="C120" s="13" t="s">
        <v>404</v>
      </c>
      <c r="D120" s="13">
        <v>31</v>
      </c>
      <c r="E120" s="14">
        <v>450</v>
      </c>
      <c r="F120" s="15">
        <v>0</v>
      </c>
      <c r="G120" s="15">
        <v>0</v>
      </c>
      <c r="H120" s="15">
        <v>0</v>
      </c>
      <c r="I120" s="15">
        <v>0</v>
      </c>
      <c r="J120" s="15">
        <v>0</v>
      </c>
      <c r="K120" s="15">
        <v>0</v>
      </c>
      <c r="L120" s="15">
        <v>0</v>
      </c>
      <c r="M120" s="15">
        <v>0</v>
      </c>
      <c r="N120" s="15">
        <v>0</v>
      </c>
      <c r="O120" s="15">
        <v>0</v>
      </c>
    </row>
    <row r="121" spans="1:15">
      <c r="A121" s="11" t="s">
        <v>436</v>
      </c>
      <c r="B121" s="12" t="s">
        <v>275</v>
      </c>
      <c r="C121" s="13" t="s">
        <v>404</v>
      </c>
      <c r="D121" s="13">
        <v>32</v>
      </c>
      <c r="E121" s="14">
        <v>450</v>
      </c>
      <c r="F121" s="15">
        <v>0</v>
      </c>
      <c r="G121" s="15">
        <v>0</v>
      </c>
      <c r="H121" s="15">
        <v>0</v>
      </c>
      <c r="I121" s="15">
        <v>0</v>
      </c>
      <c r="J121" s="15">
        <v>0</v>
      </c>
      <c r="K121" s="15">
        <v>0</v>
      </c>
      <c r="L121" s="15">
        <v>0</v>
      </c>
      <c r="M121" s="15">
        <v>0</v>
      </c>
      <c r="N121" s="15">
        <v>0</v>
      </c>
      <c r="O121" s="15">
        <v>0</v>
      </c>
    </row>
    <row r="122" spans="1:15">
      <c r="A122" s="11" t="s">
        <v>437</v>
      </c>
      <c r="B122" s="12" t="s">
        <v>275</v>
      </c>
      <c r="C122" s="13" t="s">
        <v>404</v>
      </c>
      <c r="D122" s="13">
        <v>33</v>
      </c>
      <c r="E122" s="14">
        <v>450</v>
      </c>
      <c r="F122" s="15">
        <v>0</v>
      </c>
      <c r="G122" s="15">
        <v>0</v>
      </c>
      <c r="H122" s="15">
        <v>0</v>
      </c>
      <c r="I122" s="15">
        <v>0</v>
      </c>
      <c r="J122" s="15">
        <v>0</v>
      </c>
      <c r="K122" s="15">
        <v>0</v>
      </c>
      <c r="L122" s="15">
        <v>0</v>
      </c>
      <c r="M122" s="15">
        <v>0</v>
      </c>
      <c r="N122" s="15">
        <v>0</v>
      </c>
      <c r="O122" s="15">
        <v>0</v>
      </c>
    </row>
    <row r="123" spans="1:15">
      <c r="A123" s="11" t="s">
        <v>438</v>
      </c>
      <c r="B123" s="12" t="s">
        <v>275</v>
      </c>
      <c r="C123" s="13" t="s">
        <v>404</v>
      </c>
      <c r="D123" s="13">
        <v>34</v>
      </c>
      <c r="E123" s="14">
        <v>450</v>
      </c>
      <c r="F123" s="15">
        <v>0</v>
      </c>
      <c r="G123" s="15">
        <v>0</v>
      </c>
      <c r="H123" s="15">
        <v>0</v>
      </c>
      <c r="I123" s="15">
        <v>0</v>
      </c>
      <c r="J123" s="15">
        <v>0</v>
      </c>
      <c r="K123" s="15">
        <v>0</v>
      </c>
      <c r="L123" s="15">
        <v>0</v>
      </c>
      <c r="M123" s="15">
        <v>0</v>
      </c>
      <c r="N123" s="15">
        <v>0</v>
      </c>
      <c r="O123" s="15">
        <v>0</v>
      </c>
    </row>
    <row r="124" spans="1:15">
      <c r="A124" s="11" t="s">
        <v>439</v>
      </c>
      <c r="B124" s="12" t="s">
        <v>275</v>
      </c>
      <c r="C124" s="13" t="s">
        <v>404</v>
      </c>
      <c r="D124" s="13">
        <v>35</v>
      </c>
      <c r="E124" s="14">
        <v>450</v>
      </c>
      <c r="F124" s="15">
        <v>0</v>
      </c>
      <c r="G124" s="15">
        <v>0</v>
      </c>
      <c r="H124" s="15">
        <v>0</v>
      </c>
      <c r="I124" s="15">
        <v>0</v>
      </c>
      <c r="J124" s="15">
        <v>0</v>
      </c>
      <c r="K124" s="15">
        <v>0</v>
      </c>
      <c r="L124" s="15">
        <v>0</v>
      </c>
      <c r="M124" s="15">
        <v>0</v>
      </c>
      <c r="N124" s="15">
        <v>0</v>
      </c>
      <c r="O124" s="15">
        <v>0</v>
      </c>
    </row>
    <row r="125" spans="1:15">
      <c r="A125" s="11" t="s">
        <v>440</v>
      </c>
      <c r="B125" s="12" t="s">
        <v>275</v>
      </c>
      <c r="C125" s="13" t="s">
        <v>404</v>
      </c>
      <c r="D125" s="13">
        <v>36</v>
      </c>
      <c r="E125" s="14">
        <v>450</v>
      </c>
      <c r="F125" s="15">
        <v>0</v>
      </c>
      <c r="G125" s="15">
        <v>0</v>
      </c>
      <c r="H125" s="15">
        <v>0</v>
      </c>
      <c r="I125" s="15">
        <v>0</v>
      </c>
      <c r="J125" s="15">
        <v>0</v>
      </c>
      <c r="K125" s="15">
        <v>0</v>
      </c>
      <c r="L125" s="15">
        <v>0</v>
      </c>
      <c r="M125" s="15">
        <v>0</v>
      </c>
      <c r="N125" s="15">
        <v>0</v>
      </c>
      <c r="O125" s="15">
        <v>0</v>
      </c>
    </row>
    <row r="126" spans="1:15">
      <c r="A126" s="11" t="s">
        <v>441</v>
      </c>
      <c r="B126" s="12" t="s">
        <v>275</v>
      </c>
      <c r="C126" s="13" t="s">
        <v>404</v>
      </c>
      <c r="D126" s="13">
        <v>37</v>
      </c>
      <c r="E126" s="14">
        <v>450</v>
      </c>
      <c r="F126" s="15">
        <v>0</v>
      </c>
      <c r="G126" s="15">
        <v>0</v>
      </c>
      <c r="H126" s="15">
        <v>0</v>
      </c>
      <c r="I126" s="15">
        <v>0</v>
      </c>
      <c r="J126" s="15">
        <v>0</v>
      </c>
      <c r="K126" s="15">
        <v>0</v>
      </c>
      <c r="L126" s="15">
        <v>0</v>
      </c>
      <c r="M126" s="15">
        <v>0</v>
      </c>
      <c r="N126" s="15">
        <v>0</v>
      </c>
      <c r="O126" s="15">
        <v>0</v>
      </c>
    </row>
    <row r="127" spans="1:15">
      <c r="A127" s="11" t="s">
        <v>442</v>
      </c>
      <c r="B127" s="12" t="s">
        <v>275</v>
      </c>
      <c r="C127" s="13" t="s">
        <v>404</v>
      </c>
      <c r="D127" s="13">
        <v>38</v>
      </c>
      <c r="E127" s="14">
        <v>450</v>
      </c>
      <c r="F127" s="15">
        <v>0</v>
      </c>
      <c r="G127" s="15">
        <v>0</v>
      </c>
      <c r="H127" s="15">
        <v>0</v>
      </c>
      <c r="I127" s="15">
        <v>0</v>
      </c>
      <c r="J127" s="15">
        <v>0</v>
      </c>
      <c r="K127" s="15">
        <v>0</v>
      </c>
      <c r="L127" s="15">
        <v>0</v>
      </c>
      <c r="M127" s="15">
        <v>0</v>
      </c>
      <c r="N127" s="15">
        <v>0</v>
      </c>
      <c r="O127" s="15">
        <v>0</v>
      </c>
    </row>
    <row r="128" spans="1:15">
      <c r="A128" s="11" t="s">
        <v>443</v>
      </c>
      <c r="B128" s="12" t="s">
        <v>275</v>
      </c>
      <c r="C128" s="13" t="s">
        <v>404</v>
      </c>
      <c r="D128" s="13">
        <v>39</v>
      </c>
      <c r="E128" s="14">
        <v>450</v>
      </c>
      <c r="F128" s="15">
        <v>0</v>
      </c>
      <c r="G128" s="15">
        <v>0</v>
      </c>
      <c r="H128" s="15">
        <v>0</v>
      </c>
      <c r="I128" s="15">
        <v>0</v>
      </c>
      <c r="J128" s="15">
        <v>0</v>
      </c>
      <c r="K128" s="15">
        <v>0</v>
      </c>
      <c r="L128" s="15">
        <v>0</v>
      </c>
      <c r="M128" s="15">
        <v>0</v>
      </c>
      <c r="N128" s="15">
        <v>0</v>
      </c>
      <c r="O128" s="15">
        <v>0</v>
      </c>
    </row>
    <row r="129" spans="1:15">
      <c r="A129" s="11" t="s">
        <v>444</v>
      </c>
      <c r="B129" s="12" t="s">
        <v>275</v>
      </c>
      <c r="C129" s="13" t="s">
        <v>404</v>
      </c>
      <c r="D129" s="13">
        <v>40</v>
      </c>
      <c r="E129" s="14">
        <v>450</v>
      </c>
      <c r="F129" s="15">
        <v>0</v>
      </c>
      <c r="G129" s="15">
        <v>0</v>
      </c>
      <c r="H129" s="15">
        <v>0</v>
      </c>
      <c r="I129" s="15">
        <v>0</v>
      </c>
      <c r="J129" s="15">
        <v>0</v>
      </c>
      <c r="K129" s="15">
        <v>0</v>
      </c>
      <c r="L129" s="15">
        <v>0</v>
      </c>
      <c r="M129" s="15">
        <v>0</v>
      </c>
      <c r="N129" s="15">
        <v>0</v>
      </c>
      <c r="O129" s="15">
        <v>0</v>
      </c>
    </row>
    <row r="130" spans="1:15">
      <c r="A130" s="11" t="s">
        <v>445</v>
      </c>
      <c r="B130" s="12" t="s">
        <v>275</v>
      </c>
      <c r="C130" s="13" t="s">
        <v>404</v>
      </c>
      <c r="D130" s="13">
        <v>41</v>
      </c>
      <c r="E130" s="14">
        <v>450</v>
      </c>
      <c r="F130" s="15">
        <v>0</v>
      </c>
      <c r="G130" s="15">
        <v>0</v>
      </c>
      <c r="H130" s="15">
        <v>0</v>
      </c>
      <c r="I130" s="15">
        <v>0</v>
      </c>
      <c r="J130" s="15">
        <v>0</v>
      </c>
      <c r="K130" s="15">
        <v>0</v>
      </c>
      <c r="L130" s="15">
        <v>0</v>
      </c>
      <c r="M130" s="15">
        <v>0</v>
      </c>
      <c r="N130" s="15">
        <v>0</v>
      </c>
      <c r="O130" s="15">
        <v>0</v>
      </c>
    </row>
    <row r="131" spans="1:15">
      <c r="A131" s="11" t="s">
        <v>446</v>
      </c>
      <c r="B131" s="12" t="s">
        <v>275</v>
      </c>
      <c r="C131" s="13" t="s">
        <v>404</v>
      </c>
      <c r="D131" s="13">
        <v>42</v>
      </c>
      <c r="E131" s="14">
        <v>450</v>
      </c>
      <c r="F131" s="15">
        <v>0</v>
      </c>
      <c r="G131" s="15">
        <v>0</v>
      </c>
      <c r="H131" s="15">
        <v>0</v>
      </c>
      <c r="I131" s="15">
        <v>0</v>
      </c>
      <c r="J131" s="15">
        <v>0</v>
      </c>
      <c r="K131" s="15">
        <v>0</v>
      </c>
      <c r="L131" s="15">
        <v>0</v>
      </c>
      <c r="M131" s="15">
        <v>0</v>
      </c>
      <c r="N131" s="15">
        <v>0</v>
      </c>
      <c r="O131" s="15">
        <v>0</v>
      </c>
    </row>
    <row r="132" spans="1:15">
      <c r="A132" s="11" t="s">
        <v>447</v>
      </c>
      <c r="B132" s="12" t="s">
        <v>275</v>
      </c>
      <c r="C132" s="13" t="s">
        <v>404</v>
      </c>
      <c r="D132" s="13">
        <v>43</v>
      </c>
      <c r="E132" s="14">
        <v>450</v>
      </c>
      <c r="F132" s="15">
        <v>0</v>
      </c>
      <c r="G132" s="15">
        <v>0</v>
      </c>
      <c r="H132" s="15">
        <v>0</v>
      </c>
      <c r="I132" s="15">
        <v>0</v>
      </c>
      <c r="J132" s="15">
        <v>0</v>
      </c>
      <c r="K132" s="15">
        <v>0</v>
      </c>
      <c r="L132" s="15">
        <v>0</v>
      </c>
      <c r="M132" s="15">
        <v>0</v>
      </c>
      <c r="N132" s="15">
        <v>0</v>
      </c>
      <c r="O132" s="15">
        <v>0</v>
      </c>
    </row>
    <row r="133" spans="1:15">
      <c r="A133" s="11" t="s">
        <v>448</v>
      </c>
      <c r="B133" s="12" t="s">
        <v>275</v>
      </c>
      <c r="C133" s="13" t="s">
        <v>404</v>
      </c>
      <c r="D133" s="13">
        <v>44</v>
      </c>
      <c r="E133" s="14">
        <v>450</v>
      </c>
      <c r="F133" s="15">
        <v>0</v>
      </c>
      <c r="G133" s="15">
        <v>0</v>
      </c>
      <c r="H133" s="15">
        <v>0</v>
      </c>
      <c r="I133" s="15">
        <v>0</v>
      </c>
      <c r="J133" s="15">
        <v>0</v>
      </c>
      <c r="K133" s="15">
        <v>0</v>
      </c>
      <c r="L133" s="15">
        <v>0</v>
      </c>
      <c r="M133" s="15">
        <v>0</v>
      </c>
      <c r="N133" s="15">
        <v>0</v>
      </c>
      <c r="O133" s="15">
        <v>0</v>
      </c>
    </row>
    <row r="134" spans="1:15">
      <c r="A134" s="11" t="s">
        <v>449</v>
      </c>
      <c r="B134" s="12" t="s">
        <v>275</v>
      </c>
      <c r="C134" s="13" t="s">
        <v>404</v>
      </c>
      <c r="D134" s="13">
        <v>45</v>
      </c>
      <c r="E134" s="14">
        <v>450</v>
      </c>
      <c r="F134" s="15">
        <v>0</v>
      </c>
      <c r="G134" s="15">
        <v>0</v>
      </c>
      <c r="H134" s="15">
        <v>0</v>
      </c>
      <c r="I134" s="15">
        <v>0</v>
      </c>
      <c r="J134" s="15">
        <v>0</v>
      </c>
      <c r="K134" s="15">
        <v>0</v>
      </c>
      <c r="L134" s="15">
        <v>0</v>
      </c>
      <c r="M134" s="15">
        <v>0</v>
      </c>
      <c r="N134" s="15">
        <v>0</v>
      </c>
      <c r="O134" s="15">
        <v>0</v>
      </c>
    </row>
    <row r="135" spans="1:15">
      <c r="A135" s="11" t="s">
        <v>450</v>
      </c>
      <c r="B135" s="12" t="s">
        <v>275</v>
      </c>
      <c r="C135" s="13" t="s">
        <v>404</v>
      </c>
      <c r="D135" s="13">
        <v>46</v>
      </c>
      <c r="E135" s="14">
        <v>450</v>
      </c>
      <c r="F135" s="15">
        <v>0</v>
      </c>
      <c r="G135" s="15">
        <v>0</v>
      </c>
      <c r="H135" s="15">
        <v>0</v>
      </c>
      <c r="I135" s="15">
        <v>0</v>
      </c>
      <c r="J135" s="15">
        <v>0</v>
      </c>
      <c r="K135" s="15">
        <v>0</v>
      </c>
      <c r="L135" s="15">
        <v>0</v>
      </c>
      <c r="M135" s="15">
        <v>0</v>
      </c>
      <c r="N135" s="15">
        <v>0</v>
      </c>
      <c r="O135" s="15">
        <v>0</v>
      </c>
    </row>
    <row r="136" spans="1:15">
      <c r="A136" s="11" t="s">
        <v>451</v>
      </c>
      <c r="B136" s="12" t="s">
        <v>275</v>
      </c>
      <c r="C136" s="13" t="s">
        <v>404</v>
      </c>
      <c r="D136" s="13">
        <v>47</v>
      </c>
      <c r="E136" s="14">
        <v>450</v>
      </c>
      <c r="F136" s="15">
        <v>0</v>
      </c>
      <c r="G136" s="15">
        <v>0</v>
      </c>
      <c r="H136" s="15">
        <v>0</v>
      </c>
      <c r="I136" s="15">
        <v>0</v>
      </c>
      <c r="J136" s="15">
        <v>0</v>
      </c>
      <c r="K136" s="15">
        <v>0</v>
      </c>
      <c r="L136" s="15">
        <v>0</v>
      </c>
      <c r="M136" s="15">
        <v>0</v>
      </c>
      <c r="N136" s="15">
        <v>0</v>
      </c>
      <c r="O136" s="15">
        <v>0</v>
      </c>
    </row>
    <row r="137" spans="1:15">
      <c r="A137" s="11" t="s">
        <v>452</v>
      </c>
      <c r="B137" s="12" t="s">
        <v>275</v>
      </c>
      <c r="C137" s="13" t="s">
        <v>404</v>
      </c>
      <c r="D137" s="13">
        <v>48</v>
      </c>
      <c r="E137" s="14">
        <v>450</v>
      </c>
      <c r="F137" s="15">
        <v>0</v>
      </c>
      <c r="G137" s="15">
        <v>0</v>
      </c>
      <c r="H137" s="15">
        <v>0</v>
      </c>
      <c r="I137" s="15">
        <v>0</v>
      </c>
      <c r="J137" s="15">
        <v>0</v>
      </c>
      <c r="K137" s="15">
        <v>0</v>
      </c>
      <c r="L137" s="15">
        <v>0</v>
      </c>
      <c r="M137" s="15">
        <v>0</v>
      </c>
      <c r="N137" s="15">
        <v>0</v>
      </c>
      <c r="O137" s="15">
        <v>0</v>
      </c>
    </row>
    <row r="138" spans="1:15">
      <c r="A138" s="11" t="s">
        <v>453</v>
      </c>
      <c r="B138" s="12" t="s">
        <v>275</v>
      </c>
      <c r="C138" s="13" t="s">
        <v>404</v>
      </c>
      <c r="D138" s="13">
        <v>49</v>
      </c>
      <c r="E138" s="14">
        <v>450</v>
      </c>
      <c r="F138" s="15">
        <v>0</v>
      </c>
      <c r="G138" s="15">
        <v>0</v>
      </c>
      <c r="H138" s="15">
        <v>0</v>
      </c>
      <c r="I138" s="15">
        <v>0</v>
      </c>
      <c r="J138" s="15">
        <v>0</v>
      </c>
      <c r="K138" s="15">
        <v>0</v>
      </c>
      <c r="L138" s="15">
        <v>0</v>
      </c>
      <c r="M138" s="15">
        <v>0</v>
      </c>
      <c r="N138" s="15">
        <v>0</v>
      </c>
      <c r="O138" s="15">
        <v>0</v>
      </c>
    </row>
    <row r="139" spans="1:15">
      <c r="A139" s="11" t="s">
        <v>454</v>
      </c>
      <c r="B139" s="12" t="s">
        <v>275</v>
      </c>
      <c r="C139" s="13" t="s">
        <v>404</v>
      </c>
      <c r="D139" s="13">
        <v>50</v>
      </c>
      <c r="E139" s="14">
        <v>450</v>
      </c>
      <c r="F139" s="15">
        <v>0</v>
      </c>
      <c r="G139" s="15">
        <v>0</v>
      </c>
      <c r="H139" s="15">
        <v>0</v>
      </c>
      <c r="I139" s="15">
        <v>0</v>
      </c>
      <c r="J139" s="15">
        <v>0</v>
      </c>
      <c r="K139" s="15">
        <v>0</v>
      </c>
      <c r="L139" s="15">
        <v>0</v>
      </c>
      <c r="M139" s="15">
        <v>0</v>
      </c>
      <c r="N139" s="15">
        <v>0</v>
      </c>
      <c r="O139" s="15">
        <v>0</v>
      </c>
    </row>
    <row r="140" spans="1:15">
      <c r="A140" s="11" t="s">
        <v>455</v>
      </c>
      <c r="B140" s="12" t="s">
        <v>275</v>
      </c>
      <c r="C140" s="13" t="s">
        <v>404</v>
      </c>
      <c r="D140" s="13">
        <v>51</v>
      </c>
      <c r="E140" s="14">
        <v>450</v>
      </c>
      <c r="F140" s="15">
        <v>0</v>
      </c>
      <c r="G140" s="15">
        <v>0</v>
      </c>
      <c r="H140" s="15">
        <v>0</v>
      </c>
      <c r="I140" s="15">
        <v>0</v>
      </c>
      <c r="J140" s="15">
        <v>0</v>
      </c>
      <c r="K140" s="15">
        <v>0</v>
      </c>
      <c r="L140" s="15">
        <v>0</v>
      </c>
      <c r="M140" s="15">
        <v>0</v>
      </c>
      <c r="N140" s="15">
        <v>0</v>
      </c>
      <c r="O140" s="15">
        <v>0</v>
      </c>
    </row>
    <row r="141" spans="1:15">
      <c r="A141" s="11" t="s">
        <v>456</v>
      </c>
      <c r="B141" s="12" t="s">
        <v>275</v>
      </c>
      <c r="C141" s="13" t="s">
        <v>404</v>
      </c>
      <c r="D141" s="13">
        <v>52</v>
      </c>
      <c r="E141" s="14">
        <v>450</v>
      </c>
      <c r="F141" s="15">
        <v>0</v>
      </c>
      <c r="G141" s="15">
        <v>0</v>
      </c>
      <c r="H141" s="15">
        <v>0</v>
      </c>
      <c r="I141" s="15">
        <v>0</v>
      </c>
      <c r="J141" s="15">
        <v>0</v>
      </c>
      <c r="K141" s="15">
        <v>0</v>
      </c>
      <c r="L141" s="15">
        <v>0</v>
      </c>
      <c r="M141" s="15">
        <v>0</v>
      </c>
      <c r="N141" s="15">
        <v>0</v>
      </c>
      <c r="O141" s="15">
        <v>0</v>
      </c>
    </row>
    <row r="142" spans="1:15">
      <c r="A142" s="11" t="s">
        <v>457</v>
      </c>
      <c r="B142" s="12" t="s">
        <v>275</v>
      </c>
      <c r="C142" s="13" t="s">
        <v>404</v>
      </c>
      <c r="D142" s="13">
        <v>53</v>
      </c>
      <c r="E142" s="14">
        <v>450</v>
      </c>
      <c r="F142" s="15">
        <v>0</v>
      </c>
      <c r="G142" s="15">
        <v>0</v>
      </c>
      <c r="H142" s="15">
        <v>0</v>
      </c>
      <c r="I142" s="15">
        <v>0</v>
      </c>
      <c r="J142" s="15">
        <v>0</v>
      </c>
      <c r="K142" s="15">
        <v>0</v>
      </c>
      <c r="L142" s="15">
        <v>0</v>
      </c>
      <c r="M142" s="15">
        <v>0</v>
      </c>
      <c r="N142" s="15">
        <v>0</v>
      </c>
      <c r="O142" s="15">
        <v>0</v>
      </c>
    </row>
    <row r="143" spans="1:15">
      <c r="A143" s="11" t="s">
        <v>458</v>
      </c>
      <c r="B143" s="12" t="s">
        <v>275</v>
      </c>
      <c r="C143" s="13" t="s">
        <v>404</v>
      </c>
      <c r="D143" s="13">
        <v>54</v>
      </c>
      <c r="E143" s="14">
        <v>450</v>
      </c>
      <c r="F143" s="15">
        <v>0</v>
      </c>
      <c r="G143" s="15">
        <v>0</v>
      </c>
      <c r="H143" s="15">
        <v>0</v>
      </c>
      <c r="I143" s="15">
        <v>0</v>
      </c>
      <c r="J143" s="15">
        <v>0</v>
      </c>
      <c r="K143" s="15">
        <v>0</v>
      </c>
      <c r="L143" s="15">
        <v>0</v>
      </c>
      <c r="M143" s="15">
        <v>0</v>
      </c>
      <c r="N143" s="15">
        <v>0</v>
      </c>
      <c r="O143" s="15">
        <v>0</v>
      </c>
    </row>
    <row r="144" spans="1:15">
      <c r="A144" s="11" t="s">
        <v>459</v>
      </c>
      <c r="B144" s="12" t="s">
        <v>275</v>
      </c>
      <c r="C144" s="13" t="s">
        <v>404</v>
      </c>
      <c r="D144" s="13">
        <v>55</v>
      </c>
      <c r="E144" s="14">
        <v>450</v>
      </c>
      <c r="F144" s="15">
        <v>0</v>
      </c>
      <c r="G144" s="15">
        <v>0</v>
      </c>
      <c r="H144" s="15">
        <v>0</v>
      </c>
      <c r="I144" s="15">
        <v>0</v>
      </c>
      <c r="J144" s="15">
        <v>0</v>
      </c>
      <c r="K144" s="15">
        <v>0</v>
      </c>
      <c r="L144" s="15">
        <v>0</v>
      </c>
      <c r="M144" s="15">
        <v>0</v>
      </c>
      <c r="N144" s="15">
        <v>0</v>
      </c>
      <c r="O144" s="15">
        <v>0</v>
      </c>
    </row>
    <row r="145" spans="1:15">
      <c r="A145" s="11" t="s">
        <v>460</v>
      </c>
      <c r="B145" s="12" t="s">
        <v>275</v>
      </c>
      <c r="C145" s="13" t="s">
        <v>404</v>
      </c>
      <c r="D145" s="13">
        <v>56</v>
      </c>
      <c r="E145" s="14">
        <v>450</v>
      </c>
      <c r="F145" s="15">
        <v>0</v>
      </c>
      <c r="G145" s="15">
        <v>0</v>
      </c>
      <c r="H145" s="15">
        <v>0</v>
      </c>
      <c r="I145" s="15">
        <v>0</v>
      </c>
      <c r="J145" s="15">
        <v>0</v>
      </c>
      <c r="K145" s="15">
        <v>0</v>
      </c>
      <c r="L145" s="15">
        <v>0</v>
      </c>
      <c r="M145" s="15">
        <v>0</v>
      </c>
      <c r="N145" s="15">
        <v>0</v>
      </c>
      <c r="O145" s="15">
        <v>0</v>
      </c>
    </row>
    <row r="146" spans="1:15">
      <c r="A146" s="11" t="s">
        <v>461</v>
      </c>
      <c r="B146" s="12" t="s">
        <v>275</v>
      </c>
      <c r="C146" s="13" t="s">
        <v>404</v>
      </c>
      <c r="D146" s="13">
        <v>57</v>
      </c>
      <c r="E146" s="14">
        <v>450</v>
      </c>
      <c r="F146" s="15">
        <v>0</v>
      </c>
      <c r="G146" s="15">
        <v>0</v>
      </c>
      <c r="H146" s="15">
        <v>0</v>
      </c>
      <c r="I146" s="15">
        <v>0</v>
      </c>
      <c r="J146" s="15">
        <v>0</v>
      </c>
      <c r="K146" s="15">
        <v>0</v>
      </c>
      <c r="L146" s="15">
        <v>0</v>
      </c>
      <c r="M146" s="15">
        <v>0</v>
      </c>
      <c r="N146" s="15">
        <v>0</v>
      </c>
      <c r="O146" s="15">
        <v>0</v>
      </c>
    </row>
    <row r="147" spans="1:15">
      <c r="A147" s="11" t="s">
        <v>462</v>
      </c>
      <c r="B147" s="12" t="s">
        <v>275</v>
      </c>
      <c r="C147" s="13" t="s">
        <v>404</v>
      </c>
      <c r="D147" s="13">
        <v>58</v>
      </c>
      <c r="E147" s="14">
        <v>450</v>
      </c>
      <c r="F147" s="15">
        <v>0</v>
      </c>
      <c r="G147" s="15">
        <v>0</v>
      </c>
      <c r="H147" s="15">
        <v>0</v>
      </c>
      <c r="I147" s="15">
        <v>0</v>
      </c>
      <c r="J147" s="15">
        <v>0</v>
      </c>
      <c r="K147" s="15">
        <v>0</v>
      </c>
      <c r="L147" s="15">
        <v>0</v>
      </c>
      <c r="M147" s="15">
        <v>0</v>
      </c>
      <c r="N147" s="15">
        <v>0</v>
      </c>
      <c r="O147" s="15">
        <v>0</v>
      </c>
    </row>
    <row r="148" spans="1:15">
      <c r="A148" s="11" t="s">
        <v>463</v>
      </c>
      <c r="B148" s="12" t="s">
        <v>275</v>
      </c>
      <c r="C148" s="13" t="s">
        <v>404</v>
      </c>
      <c r="D148" s="13">
        <v>59</v>
      </c>
      <c r="E148" s="14">
        <v>450</v>
      </c>
      <c r="F148" s="15">
        <v>0</v>
      </c>
      <c r="G148" s="15">
        <v>0</v>
      </c>
      <c r="H148" s="15">
        <v>0</v>
      </c>
      <c r="I148" s="15">
        <v>0</v>
      </c>
      <c r="J148" s="15">
        <v>0</v>
      </c>
      <c r="K148" s="15">
        <v>0</v>
      </c>
      <c r="L148" s="15">
        <v>0</v>
      </c>
      <c r="M148" s="15">
        <v>0</v>
      </c>
      <c r="N148" s="15">
        <v>0</v>
      </c>
      <c r="O148" s="15">
        <v>0</v>
      </c>
    </row>
    <row r="149" spans="1:15">
      <c r="A149" s="11" t="s">
        <v>464</v>
      </c>
      <c r="B149" s="12" t="s">
        <v>275</v>
      </c>
      <c r="C149" s="13" t="s">
        <v>404</v>
      </c>
      <c r="D149" s="13">
        <v>60</v>
      </c>
      <c r="E149" s="14">
        <v>450</v>
      </c>
      <c r="F149" s="15">
        <v>0</v>
      </c>
      <c r="G149" s="15">
        <v>0</v>
      </c>
      <c r="H149" s="15">
        <v>0</v>
      </c>
      <c r="I149" s="15">
        <v>0</v>
      </c>
      <c r="J149" s="15">
        <v>0</v>
      </c>
      <c r="K149" s="15">
        <v>0</v>
      </c>
      <c r="L149" s="15">
        <v>0</v>
      </c>
      <c r="M149" s="15">
        <v>0</v>
      </c>
      <c r="N149" s="15">
        <v>0</v>
      </c>
      <c r="O149" s="15">
        <v>0</v>
      </c>
    </row>
    <row r="150" spans="1:15">
      <c r="A150" s="11" t="s">
        <v>465</v>
      </c>
      <c r="B150" s="12" t="s">
        <v>275</v>
      </c>
      <c r="C150" s="13" t="s">
        <v>404</v>
      </c>
      <c r="D150" s="13">
        <v>61</v>
      </c>
      <c r="E150" s="14">
        <v>450</v>
      </c>
      <c r="F150" s="15">
        <v>0</v>
      </c>
      <c r="G150" s="15">
        <v>0</v>
      </c>
      <c r="H150" s="15">
        <v>0</v>
      </c>
      <c r="I150" s="15">
        <v>0</v>
      </c>
      <c r="J150" s="15">
        <v>0</v>
      </c>
      <c r="K150" s="15">
        <v>0</v>
      </c>
      <c r="L150" s="15">
        <v>0</v>
      </c>
      <c r="M150" s="15">
        <v>0</v>
      </c>
      <c r="N150" s="15">
        <v>0</v>
      </c>
      <c r="O150" s="15">
        <v>0</v>
      </c>
    </row>
    <row r="151" spans="1:15">
      <c r="A151" s="11" t="s">
        <v>466</v>
      </c>
      <c r="B151" s="12" t="s">
        <v>275</v>
      </c>
      <c r="C151" s="13" t="s">
        <v>404</v>
      </c>
      <c r="D151" s="13">
        <v>62</v>
      </c>
      <c r="E151" s="14">
        <v>450</v>
      </c>
      <c r="F151" s="15">
        <v>0</v>
      </c>
      <c r="G151" s="15">
        <v>0</v>
      </c>
      <c r="H151" s="15">
        <v>0</v>
      </c>
      <c r="I151" s="15">
        <v>0</v>
      </c>
      <c r="J151" s="15">
        <v>0</v>
      </c>
      <c r="K151" s="15">
        <v>0</v>
      </c>
      <c r="L151" s="15">
        <v>0</v>
      </c>
      <c r="M151" s="15">
        <v>0</v>
      </c>
      <c r="N151" s="15">
        <v>0</v>
      </c>
      <c r="O151" s="15">
        <v>0</v>
      </c>
    </row>
    <row r="152" spans="1:15">
      <c r="A152" s="11" t="s">
        <v>467</v>
      </c>
      <c r="B152" s="12" t="s">
        <v>275</v>
      </c>
      <c r="C152" s="13" t="s">
        <v>404</v>
      </c>
      <c r="D152" s="13">
        <v>63</v>
      </c>
      <c r="E152" s="14">
        <v>450</v>
      </c>
      <c r="F152" s="15">
        <v>0</v>
      </c>
      <c r="G152" s="15">
        <v>0</v>
      </c>
      <c r="H152" s="15">
        <v>0</v>
      </c>
      <c r="I152" s="15">
        <v>0</v>
      </c>
      <c r="J152" s="15">
        <v>0</v>
      </c>
      <c r="K152" s="15">
        <v>0</v>
      </c>
      <c r="L152" s="15">
        <v>0</v>
      </c>
      <c r="M152" s="15">
        <v>0</v>
      </c>
      <c r="N152" s="15">
        <v>0</v>
      </c>
      <c r="O152" s="15">
        <v>0</v>
      </c>
    </row>
    <row r="153" spans="1:15">
      <c r="A153" s="11" t="s">
        <v>468</v>
      </c>
      <c r="B153" s="12" t="s">
        <v>275</v>
      </c>
      <c r="C153" s="13" t="s">
        <v>404</v>
      </c>
      <c r="D153" s="13">
        <v>64</v>
      </c>
      <c r="E153" s="14">
        <v>450</v>
      </c>
      <c r="F153" s="15">
        <v>0</v>
      </c>
      <c r="G153" s="15">
        <v>0</v>
      </c>
      <c r="H153" s="15">
        <v>0</v>
      </c>
      <c r="I153" s="15">
        <v>0</v>
      </c>
      <c r="J153" s="15">
        <v>0</v>
      </c>
      <c r="K153" s="15">
        <v>0</v>
      </c>
      <c r="L153" s="15">
        <v>0</v>
      </c>
      <c r="M153" s="15">
        <v>0</v>
      </c>
      <c r="N153" s="15">
        <v>0</v>
      </c>
      <c r="O153" s="15">
        <v>0</v>
      </c>
    </row>
    <row r="154" spans="1:15">
      <c r="A154" s="11" t="s">
        <v>469</v>
      </c>
      <c r="B154" s="12" t="s">
        <v>275</v>
      </c>
      <c r="C154" s="13" t="s">
        <v>404</v>
      </c>
      <c r="D154" s="13">
        <v>65</v>
      </c>
      <c r="E154" s="14">
        <v>450</v>
      </c>
      <c r="F154" s="15">
        <v>0</v>
      </c>
      <c r="G154" s="15">
        <v>0</v>
      </c>
      <c r="H154" s="15">
        <v>0</v>
      </c>
      <c r="I154" s="15">
        <v>0</v>
      </c>
      <c r="J154" s="15">
        <v>0</v>
      </c>
      <c r="K154" s="15">
        <v>0</v>
      </c>
      <c r="L154" s="15">
        <v>0</v>
      </c>
      <c r="M154" s="15">
        <v>0</v>
      </c>
      <c r="N154" s="15">
        <v>0</v>
      </c>
      <c r="O154" s="15">
        <v>0</v>
      </c>
    </row>
    <row r="155" spans="1:15">
      <c r="A155" s="18" t="s">
        <v>470</v>
      </c>
      <c r="B155" s="19" t="s">
        <v>275</v>
      </c>
      <c r="C155" s="20" t="s">
        <v>404</v>
      </c>
      <c r="D155" s="20">
        <v>66</v>
      </c>
      <c r="E155" s="14">
        <v>450</v>
      </c>
      <c r="F155" s="15">
        <v>0</v>
      </c>
      <c r="G155" s="15">
        <v>0</v>
      </c>
      <c r="H155" s="15">
        <v>0</v>
      </c>
      <c r="I155" s="15">
        <v>0</v>
      </c>
      <c r="J155" s="15">
        <v>0</v>
      </c>
      <c r="K155" s="15">
        <v>0</v>
      </c>
      <c r="L155" s="15">
        <v>0</v>
      </c>
      <c r="M155" s="15">
        <v>0</v>
      </c>
      <c r="N155" s="15">
        <v>0</v>
      </c>
      <c r="O155" s="15">
        <v>0</v>
      </c>
    </row>
    <row r="156" spans="1:15">
      <c r="A156" s="18" t="s">
        <v>471</v>
      </c>
      <c r="B156" s="19" t="s">
        <v>275</v>
      </c>
      <c r="C156" s="20" t="s">
        <v>404</v>
      </c>
      <c r="D156" s="20">
        <v>67</v>
      </c>
      <c r="E156" s="14">
        <v>450</v>
      </c>
      <c r="F156" s="15">
        <v>0</v>
      </c>
      <c r="G156" s="15">
        <v>0</v>
      </c>
      <c r="H156" s="15">
        <v>0</v>
      </c>
      <c r="I156" s="15">
        <v>0</v>
      </c>
      <c r="J156" s="15">
        <v>0</v>
      </c>
      <c r="K156" s="15">
        <v>0</v>
      </c>
      <c r="L156" s="15">
        <v>0</v>
      </c>
      <c r="M156" s="15">
        <v>0</v>
      </c>
      <c r="N156" s="15">
        <v>0</v>
      </c>
      <c r="O156" s="15">
        <v>0</v>
      </c>
    </row>
    <row r="157" spans="1:15">
      <c r="A157" s="18" t="s">
        <v>472</v>
      </c>
      <c r="B157" s="19" t="s">
        <v>275</v>
      </c>
      <c r="C157" s="20" t="s">
        <v>404</v>
      </c>
      <c r="D157" s="20">
        <v>68</v>
      </c>
      <c r="E157" s="14">
        <v>450</v>
      </c>
      <c r="F157" s="15">
        <v>0</v>
      </c>
      <c r="G157" s="15">
        <v>0</v>
      </c>
      <c r="H157" s="15">
        <v>0</v>
      </c>
      <c r="I157" s="15">
        <v>0</v>
      </c>
      <c r="J157" s="15">
        <v>0</v>
      </c>
      <c r="K157" s="15">
        <v>0</v>
      </c>
      <c r="L157" s="15">
        <v>0</v>
      </c>
      <c r="M157" s="15">
        <v>0</v>
      </c>
      <c r="N157" s="15">
        <v>0</v>
      </c>
      <c r="O157" s="15">
        <v>0</v>
      </c>
    </row>
    <row r="158" spans="1:15">
      <c r="A158" s="18" t="s">
        <v>473</v>
      </c>
      <c r="B158" s="19" t="s">
        <v>275</v>
      </c>
      <c r="C158" s="20" t="s">
        <v>404</v>
      </c>
      <c r="D158" s="20">
        <v>69</v>
      </c>
      <c r="E158" s="14">
        <v>450</v>
      </c>
      <c r="F158" s="15">
        <v>0</v>
      </c>
      <c r="G158" s="15">
        <v>0</v>
      </c>
      <c r="H158" s="15">
        <v>0</v>
      </c>
      <c r="I158" s="15">
        <v>0</v>
      </c>
      <c r="J158" s="15">
        <v>0</v>
      </c>
      <c r="K158" s="15">
        <v>0</v>
      </c>
      <c r="L158" s="15">
        <v>0</v>
      </c>
      <c r="M158" s="15">
        <v>0</v>
      </c>
      <c r="N158" s="15">
        <v>0</v>
      </c>
      <c r="O158" s="15">
        <v>0</v>
      </c>
    </row>
    <row r="159" spans="1:15">
      <c r="A159" s="18" t="s">
        <v>474</v>
      </c>
      <c r="B159" s="19" t="s">
        <v>275</v>
      </c>
      <c r="C159" s="20" t="s">
        <v>404</v>
      </c>
      <c r="D159" s="20">
        <v>70</v>
      </c>
      <c r="E159" s="14">
        <v>450</v>
      </c>
      <c r="F159" s="15">
        <v>0</v>
      </c>
      <c r="G159" s="15">
        <v>0</v>
      </c>
      <c r="H159" s="15">
        <v>0</v>
      </c>
      <c r="I159" s="15">
        <v>0</v>
      </c>
      <c r="J159" s="15">
        <v>0</v>
      </c>
      <c r="K159" s="15">
        <v>0</v>
      </c>
      <c r="L159" s="15">
        <v>0</v>
      </c>
      <c r="M159" s="15">
        <v>0</v>
      </c>
      <c r="N159" s="15">
        <v>0</v>
      </c>
      <c r="O159" s="15">
        <v>0</v>
      </c>
    </row>
    <row r="160" spans="1:15">
      <c r="A160" s="18" t="s">
        <v>475</v>
      </c>
      <c r="B160" s="19" t="s">
        <v>275</v>
      </c>
      <c r="C160" s="20" t="s">
        <v>404</v>
      </c>
      <c r="D160" s="20">
        <v>71</v>
      </c>
      <c r="E160" s="14">
        <v>450</v>
      </c>
      <c r="F160" s="15">
        <v>0</v>
      </c>
      <c r="G160" s="15">
        <v>0</v>
      </c>
      <c r="H160" s="15">
        <v>0</v>
      </c>
      <c r="I160" s="15">
        <v>0</v>
      </c>
      <c r="J160" s="15">
        <v>0</v>
      </c>
      <c r="K160" s="15">
        <v>0</v>
      </c>
      <c r="L160" s="15">
        <v>0</v>
      </c>
      <c r="M160" s="15">
        <v>0</v>
      </c>
      <c r="N160" s="15">
        <v>0</v>
      </c>
      <c r="O160" s="15">
        <v>0</v>
      </c>
    </row>
    <row r="161" spans="1:15">
      <c r="A161" s="18" t="s">
        <v>476</v>
      </c>
      <c r="B161" s="19" t="s">
        <v>275</v>
      </c>
      <c r="C161" s="20" t="s">
        <v>404</v>
      </c>
      <c r="D161" s="20">
        <v>72</v>
      </c>
      <c r="E161" s="14">
        <v>450</v>
      </c>
      <c r="F161" s="15">
        <v>0</v>
      </c>
      <c r="G161" s="15">
        <v>0</v>
      </c>
      <c r="H161" s="15">
        <v>0</v>
      </c>
      <c r="I161" s="15">
        <v>0</v>
      </c>
      <c r="J161" s="15">
        <v>0</v>
      </c>
      <c r="K161" s="15">
        <v>0</v>
      </c>
      <c r="L161" s="15">
        <v>0</v>
      </c>
      <c r="M161" s="15">
        <v>0</v>
      </c>
      <c r="N161" s="15">
        <v>0</v>
      </c>
      <c r="O161" s="15">
        <v>0</v>
      </c>
    </row>
    <row r="162" spans="1:15">
      <c r="A162" s="18" t="s">
        <v>477</v>
      </c>
      <c r="B162" s="19" t="s">
        <v>275</v>
      </c>
      <c r="C162" s="20" t="s">
        <v>404</v>
      </c>
      <c r="D162" s="20">
        <v>73</v>
      </c>
      <c r="E162" s="14">
        <v>450</v>
      </c>
      <c r="F162" s="15">
        <v>0</v>
      </c>
      <c r="G162" s="15">
        <v>0</v>
      </c>
      <c r="H162" s="15">
        <v>0</v>
      </c>
      <c r="I162" s="15">
        <v>0</v>
      </c>
      <c r="J162" s="15">
        <v>0</v>
      </c>
      <c r="K162" s="15">
        <v>0</v>
      </c>
      <c r="L162" s="15">
        <v>0</v>
      </c>
      <c r="M162" s="15">
        <v>0</v>
      </c>
      <c r="N162" s="15">
        <v>0</v>
      </c>
      <c r="O162" s="15">
        <v>0</v>
      </c>
    </row>
    <row r="163" spans="1:15">
      <c r="A163" s="18" t="s">
        <v>478</v>
      </c>
      <c r="B163" s="19" t="s">
        <v>275</v>
      </c>
      <c r="C163" s="20" t="s">
        <v>404</v>
      </c>
      <c r="D163" s="20">
        <v>74</v>
      </c>
      <c r="E163" s="14">
        <v>450</v>
      </c>
      <c r="F163" s="15">
        <v>0</v>
      </c>
      <c r="G163" s="15">
        <v>0</v>
      </c>
      <c r="H163" s="15">
        <v>0</v>
      </c>
      <c r="I163" s="15">
        <v>0</v>
      </c>
      <c r="J163" s="15">
        <v>0</v>
      </c>
      <c r="K163" s="15">
        <v>0</v>
      </c>
      <c r="L163" s="15">
        <v>0</v>
      </c>
      <c r="M163" s="15">
        <v>0</v>
      </c>
      <c r="N163" s="15">
        <v>0</v>
      </c>
      <c r="O163" s="15">
        <v>0</v>
      </c>
    </row>
    <row r="164" spans="1:15">
      <c r="A164" s="18" t="s">
        <v>479</v>
      </c>
      <c r="B164" s="19" t="s">
        <v>275</v>
      </c>
      <c r="C164" s="20" t="s">
        <v>404</v>
      </c>
      <c r="D164" s="20">
        <v>75</v>
      </c>
      <c r="E164" s="14">
        <v>450</v>
      </c>
      <c r="F164" s="15">
        <v>0</v>
      </c>
      <c r="G164" s="15">
        <v>0</v>
      </c>
      <c r="H164" s="15">
        <v>0</v>
      </c>
      <c r="I164" s="15">
        <v>0</v>
      </c>
      <c r="J164" s="15">
        <v>0</v>
      </c>
      <c r="K164" s="15">
        <v>0</v>
      </c>
      <c r="L164" s="15">
        <v>0</v>
      </c>
      <c r="M164" s="15">
        <v>0</v>
      </c>
      <c r="N164" s="15">
        <v>0</v>
      </c>
      <c r="O164" s="15">
        <v>0</v>
      </c>
    </row>
    <row r="165" spans="1:15">
      <c r="A165" s="18" t="s">
        <v>480</v>
      </c>
      <c r="B165" s="19" t="s">
        <v>275</v>
      </c>
      <c r="C165" s="20" t="s">
        <v>404</v>
      </c>
      <c r="D165" s="20">
        <v>76</v>
      </c>
      <c r="E165" s="14">
        <v>450</v>
      </c>
      <c r="F165" s="15">
        <v>0</v>
      </c>
      <c r="G165" s="15">
        <v>0</v>
      </c>
      <c r="H165" s="15">
        <v>0</v>
      </c>
      <c r="I165" s="15">
        <v>0</v>
      </c>
      <c r="J165" s="15">
        <v>0</v>
      </c>
      <c r="K165" s="15">
        <v>0</v>
      </c>
      <c r="L165" s="15">
        <v>0</v>
      </c>
      <c r="M165" s="15">
        <v>0</v>
      </c>
      <c r="N165" s="15">
        <v>0</v>
      </c>
      <c r="O165" s="15">
        <v>0</v>
      </c>
    </row>
    <row r="166" spans="1:15">
      <c r="A166" s="18" t="s">
        <v>481</v>
      </c>
      <c r="B166" s="19" t="s">
        <v>275</v>
      </c>
      <c r="C166" s="20" t="s">
        <v>404</v>
      </c>
      <c r="D166" s="20">
        <v>77</v>
      </c>
      <c r="E166" s="14">
        <v>450</v>
      </c>
      <c r="F166" s="15">
        <v>0</v>
      </c>
      <c r="G166" s="15">
        <v>0</v>
      </c>
      <c r="H166" s="15">
        <v>0</v>
      </c>
      <c r="I166" s="15">
        <v>0</v>
      </c>
      <c r="J166" s="15">
        <v>0</v>
      </c>
      <c r="K166" s="15">
        <v>0</v>
      </c>
      <c r="L166" s="15">
        <v>0</v>
      </c>
      <c r="M166" s="15">
        <v>0</v>
      </c>
      <c r="N166" s="15">
        <v>0</v>
      </c>
      <c r="O166" s="15">
        <v>0</v>
      </c>
    </row>
    <row r="167" spans="1:15">
      <c r="A167" s="18" t="s">
        <v>482</v>
      </c>
      <c r="B167" s="19" t="s">
        <v>275</v>
      </c>
      <c r="C167" s="20" t="s">
        <v>404</v>
      </c>
      <c r="D167" s="20">
        <v>78</v>
      </c>
      <c r="E167" s="14">
        <v>450</v>
      </c>
      <c r="F167" s="15">
        <v>0</v>
      </c>
      <c r="G167" s="15">
        <v>0</v>
      </c>
      <c r="H167" s="15">
        <v>0</v>
      </c>
      <c r="I167" s="15">
        <v>0</v>
      </c>
      <c r="J167" s="15">
        <v>0</v>
      </c>
      <c r="K167" s="15">
        <v>0</v>
      </c>
      <c r="L167" s="15">
        <v>0</v>
      </c>
      <c r="M167" s="15">
        <v>0</v>
      </c>
      <c r="N167" s="15">
        <v>0</v>
      </c>
      <c r="O167" s="15">
        <v>0</v>
      </c>
    </row>
    <row r="168" spans="1:15">
      <c r="A168" s="18" t="s">
        <v>483</v>
      </c>
      <c r="B168" s="19" t="s">
        <v>275</v>
      </c>
      <c r="C168" s="20" t="s">
        <v>404</v>
      </c>
      <c r="D168" s="20">
        <v>79</v>
      </c>
      <c r="E168" s="14">
        <v>450</v>
      </c>
      <c r="F168" s="15">
        <v>0</v>
      </c>
      <c r="G168" s="15">
        <v>0</v>
      </c>
      <c r="H168" s="15">
        <v>0</v>
      </c>
      <c r="I168" s="15">
        <v>0</v>
      </c>
      <c r="J168" s="15">
        <v>0</v>
      </c>
      <c r="K168" s="15">
        <v>0</v>
      </c>
      <c r="L168" s="15">
        <v>0</v>
      </c>
      <c r="M168" s="15">
        <v>0</v>
      </c>
      <c r="N168" s="15">
        <v>0</v>
      </c>
      <c r="O168" s="15">
        <v>0</v>
      </c>
    </row>
    <row r="169" spans="1:15">
      <c r="A169" s="18" t="s">
        <v>484</v>
      </c>
      <c r="B169" s="19" t="s">
        <v>275</v>
      </c>
      <c r="C169" s="20" t="s">
        <v>404</v>
      </c>
      <c r="D169" s="20">
        <v>80</v>
      </c>
      <c r="E169" s="14">
        <v>450</v>
      </c>
      <c r="F169" s="15">
        <v>0</v>
      </c>
      <c r="G169" s="15">
        <v>0</v>
      </c>
      <c r="H169" s="15">
        <v>0</v>
      </c>
      <c r="I169" s="15">
        <v>0</v>
      </c>
      <c r="J169" s="15">
        <v>0</v>
      </c>
      <c r="K169" s="15">
        <v>0</v>
      </c>
      <c r="L169" s="15">
        <v>0</v>
      </c>
      <c r="M169" s="15">
        <v>0</v>
      </c>
      <c r="N169" s="15">
        <v>0</v>
      </c>
      <c r="O169" s="15">
        <v>0</v>
      </c>
    </row>
    <row r="170" spans="1:15">
      <c r="A170" s="18" t="s">
        <v>485</v>
      </c>
      <c r="B170" s="19" t="s">
        <v>275</v>
      </c>
      <c r="C170" s="20" t="s">
        <v>404</v>
      </c>
      <c r="D170" s="20">
        <v>81</v>
      </c>
      <c r="E170" s="14">
        <v>450</v>
      </c>
      <c r="F170" s="15">
        <v>0</v>
      </c>
      <c r="G170" s="15">
        <v>0</v>
      </c>
      <c r="H170" s="15">
        <v>0</v>
      </c>
      <c r="I170" s="15">
        <v>0</v>
      </c>
      <c r="J170" s="15">
        <v>0</v>
      </c>
      <c r="K170" s="15">
        <v>0</v>
      </c>
      <c r="L170" s="15">
        <v>0</v>
      </c>
      <c r="M170" s="15">
        <v>0</v>
      </c>
      <c r="N170" s="15">
        <v>0</v>
      </c>
      <c r="O170" s="15">
        <v>0</v>
      </c>
    </row>
    <row r="171" spans="1:15">
      <c r="A171" s="18" t="s">
        <v>486</v>
      </c>
      <c r="B171" s="19" t="s">
        <v>275</v>
      </c>
      <c r="C171" s="20" t="s">
        <v>404</v>
      </c>
      <c r="D171" s="20">
        <v>82</v>
      </c>
      <c r="E171" s="14">
        <v>450</v>
      </c>
      <c r="F171" s="15">
        <v>0</v>
      </c>
      <c r="G171" s="15">
        <v>0</v>
      </c>
      <c r="H171" s="15">
        <v>0</v>
      </c>
      <c r="I171" s="15">
        <v>0</v>
      </c>
      <c r="J171" s="15">
        <v>0</v>
      </c>
      <c r="K171" s="15">
        <v>0</v>
      </c>
      <c r="L171" s="15">
        <v>0</v>
      </c>
      <c r="M171" s="15">
        <v>0</v>
      </c>
      <c r="N171" s="15">
        <v>0</v>
      </c>
      <c r="O171" s="15">
        <v>0</v>
      </c>
    </row>
    <row r="172" spans="1:15">
      <c r="A172" s="18" t="s">
        <v>487</v>
      </c>
      <c r="B172" s="19" t="s">
        <v>275</v>
      </c>
      <c r="C172" s="20" t="s">
        <v>404</v>
      </c>
      <c r="D172" s="20">
        <v>83</v>
      </c>
      <c r="E172" s="14">
        <v>450</v>
      </c>
      <c r="F172" s="15">
        <v>0</v>
      </c>
      <c r="G172" s="15">
        <v>0</v>
      </c>
      <c r="H172" s="15">
        <v>0</v>
      </c>
      <c r="I172" s="15">
        <v>0</v>
      </c>
      <c r="J172" s="15">
        <v>0</v>
      </c>
      <c r="K172" s="15">
        <v>0</v>
      </c>
      <c r="L172" s="15">
        <v>0</v>
      </c>
      <c r="M172" s="15">
        <v>0</v>
      </c>
      <c r="N172" s="15">
        <v>0</v>
      </c>
      <c r="O172" s="15">
        <v>0</v>
      </c>
    </row>
    <row r="173" spans="1:15">
      <c r="A173" s="18" t="s">
        <v>488</v>
      </c>
      <c r="B173" s="19" t="s">
        <v>275</v>
      </c>
      <c r="C173" s="20" t="s">
        <v>404</v>
      </c>
      <c r="D173" s="20">
        <v>84</v>
      </c>
      <c r="E173" s="14">
        <v>450</v>
      </c>
      <c r="F173" s="15">
        <v>0</v>
      </c>
      <c r="G173" s="15">
        <v>0</v>
      </c>
      <c r="H173" s="15">
        <v>0</v>
      </c>
      <c r="I173" s="15">
        <v>0</v>
      </c>
      <c r="J173" s="15">
        <v>0</v>
      </c>
      <c r="K173" s="15">
        <v>0</v>
      </c>
      <c r="L173" s="15">
        <v>0</v>
      </c>
      <c r="M173" s="15">
        <v>0</v>
      </c>
      <c r="N173" s="15">
        <v>0</v>
      </c>
      <c r="O173" s="15">
        <v>0</v>
      </c>
    </row>
    <row r="174" spans="1:15">
      <c r="A174" s="18" t="s">
        <v>489</v>
      </c>
      <c r="B174" s="19" t="s">
        <v>275</v>
      </c>
      <c r="C174" s="20" t="s">
        <v>404</v>
      </c>
      <c r="D174" s="20">
        <v>85</v>
      </c>
      <c r="E174" s="14">
        <v>450</v>
      </c>
      <c r="F174" s="15">
        <v>0</v>
      </c>
      <c r="G174" s="15">
        <v>0</v>
      </c>
      <c r="H174" s="15">
        <v>0</v>
      </c>
      <c r="I174" s="15">
        <v>0</v>
      </c>
      <c r="J174" s="15">
        <v>0</v>
      </c>
      <c r="K174" s="15">
        <v>0</v>
      </c>
      <c r="L174" s="15">
        <v>0</v>
      </c>
      <c r="M174" s="15">
        <v>0</v>
      </c>
      <c r="N174" s="15">
        <v>0</v>
      </c>
      <c r="O174" s="15">
        <v>0</v>
      </c>
    </row>
    <row r="175" spans="1:15">
      <c r="A175" s="18" t="s">
        <v>490</v>
      </c>
      <c r="B175" s="19" t="s">
        <v>491</v>
      </c>
      <c r="C175" s="20" t="s">
        <v>317</v>
      </c>
      <c r="D175" s="20">
        <v>0</v>
      </c>
      <c r="E175" s="14">
        <v>450</v>
      </c>
      <c r="F175" s="15">
        <v>0</v>
      </c>
      <c r="G175" s="15">
        <v>0</v>
      </c>
      <c r="H175" s="15">
        <v>0</v>
      </c>
      <c r="I175" s="15">
        <v>0</v>
      </c>
      <c r="J175" s="15">
        <v>0</v>
      </c>
      <c r="K175" s="15">
        <v>0</v>
      </c>
      <c r="L175" s="15">
        <v>0</v>
      </c>
      <c r="M175" s="15">
        <v>0</v>
      </c>
      <c r="N175" s="15">
        <v>0</v>
      </c>
      <c r="O175" s="15">
        <v>0</v>
      </c>
    </row>
    <row r="176" spans="1:15">
      <c r="A176" s="18" t="s">
        <v>492</v>
      </c>
      <c r="B176" s="19" t="s">
        <v>491</v>
      </c>
      <c r="C176" s="20" t="s">
        <v>317</v>
      </c>
      <c r="D176" s="20">
        <v>1</v>
      </c>
      <c r="E176" s="14">
        <v>450</v>
      </c>
      <c r="F176" s="15">
        <v>0</v>
      </c>
      <c r="G176" s="15">
        <v>0</v>
      </c>
      <c r="H176" s="15">
        <v>0</v>
      </c>
      <c r="I176" s="15">
        <v>0</v>
      </c>
      <c r="J176" s="15">
        <v>0</v>
      </c>
      <c r="K176" s="15">
        <v>0</v>
      </c>
      <c r="L176" s="15">
        <v>0</v>
      </c>
      <c r="M176" s="15">
        <v>0</v>
      </c>
      <c r="N176" s="15">
        <v>0</v>
      </c>
      <c r="O176" s="15">
        <v>0</v>
      </c>
    </row>
    <row r="177" spans="1:15">
      <c r="A177" s="18" t="s">
        <v>493</v>
      </c>
      <c r="B177" s="19" t="s">
        <v>491</v>
      </c>
      <c r="C177" s="20" t="s">
        <v>317</v>
      </c>
      <c r="D177" s="20">
        <v>2</v>
      </c>
      <c r="E177" s="14">
        <v>450</v>
      </c>
      <c r="F177" s="15">
        <v>0</v>
      </c>
      <c r="G177" s="15">
        <v>0</v>
      </c>
      <c r="H177" s="15">
        <v>0</v>
      </c>
      <c r="I177" s="15">
        <v>0</v>
      </c>
      <c r="J177" s="15">
        <v>0</v>
      </c>
      <c r="K177" s="15">
        <v>0</v>
      </c>
      <c r="L177" s="15">
        <v>0</v>
      </c>
      <c r="M177" s="15">
        <v>0</v>
      </c>
      <c r="N177" s="15">
        <v>0</v>
      </c>
      <c r="O177" s="15">
        <v>0</v>
      </c>
    </row>
    <row r="178" spans="1:15">
      <c r="A178" s="18" t="s">
        <v>494</v>
      </c>
      <c r="B178" s="19" t="s">
        <v>491</v>
      </c>
      <c r="C178" s="20" t="s">
        <v>317</v>
      </c>
      <c r="D178" s="20">
        <v>3</v>
      </c>
      <c r="E178" s="14">
        <v>450</v>
      </c>
      <c r="F178" s="15">
        <v>0</v>
      </c>
      <c r="G178" s="15">
        <v>0</v>
      </c>
      <c r="H178" s="15">
        <v>0</v>
      </c>
      <c r="I178" s="15">
        <v>0</v>
      </c>
      <c r="J178" s="15">
        <v>0</v>
      </c>
      <c r="K178" s="15">
        <v>0</v>
      </c>
      <c r="L178" s="15">
        <v>0</v>
      </c>
      <c r="M178" s="15">
        <v>0</v>
      </c>
      <c r="N178" s="15">
        <v>0</v>
      </c>
      <c r="O178" s="15">
        <v>0</v>
      </c>
    </row>
    <row r="179" spans="1:15">
      <c r="A179" s="18" t="s">
        <v>495</v>
      </c>
      <c r="B179" s="19" t="s">
        <v>491</v>
      </c>
      <c r="C179" s="20" t="s">
        <v>317</v>
      </c>
      <c r="D179" s="20">
        <v>4</v>
      </c>
      <c r="E179" s="14">
        <v>450</v>
      </c>
      <c r="F179" s="15">
        <v>0</v>
      </c>
      <c r="G179" s="15">
        <v>0</v>
      </c>
      <c r="H179" s="15">
        <v>0</v>
      </c>
      <c r="I179" s="15">
        <v>0</v>
      </c>
      <c r="J179" s="15">
        <v>0</v>
      </c>
      <c r="K179" s="15">
        <v>0</v>
      </c>
      <c r="L179" s="15">
        <v>0</v>
      </c>
      <c r="M179" s="15">
        <v>0</v>
      </c>
      <c r="N179" s="15">
        <v>0</v>
      </c>
      <c r="O179" s="15">
        <v>0</v>
      </c>
    </row>
    <row r="180" spans="1:15">
      <c r="A180" s="18" t="s">
        <v>496</v>
      </c>
      <c r="B180" s="19" t="s">
        <v>491</v>
      </c>
      <c r="C180" s="20" t="s">
        <v>317</v>
      </c>
      <c r="D180" s="20">
        <v>5</v>
      </c>
      <c r="E180" s="14">
        <v>450</v>
      </c>
      <c r="F180" s="15">
        <v>0</v>
      </c>
      <c r="G180" s="15">
        <v>0</v>
      </c>
      <c r="H180" s="15">
        <v>0</v>
      </c>
      <c r="I180" s="15">
        <v>0</v>
      </c>
      <c r="J180" s="15">
        <v>0</v>
      </c>
      <c r="K180" s="15">
        <v>0</v>
      </c>
      <c r="L180" s="15">
        <v>0</v>
      </c>
      <c r="M180" s="15">
        <v>0</v>
      </c>
      <c r="N180" s="15">
        <v>0</v>
      </c>
      <c r="O180" s="15">
        <v>0</v>
      </c>
    </row>
    <row r="181" spans="1:15">
      <c r="A181" s="18" t="s">
        <v>497</v>
      </c>
      <c r="B181" s="19" t="s">
        <v>491</v>
      </c>
      <c r="C181" s="20" t="s">
        <v>317</v>
      </c>
      <c r="D181" s="20">
        <v>6</v>
      </c>
      <c r="E181" s="14">
        <v>450</v>
      </c>
      <c r="F181" s="15">
        <v>0</v>
      </c>
      <c r="G181" s="15">
        <v>0</v>
      </c>
      <c r="H181" s="15">
        <v>0</v>
      </c>
      <c r="I181" s="15">
        <v>0</v>
      </c>
      <c r="J181" s="15">
        <v>0</v>
      </c>
      <c r="K181" s="15">
        <v>0</v>
      </c>
      <c r="L181" s="15">
        <v>0</v>
      </c>
      <c r="M181" s="15">
        <v>0</v>
      </c>
      <c r="N181" s="15">
        <v>0</v>
      </c>
      <c r="O181" s="15">
        <v>0</v>
      </c>
    </row>
    <row r="182" spans="1:15">
      <c r="A182" s="18" t="s">
        <v>498</v>
      </c>
      <c r="B182" s="19" t="s">
        <v>491</v>
      </c>
      <c r="C182" s="20" t="s">
        <v>317</v>
      </c>
      <c r="D182" s="20">
        <v>7</v>
      </c>
      <c r="E182" s="14">
        <v>450</v>
      </c>
      <c r="F182" s="15">
        <v>0</v>
      </c>
      <c r="G182" s="15">
        <v>0</v>
      </c>
      <c r="H182" s="15">
        <v>0</v>
      </c>
      <c r="I182" s="15">
        <v>0</v>
      </c>
      <c r="J182" s="15">
        <v>0</v>
      </c>
      <c r="K182" s="15">
        <v>0</v>
      </c>
      <c r="L182" s="15">
        <v>0</v>
      </c>
      <c r="M182" s="15">
        <v>0</v>
      </c>
      <c r="N182" s="15">
        <v>0</v>
      </c>
      <c r="O182" s="15">
        <v>0</v>
      </c>
    </row>
    <row r="183" spans="1:15">
      <c r="A183" s="18" t="s">
        <v>499</v>
      </c>
      <c r="B183" s="19" t="s">
        <v>491</v>
      </c>
      <c r="C183" s="20" t="s">
        <v>317</v>
      </c>
      <c r="D183" s="20">
        <v>8</v>
      </c>
      <c r="E183" s="14">
        <v>450</v>
      </c>
      <c r="F183" s="15">
        <v>0</v>
      </c>
      <c r="G183" s="15">
        <v>0</v>
      </c>
      <c r="H183" s="15">
        <v>0</v>
      </c>
      <c r="I183" s="15">
        <v>0</v>
      </c>
      <c r="J183" s="15">
        <v>0</v>
      </c>
      <c r="K183" s="15">
        <v>0</v>
      </c>
      <c r="L183" s="15">
        <v>0</v>
      </c>
      <c r="M183" s="15">
        <v>0</v>
      </c>
      <c r="N183" s="15">
        <v>0</v>
      </c>
      <c r="O183" s="15">
        <v>0</v>
      </c>
    </row>
    <row r="184" spans="1:15">
      <c r="A184" s="18" t="s">
        <v>500</v>
      </c>
      <c r="B184" s="19" t="s">
        <v>491</v>
      </c>
      <c r="C184" s="20" t="s">
        <v>317</v>
      </c>
      <c r="D184" s="20">
        <v>9</v>
      </c>
      <c r="E184" s="14">
        <v>450</v>
      </c>
      <c r="F184" s="15">
        <v>0</v>
      </c>
      <c r="G184" s="15">
        <v>0</v>
      </c>
      <c r="H184" s="15">
        <v>0</v>
      </c>
      <c r="I184" s="15">
        <v>0</v>
      </c>
      <c r="J184" s="15">
        <v>0</v>
      </c>
      <c r="K184" s="15">
        <v>0</v>
      </c>
      <c r="L184" s="15">
        <v>0</v>
      </c>
      <c r="M184" s="15">
        <v>0</v>
      </c>
      <c r="N184" s="15">
        <v>0</v>
      </c>
      <c r="O184" s="15">
        <v>0</v>
      </c>
    </row>
    <row r="185" spans="1:15">
      <c r="A185" s="18" t="s">
        <v>501</v>
      </c>
      <c r="B185" s="19" t="s">
        <v>491</v>
      </c>
      <c r="C185" s="20" t="s">
        <v>317</v>
      </c>
      <c r="D185" s="20">
        <v>10</v>
      </c>
      <c r="E185" s="14">
        <v>450</v>
      </c>
      <c r="F185" s="15">
        <v>0</v>
      </c>
      <c r="G185" s="15">
        <v>0</v>
      </c>
      <c r="H185" s="15">
        <v>0</v>
      </c>
      <c r="I185" s="15">
        <v>0</v>
      </c>
      <c r="J185" s="15">
        <v>0</v>
      </c>
      <c r="K185" s="15">
        <v>0</v>
      </c>
      <c r="L185" s="15">
        <v>0</v>
      </c>
      <c r="M185" s="15">
        <v>0</v>
      </c>
      <c r="N185" s="15">
        <v>0</v>
      </c>
      <c r="O185" s="15">
        <v>0</v>
      </c>
    </row>
    <row r="186" spans="1:15">
      <c r="A186" s="18" t="s">
        <v>502</v>
      </c>
      <c r="B186" s="19" t="s">
        <v>491</v>
      </c>
      <c r="C186" s="20" t="s">
        <v>317</v>
      </c>
      <c r="D186" s="20">
        <v>11</v>
      </c>
      <c r="E186" s="14">
        <v>450</v>
      </c>
      <c r="F186" s="15">
        <v>0</v>
      </c>
      <c r="G186" s="15">
        <v>0</v>
      </c>
      <c r="H186" s="15">
        <v>0</v>
      </c>
      <c r="I186" s="15">
        <v>0</v>
      </c>
      <c r="J186" s="15">
        <v>0</v>
      </c>
      <c r="K186" s="15">
        <v>0</v>
      </c>
      <c r="L186" s="15">
        <v>0</v>
      </c>
      <c r="M186" s="15">
        <v>0</v>
      </c>
      <c r="N186" s="15">
        <v>0</v>
      </c>
      <c r="O186" s="15">
        <v>0</v>
      </c>
    </row>
    <row r="187" spans="1:15">
      <c r="A187" s="18" t="s">
        <v>503</v>
      </c>
      <c r="B187" s="19" t="s">
        <v>491</v>
      </c>
      <c r="C187" s="20" t="s">
        <v>317</v>
      </c>
      <c r="D187" s="20">
        <v>12</v>
      </c>
      <c r="E187" s="14">
        <v>450</v>
      </c>
      <c r="F187" s="15">
        <v>0</v>
      </c>
      <c r="G187" s="15">
        <v>0</v>
      </c>
      <c r="H187" s="15">
        <v>0</v>
      </c>
      <c r="I187" s="15">
        <v>0</v>
      </c>
      <c r="J187" s="15">
        <v>0</v>
      </c>
      <c r="K187" s="15">
        <v>0</v>
      </c>
      <c r="L187" s="15">
        <v>0</v>
      </c>
      <c r="M187" s="15">
        <v>0</v>
      </c>
      <c r="N187" s="15">
        <v>0</v>
      </c>
      <c r="O187" s="15">
        <v>0</v>
      </c>
    </row>
    <row r="188" spans="1:15">
      <c r="A188" s="18" t="s">
        <v>504</v>
      </c>
      <c r="B188" s="19" t="s">
        <v>491</v>
      </c>
      <c r="C188" s="20" t="s">
        <v>317</v>
      </c>
      <c r="D188" s="20">
        <v>13</v>
      </c>
      <c r="E188" s="14">
        <v>450</v>
      </c>
      <c r="F188" s="15">
        <v>0</v>
      </c>
      <c r="G188" s="15">
        <v>0</v>
      </c>
      <c r="H188" s="15">
        <v>0</v>
      </c>
      <c r="I188" s="15">
        <v>0</v>
      </c>
      <c r="J188" s="15">
        <v>0</v>
      </c>
      <c r="K188" s="15">
        <v>0</v>
      </c>
      <c r="L188" s="15">
        <v>0</v>
      </c>
      <c r="M188" s="15">
        <v>0</v>
      </c>
      <c r="N188" s="15">
        <v>0</v>
      </c>
      <c r="O188" s="15">
        <v>0</v>
      </c>
    </row>
    <row r="189" spans="1:15">
      <c r="A189" s="18" t="s">
        <v>505</v>
      </c>
      <c r="B189" s="19" t="s">
        <v>491</v>
      </c>
      <c r="C189" s="20" t="s">
        <v>317</v>
      </c>
      <c r="D189" s="20">
        <v>14</v>
      </c>
      <c r="E189" s="14">
        <v>450</v>
      </c>
      <c r="F189" s="15">
        <v>0</v>
      </c>
      <c r="G189" s="15">
        <v>0</v>
      </c>
      <c r="H189" s="15">
        <v>0</v>
      </c>
      <c r="I189" s="15">
        <v>0</v>
      </c>
      <c r="J189" s="15">
        <v>0</v>
      </c>
      <c r="K189" s="15">
        <v>0</v>
      </c>
      <c r="L189" s="15">
        <v>0</v>
      </c>
      <c r="M189" s="15">
        <v>0</v>
      </c>
      <c r="N189" s="15">
        <v>0</v>
      </c>
      <c r="O189" s="15">
        <v>0</v>
      </c>
    </row>
    <row r="190" spans="1:15">
      <c r="A190" s="18" t="s">
        <v>506</v>
      </c>
      <c r="B190" s="19" t="s">
        <v>491</v>
      </c>
      <c r="C190" s="20" t="s">
        <v>317</v>
      </c>
      <c r="D190" s="20">
        <v>15</v>
      </c>
      <c r="E190" s="14">
        <v>450</v>
      </c>
      <c r="F190" s="15">
        <v>0</v>
      </c>
      <c r="G190" s="15">
        <v>0</v>
      </c>
      <c r="H190" s="15">
        <v>0</v>
      </c>
      <c r="I190" s="15">
        <v>0</v>
      </c>
      <c r="J190" s="15">
        <v>0</v>
      </c>
      <c r="K190" s="15">
        <v>0</v>
      </c>
      <c r="L190" s="15">
        <v>0</v>
      </c>
      <c r="M190" s="15">
        <v>0</v>
      </c>
      <c r="N190" s="15">
        <v>0</v>
      </c>
      <c r="O190" s="15">
        <v>0</v>
      </c>
    </row>
    <row r="191" spans="1:15">
      <c r="A191" s="18" t="s">
        <v>507</v>
      </c>
      <c r="B191" s="19" t="s">
        <v>491</v>
      </c>
      <c r="C191" s="20" t="s">
        <v>317</v>
      </c>
      <c r="D191" s="20">
        <v>16</v>
      </c>
      <c r="E191" s="14">
        <v>450</v>
      </c>
      <c r="F191" s="15">
        <v>0</v>
      </c>
      <c r="G191" s="15">
        <v>0</v>
      </c>
      <c r="H191" s="15">
        <v>0</v>
      </c>
      <c r="I191" s="15">
        <v>0</v>
      </c>
      <c r="J191" s="15">
        <v>0</v>
      </c>
      <c r="K191" s="15">
        <v>0</v>
      </c>
      <c r="L191" s="15">
        <v>0</v>
      </c>
      <c r="M191" s="15">
        <v>0</v>
      </c>
      <c r="N191" s="15">
        <v>0</v>
      </c>
      <c r="O191" s="15">
        <v>0</v>
      </c>
    </row>
    <row r="192" spans="1:15">
      <c r="A192" s="18" t="s">
        <v>508</v>
      </c>
      <c r="B192" s="19" t="s">
        <v>491</v>
      </c>
      <c r="C192" s="20" t="s">
        <v>317</v>
      </c>
      <c r="D192" s="20">
        <v>17</v>
      </c>
      <c r="E192" s="14">
        <v>450</v>
      </c>
      <c r="F192" s="15">
        <v>0</v>
      </c>
      <c r="G192" s="15">
        <v>0</v>
      </c>
      <c r="H192" s="15">
        <v>0</v>
      </c>
      <c r="I192" s="15">
        <v>0</v>
      </c>
      <c r="J192" s="15">
        <v>0</v>
      </c>
      <c r="K192" s="15">
        <v>0</v>
      </c>
      <c r="L192" s="15">
        <v>0</v>
      </c>
      <c r="M192" s="15">
        <v>0</v>
      </c>
      <c r="N192" s="15">
        <v>0</v>
      </c>
      <c r="O192" s="15">
        <v>0</v>
      </c>
    </row>
    <row r="193" spans="1:15">
      <c r="A193" s="18" t="s">
        <v>509</v>
      </c>
      <c r="B193" s="19" t="s">
        <v>491</v>
      </c>
      <c r="C193" s="20" t="s">
        <v>317</v>
      </c>
      <c r="D193" s="20">
        <v>18</v>
      </c>
      <c r="E193" s="14">
        <v>450</v>
      </c>
      <c r="F193" s="15">
        <v>0</v>
      </c>
      <c r="G193" s="15">
        <v>0</v>
      </c>
      <c r="H193" s="15">
        <v>0</v>
      </c>
      <c r="I193" s="15">
        <v>0</v>
      </c>
      <c r="J193" s="15">
        <v>0</v>
      </c>
      <c r="K193" s="15">
        <v>0</v>
      </c>
      <c r="L193" s="15">
        <v>0</v>
      </c>
      <c r="M193" s="15">
        <v>0</v>
      </c>
      <c r="N193" s="15">
        <v>0</v>
      </c>
      <c r="O193" s="15">
        <v>0</v>
      </c>
    </row>
    <row r="194" spans="1:15">
      <c r="A194" s="18" t="s">
        <v>510</v>
      </c>
      <c r="B194" s="19" t="s">
        <v>491</v>
      </c>
      <c r="C194" s="20" t="s">
        <v>317</v>
      </c>
      <c r="D194" s="20">
        <v>19</v>
      </c>
      <c r="E194" s="14">
        <v>450</v>
      </c>
      <c r="F194" s="15">
        <v>0</v>
      </c>
      <c r="G194" s="15">
        <v>0</v>
      </c>
      <c r="H194" s="15">
        <v>0</v>
      </c>
      <c r="I194" s="15">
        <v>0</v>
      </c>
      <c r="J194" s="15">
        <v>0</v>
      </c>
      <c r="K194" s="15">
        <v>0</v>
      </c>
      <c r="L194" s="15">
        <v>0</v>
      </c>
      <c r="M194" s="15">
        <v>0</v>
      </c>
      <c r="N194" s="15">
        <v>0</v>
      </c>
      <c r="O194" s="15">
        <v>0</v>
      </c>
    </row>
    <row r="195" spans="1:15">
      <c r="A195" s="18" t="s">
        <v>511</v>
      </c>
      <c r="B195" s="19" t="s">
        <v>491</v>
      </c>
      <c r="C195" s="20" t="s">
        <v>317</v>
      </c>
      <c r="D195" s="20">
        <v>20</v>
      </c>
      <c r="E195" s="14">
        <v>450</v>
      </c>
      <c r="F195" s="15">
        <v>0</v>
      </c>
      <c r="G195" s="15">
        <v>0</v>
      </c>
      <c r="H195" s="15">
        <v>0</v>
      </c>
      <c r="I195" s="15">
        <v>0</v>
      </c>
      <c r="J195" s="15">
        <v>0</v>
      </c>
      <c r="K195" s="15">
        <v>0</v>
      </c>
      <c r="L195" s="15">
        <v>0</v>
      </c>
      <c r="M195" s="15">
        <v>0</v>
      </c>
      <c r="N195" s="15">
        <v>0</v>
      </c>
      <c r="O195" s="15">
        <v>0</v>
      </c>
    </row>
    <row r="196" spans="1:15">
      <c r="A196" s="18" t="s">
        <v>512</v>
      </c>
      <c r="B196" s="19" t="s">
        <v>491</v>
      </c>
      <c r="C196" s="20" t="s">
        <v>317</v>
      </c>
      <c r="D196" s="20">
        <v>21</v>
      </c>
      <c r="E196" s="14">
        <v>450</v>
      </c>
      <c r="F196" s="15">
        <v>0</v>
      </c>
      <c r="G196" s="15">
        <v>0</v>
      </c>
      <c r="H196" s="15">
        <v>0</v>
      </c>
      <c r="I196" s="15">
        <v>0</v>
      </c>
      <c r="J196" s="15">
        <v>0</v>
      </c>
      <c r="K196" s="15">
        <v>0</v>
      </c>
      <c r="L196" s="15">
        <v>0</v>
      </c>
      <c r="M196" s="15">
        <v>0</v>
      </c>
      <c r="N196" s="15">
        <v>0</v>
      </c>
      <c r="O196" s="15">
        <v>0</v>
      </c>
    </row>
    <row r="197" spans="1:15">
      <c r="A197" s="18" t="s">
        <v>513</v>
      </c>
      <c r="B197" s="19" t="s">
        <v>491</v>
      </c>
      <c r="C197" s="20" t="s">
        <v>317</v>
      </c>
      <c r="D197" s="20">
        <v>22</v>
      </c>
      <c r="E197" s="14">
        <v>450</v>
      </c>
      <c r="F197" s="15">
        <v>0</v>
      </c>
      <c r="G197" s="15">
        <v>0</v>
      </c>
      <c r="H197" s="15">
        <v>0</v>
      </c>
      <c r="I197" s="15">
        <v>0</v>
      </c>
      <c r="J197" s="15">
        <v>0</v>
      </c>
      <c r="K197" s="15">
        <v>0</v>
      </c>
      <c r="L197" s="15">
        <v>0</v>
      </c>
      <c r="M197" s="15">
        <v>0</v>
      </c>
      <c r="N197" s="15">
        <v>0</v>
      </c>
      <c r="O197" s="15">
        <v>0</v>
      </c>
    </row>
    <row r="198" spans="1:15">
      <c r="A198" s="18" t="s">
        <v>514</v>
      </c>
      <c r="B198" s="19" t="s">
        <v>491</v>
      </c>
      <c r="C198" s="20" t="s">
        <v>317</v>
      </c>
      <c r="D198" s="20">
        <v>23</v>
      </c>
      <c r="E198" s="14">
        <v>450</v>
      </c>
      <c r="F198" s="15">
        <v>0</v>
      </c>
      <c r="G198" s="15">
        <v>0</v>
      </c>
      <c r="H198" s="15">
        <v>0</v>
      </c>
      <c r="I198" s="15">
        <v>0</v>
      </c>
      <c r="J198" s="15">
        <v>0</v>
      </c>
      <c r="K198" s="15">
        <v>0</v>
      </c>
      <c r="L198" s="15">
        <v>0</v>
      </c>
      <c r="M198" s="15">
        <v>0</v>
      </c>
      <c r="N198" s="15">
        <v>0</v>
      </c>
      <c r="O198" s="15">
        <v>0</v>
      </c>
    </row>
    <row r="199" spans="1:15">
      <c r="A199" s="18" t="s">
        <v>515</v>
      </c>
      <c r="B199" s="19" t="s">
        <v>491</v>
      </c>
      <c r="C199" s="20" t="s">
        <v>317</v>
      </c>
      <c r="D199" s="20">
        <v>24</v>
      </c>
      <c r="E199" s="14">
        <v>450</v>
      </c>
      <c r="F199" s="15">
        <v>0</v>
      </c>
      <c r="G199" s="15">
        <v>0</v>
      </c>
      <c r="H199" s="15">
        <v>0</v>
      </c>
      <c r="I199" s="15">
        <v>0</v>
      </c>
      <c r="J199" s="15">
        <v>0</v>
      </c>
      <c r="K199" s="15">
        <v>0</v>
      </c>
      <c r="L199" s="15">
        <v>0</v>
      </c>
      <c r="M199" s="15">
        <v>0</v>
      </c>
      <c r="N199" s="15">
        <v>0</v>
      </c>
      <c r="O199" s="15">
        <v>0</v>
      </c>
    </row>
    <row r="200" spans="1:15">
      <c r="A200" s="18" t="s">
        <v>516</v>
      </c>
      <c r="B200" s="19" t="s">
        <v>491</v>
      </c>
      <c r="C200" s="20" t="s">
        <v>317</v>
      </c>
      <c r="D200" s="20">
        <v>25</v>
      </c>
      <c r="E200" s="14">
        <v>450</v>
      </c>
      <c r="F200" s="15">
        <v>0</v>
      </c>
      <c r="G200" s="15">
        <v>0</v>
      </c>
      <c r="H200" s="15">
        <v>0</v>
      </c>
      <c r="I200" s="15">
        <v>0</v>
      </c>
      <c r="J200" s="15">
        <v>0</v>
      </c>
      <c r="K200" s="15">
        <v>0</v>
      </c>
      <c r="L200" s="15">
        <v>0</v>
      </c>
      <c r="M200" s="15">
        <v>0</v>
      </c>
      <c r="N200" s="15">
        <v>0</v>
      </c>
      <c r="O200" s="15">
        <v>0</v>
      </c>
    </row>
    <row r="201" spans="1:15">
      <c r="A201" s="18" t="s">
        <v>517</v>
      </c>
      <c r="B201" s="19" t="s">
        <v>491</v>
      </c>
      <c r="C201" s="20" t="s">
        <v>317</v>
      </c>
      <c r="D201" s="20">
        <v>26</v>
      </c>
      <c r="E201" s="14">
        <v>450</v>
      </c>
      <c r="F201" s="15">
        <v>0</v>
      </c>
      <c r="G201" s="15">
        <v>0</v>
      </c>
      <c r="H201" s="15">
        <v>0</v>
      </c>
      <c r="I201" s="15">
        <v>0</v>
      </c>
      <c r="J201" s="15">
        <v>0</v>
      </c>
      <c r="K201" s="15">
        <v>0</v>
      </c>
      <c r="L201" s="15">
        <v>0</v>
      </c>
      <c r="M201" s="15">
        <v>0</v>
      </c>
      <c r="N201" s="15">
        <v>0</v>
      </c>
      <c r="O201" s="15">
        <v>0</v>
      </c>
    </row>
    <row r="202" spans="1:15">
      <c r="A202" s="18" t="s">
        <v>518</v>
      </c>
      <c r="B202" s="19" t="s">
        <v>491</v>
      </c>
      <c r="C202" s="20" t="s">
        <v>317</v>
      </c>
      <c r="D202" s="20">
        <v>27</v>
      </c>
      <c r="E202" s="14">
        <v>450</v>
      </c>
      <c r="F202" s="15">
        <v>0</v>
      </c>
      <c r="G202" s="15">
        <v>0</v>
      </c>
      <c r="H202" s="15">
        <v>0</v>
      </c>
      <c r="I202" s="15">
        <v>0</v>
      </c>
      <c r="J202" s="15">
        <v>0</v>
      </c>
      <c r="K202" s="15">
        <v>0</v>
      </c>
      <c r="L202" s="15">
        <v>0</v>
      </c>
      <c r="M202" s="15">
        <v>0</v>
      </c>
      <c r="N202" s="15">
        <v>0</v>
      </c>
      <c r="O202" s="15">
        <v>0</v>
      </c>
    </row>
    <row r="203" spans="1:15">
      <c r="A203" s="18" t="s">
        <v>519</v>
      </c>
      <c r="B203" s="19" t="s">
        <v>491</v>
      </c>
      <c r="C203" s="20" t="s">
        <v>317</v>
      </c>
      <c r="D203" s="20">
        <v>28</v>
      </c>
      <c r="E203" s="14">
        <v>450</v>
      </c>
      <c r="F203" s="15">
        <v>0</v>
      </c>
      <c r="G203" s="15">
        <v>0</v>
      </c>
      <c r="H203" s="15">
        <v>0</v>
      </c>
      <c r="I203" s="15">
        <v>0</v>
      </c>
      <c r="J203" s="15">
        <v>0</v>
      </c>
      <c r="K203" s="15">
        <v>0</v>
      </c>
      <c r="L203" s="15">
        <v>0</v>
      </c>
      <c r="M203" s="15">
        <v>0</v>
      </c>
      <c r="N203" s="15">
        <v>0</v>
      </c>
      <c r="O203" s="15">
        <v>0</v>
      </c>
    </row>
    <row r="204" spans="1:15">
      <c r="A204" s="18" t="s">
        <v>520</v>
      </c>
      <c r="B204" s="19" t="s">
        <v>491</v>
      </c>
      <c r="C204" s="20" t="s">
        <v>317</v>
      </c>
      <c r="D204" s="20">
        <v>29</v>
      </c>
      <c r="E204" s="14">
        <v>450</v>
      </c>
      <c r="F204" s="15">
        <v>0</v>
      </c>
      <c r="G204" s="15">
        <v>0</v>
      </c>
      <c r="H204" s="15">
        <v>0</v>
      </c>
      <c r="I204" s="15">
        <v>0</v>
      </c>
      <c r="J204" s="15">
        <v>0</v>
      </c>
      <c r="K204" s="15">
        <v>0</v>
      </c>
      <c r="L204" s="15">
        <v>0</v>
      </c>
      <c r="M204" s="15">
        <v>0</v>
      </c>
      <c r="N204" s="15">
        <v>0</v>
      </c>
      <c r="O204" s="15">
        <v>0</v>
      </c>
    </row>
    <row r="205" spans="1:15">
      <c r="A205" s="18" t="s">
        <v>521</v>
      </c>
      <c r="B205" s="19" t="s">
        <v>491</v>
      </c>
      <c r="C205" s="20" t="s">
        <v>317</v>
      </c>
      <c r="D205" s="20">
        <v>30</v>
      </c>
      <c r="E205" s="14">
        <v>450</v>
      </c>
      <c r="F205" s="15">
        <v>0</v>
      </c>
      <c r="G205" s="15">
        <v>0</v>
      </c>
      <c r="H205" s="15">
        <v>0</v>
      </c>
      <c r="I205" s="15">
        <v>0</v>
      </c>
      <c r="J205" s="15">
        <v>0</v>
      </c>
      <c r="K205" s="15">
        <v>0</v>
      </c>
      <c r="L205" s="15">
        <v>0</v>
      </c>
      <c r="M205" s="15">
        <v>0</v>
      </c>
      <c r="N205" s="15">
        <v>0</v>
      </c>
      <c r="O205" s="15">
        <v>0</v>
      </c>
    </row>
    <row r="206" spans="1:15">
      <c r="A206" s="18" t="s">
        <v>522</v>
      </c>
      <c r="B206" s="19" t="s">
        <v>491</v>
      </c>
      <c r="C206" s="20" t="s">
        <v>317</v>
      </c>
      <c r="D206" s="20">
        <v>31</v>
      </c>
      <c r="E206" s="14">
        <v>450</v>
      </c>
      <c r="F206" s="15">
        <v>0</v>
      </c>
      <c r="G206" s="15">
        <v>0</v>
      </c>
      <c r="H206" s="15">
        <v>0</v>
      </c>
      <c r="I206" s="15">
        <v>0</v>
      </c>
      <c r="J206" s="15">
        <v>0</v>
      </c>
      <c r="K206" s="15">
        <v>0</v>
      </c>
      <c r="L206" s="15">
        <v>0</v>
      </c>
      <c r="M206" s="15">
        <v>0</v>
      </c>
      <c r="N206" s="15">
        <v>0</v>
      </c>
      <c r="O206" s="15">
        <v>0</v>
      </c>
    </row>
    <row r="207" spans="1:15">
      <c r="A207" s="18" t="s">
        <v>523</v>
      </c>
      <c r="B207" s="19" t="s">
        <v>491</v>
      </c>
      <c r="C207" s="20" t="s">
        <v>317</v>
      </c>
      <c r="D207" s="20">
        <v>32</v>
      </c>
      <c r="E207" s="14">
        <v>450</v>
      </c>
      <c r="F207" s="15">
        <v>0</v>
      </c>
      <c r="G207" s="15">
        <v>0</v>
      </c>
      <c r="H207" s="15">
        <v>0</v>
      </c>
      <c r="I207" s="15">
        <v>0</v>
      </c>
      <c r="J207" s="15">
        <v>0</v>
      </c>
      <c r="K207" s="15">
        <v>0</v>
      </c>
      <c r="L207" s="15">
        <v>0</v>
      </c>
      <c r="M207" s="15">
        <v>0</v>
      </c>
      <c r="N207" s="15">
        <v>0</v>
      </c>
      <c r="O207" s="15">
        <v>0</v>
      </c>
    </row>
    <row r="208" spans="1:15">
      <c r="A208" s="18" t="s">
        <v>524</v>
      </c>
      <c r="B208" s="19" t="s">
        <v>491</v>
      </c>
      <c r="C208" s="20" t="s">
        <v>317</v>
      </c>
      <c r="D208" s="20">
        <v>33</v>
      </c>
      <c r="E208" s="14">
        <v>450</v>
      </c>
      <c r="F208" s="15">
        <v>0</v>
      </c>
      <c r="G208" s="15">
        <v>0</v>
      </c>
      <c r="H208" s="15">
        <v>0</v>
      </c>
      <c r="I208" s="15">
        <v>0</v>
      </c>
      <c r="J208" s="15">
        <v>0</v>
      </c>
      <c r="K208" s="15">
        <v>0</v>
      </c>
      <c r="L208" s="15">
        <v>0</v>
      </c>
      <c r="M208" s="15">
        <v>0</v>
      </c>
      <c r="N208" s="15">
        <v>0</v>
      </c>
      <c r="O208" s="15">
        <v>0</v>
      </c>
    </row>
    <row r="209" spans="1:15">
      <c r="A209" s="18" t="s">
        <v>525</v>
      </c>
      <c r="B209" s="19" t="s">
        <v>491</v>
      </c>
      <c r="C209" s="20" t="s">
        <v>317</v>
      </c>
      <c r="D209" s="20">
        <v>34</v>
      </c>
      <c r="E209" s="14">
        <v>450</v>
      </c>
      <c r="F209" s="15">
        <v>0</v>
      </c>
      <c r="G209" s="15">
        <v>0</v>
      </c>
      <c r="H209" s="15">
        <v>0</v>
      </c>
      <c r="I209" s="15">
        <v>0</v>
      </c>
      <c r="J209" s="15">
        <v>0</v>
      </c>
      <c r="K209" s="15">
        <v>0</v>
      </c>
      <c r="L209" s="15">
        <v>0</v>
      </c>
      <c r="M209" s="15">
        <v>0</v>
      </c>
      <c r="N209" s="15">
        <v>0</v>
      </c>
      <c r="O209" s="15">
        <v>0</v>
      </c>
    </row>
    <row r="210" spans="1:15">
      <c r="A210" s="18" t="s">
        <v>526</v>
      </c>
      <c r="B210" s="19" t="s">
        <v>491</v>
      </c>
      <c r="C210" s="20" t="s">
        <v>317</v>
      </c>
      <c r="D210" s="20">
        <v>35</v>
      </c>
      <c r="E210" s="14">
        <v>450</v>
      </c>
      <c r="F210" s="15">
        <v>0</v>
      </c>
      <c r="G210" s="15">
        <v>0</v>
      </c>
      <c r="H210" s="15">
        <v>0</v>
      </c>
      <c r="I210" s="15">
        <v>0</v>
      </c>
      <c r="J210" s="15">
        <v>0</v>
      </c>
      <c r="K210" s="15">
        <v>0</v>
      </c>
      <c r="L210" s="15">
        <v>0</v>
      </c>
      <c r="M210" s="15">
        <v>0</v>
      </c>
      <c r="N210" s="15">
        <v>0</v>
      </c>
      <c r="O210" s="15">
        <v>0</v>
      </c>
    </row>
    <row r="211" spans="1:15">
      <c r="A211" s="18" t="s">
        <v>527</v>
      </c>
      <c r="B211" s="19" t="s">
        <v>491</v>
      </c>
      <c r="C211" s="20" t="s">
        <v>317</v>
      </c>
      <c r="D211" s="20">
        <v>36</v>
      </c>
      <c r="E211" s="14">
        <v>450</v>
      </c>
      <c r="F211" s="15">
        <v>0</v>
      </c>
      <c r="G211" s="15">
        <v>0</v>
      </c>
      <c r="H211" s="15">
        <v>0</v>
      </c>
      <c r="I211" s="15">
        <v>0</v>
      </c>
      <c r="J211" s="15">
        <v>0</v>
      </c>
      <c r="K211" s="15">
        <v>0</v>
      </c>
      <c r="L211" s="15">
        <v>0</v>
      </c>
      <c r="M211" s="15">
        <v>0</v>
      </c>
      <c r="N211" s="15">
        <v>0</v>
      </c>
      <c r="O211" s="15">
        <v>0</v>
      </c>
    </row>
    <row r="212" spans="1:15">
      <c r="A212" s="18" t="s">
        <v>528</v>
      </c>
      <c r="B212" s="19" t="s">
        <v>491</v>
      </c>
      <c r="C212" s="20" t="s">
        <v>317</v>
      </c>
      <c r="D212" s="20">
        <v>37</v>
      </c>
      <c r="E212" s="14">
        <v>450</v>
      </c>
      <c r="F212" s="15">
        <v>0</v>
      </c>
      <c r="G212" s="15">
        <v>0</v>
      </c>
      <c r="H212" s="15">
        <v>0</v>
      </c>
      <c r="I212" s="15">
        <v>0</v>
      </c>
      <c r="J212" s="15">
        <v>0</v>
      </c>
      <c r="K212" s="15">
        <v>0</v>
      </c>
      <c r="L212" s="15">
        <v>0</v>
      </c>
      <c r="M212" s="15">
        <v>0</v>
      </c>
      <c r="N212" s="15">
        <v>0</v>
      </c>
      <c r="O212" s="15">
        <v>0</v>
      </c>
    </row>
    <row r="213" spans="1:15">
      <c r="A213" s="18" t="s">
        <v>529</v>
      </c>
      <c r="B213" s="19" t="s">
        <v>491</v>
      </c>
      <c r="C213" s="20" t="s">
        <v>317</v>
      </c>
      <c r="D213" s="20">
        <v>38</v>
      </c>
      <c r="E213" s="14">
        <v>450</v>
      </c>
      <c r="F213" s="15">
        <v>0</v>
      </c>
      <c r="G213" s="15">
        <v>0</v>
      </c>
      <c r="H213" s="15">
        <v>0</v>
      </c>
      <c r="I213" s="15">
        <v>0</v>
      </c>
      <c r="J213" s="15">
        <v>0</v>
      </c>
      <c r="K213" s="15">
        <v>0</v>
      </c>
      <c r="L213" s="15">
        <v>0</v>
      </c>
      <c r="M213" s="15">
        <v>0</v>
      </c>
      <c r="N213" s="15">
        <v>0</v>
      </c>
      <c r="O213" s="15">
        <v>0</v>
      </c>
    </row>
    <row r="214" spans="1:15">
      <c r="A214" s="18" t="s">
        <v>530</v>
      </c>
      <c r="B214" s="19" t="s">
        <v>491</v>
      </c>
      <c r="C214" s="20" t="s">
        <v>317</v>
      </c>
      <c r="D214" s="20">
        <v>39</v>
      </c>
      <c r="E214" s="14">
        <v>450</v>
      </c>
      <c r="F214" s="15">
        <v>0</v>
      </c>
      <c r="G214" s="15">
        <v>0</v>
      </c>
      <c r="H214" s="15">
        <v>0</v>
      </c>
      <c r="I214" s="15">
        <v>0</v>
      </c>
      <c r="J214" s="15">
        <v>0</v>
      </c>
      <c r="K214" s="15">
        <v>0</v>
      </c>
      <c r="L214" s="15">
        <v>0</v>
      </c>
      <c r="M214" s="15">
        <v>0</v>
      </c>
      <c r="N214" s="15">
        <v>0</v>
      </c>
      <c r="O214" s="15">
        <v>0</v>
      </c>
    </row>
    <row r="215" spans="1:15">
      <c r="A215" s="18" t="s">
        <v>531</v>
      </c>
      <c r="B215" s="19" t="s">
        <v>491</v>
      </c>
      <c r="C215" s="20" t="s">
        <v>317</v>
      </c>
      <c r="D215" s="20">
        <v>40</v>
      </c>
      <c r="E215" s="14">
        <v>450</v>
      </c>
      <c r="F215" s="15">
        <v>0</v>
      </c>
      <c r="G215" s="15">
        <v>0</v>
      </c>
      <c r="H215" s="15">
        <v>0</v>
      </c>
      <c r="I215" s="15">
        <v>0</v>
      </c>
      <c r="J215" s="15">
        <v>0</v>
      </c>
      <c r="K215" s="15">
        <v>0</v>
      </c>
      <c r="L215" s="15">
        <v>0</v>
      </c>
      <c r="M215" s="15">
        <v>0</v>
      </c>
      <c r="N215" s="15">
        <v>0</v>
      </c>
      <c r="O215" s="15">
        <v>0</v>
      </c>
    </row>
    <row r="216" spans="1:15">
      <c r="A216" s="18" t="s">
        <v>532</v>
      </c>
      <c r="B216" s="19" t="s">
        <v>491</v>
      </c>
      <c r="C216" s="20" t="s">
        <v>317</v>
      </c>
      <c r="D216" s="20">
        <v>41</v>
      </c>
      <c r="E216" s="14">
        <v>450</v>
      </c>
      <c r="F216" s="15">
        <v>0</v>
      </c>
      <c r="G216" s="15">
        <v>0</v>
      </c>
      <c r="H216" s="15">
        <v>0</v>
      </c>
      <c r="I216" s="15">
        <v>0</v>
      </c>
      <c r="J216" s="15">
        <v>0</v>
      </c>
      <c r="K216" s="15">
        <v>0</v>
      </c>
      <c r="L216" s="15">
        <v>0</v>
      </c>
      <c r="M216" s="15">
        <v>0</v>
      </c>
      <c r="N216" s="15">
        <v>0</v>
      </c>
      <c r="O216" s="15">
        <v>0</v>
      </c>
    </row>
    <row r="217" spans="1:15">
      <c r="A217" s="18" t="s">
        <v>533</v>
      </c>
      <c r="B217" s="19" t="s">
        <v>491</v>
      </c>
      <c r="C217" s="20" t="s">
        <v>317</v>
      </c>
      <c r="D217" s="20">
        <v>42</v>
      </c>
      <c r="E217" s="14">
        <v>450</v>
      </c>
      <c r="F217" s="15">
        <v>0</v>
      </c>
      <c r="G217" s="15">
        <v>0</v>
      </c>
      <c r="H217" s="15">
        <v>0</v>
      </c>
      <c r="I217" s="15">
        <v>0</v>
      </c>
      <c r="J217" s="15">
        <v>0</v>
      </c>
      <c r="K217" s="15">
        <v>0</v>
      </c>
      <c r="L217" s="15">
        <v>0</v>
      </c>
      <c r="M217" s="15">
        <v>0</v>
      </c>
      <c r="N217" s="15">
        <v>0</v>
      </c>
      <c r="O217" s="15">
        <v>0</v>
      </c>
    </row>
    <row r="218" spans="1:15">
      <c r="A218" s="18" t="s">
        <v>534</v>
      </c>
      <c r="B218" s="19" t="s">
        <v>491</v>
      </c>
      <c r="C218" s="20" t="s">
        <v>317</v>
      </c>
      <c r="D218" s="20">
        <v>43</v>
      </c>
      <c r="E218" s="14">
        <v>450</v>
      </c>
      <c r="F218" s="15">
        <v>0</v>
      </c>
      <c r="G218" s="15">
        <v>0</v>
      </c>
      <c r="H218" s="15">
        <v>0</v>
      </c>
      <c r="I218" s="15">
        <v>0</v>
      </c>
      <c r="J218" s="15">
        <v>0</v>
      </c>
      <c r="K218" s="15">
        <v>0</v>
      </c>
      <c r="L218" s="15">
        <v>0</v>
      </c>
      <c r="M218" s="15">
        <v>0</v>
      </c>
      <c r="N218" s="15">
        <v>0</v>
      </c>
      <c r="O218" s="15">
        <v>0</v>
      </c>
    </row>
    <row r="219" spans="1:15">
      <c r="A219" s="18" t="s">
        <v>535</v>
      </c>
      <c r="B219" s="19" t="s">
        <v>491</v>
      </c>
      <c r="C219" s="20" t="s">
        <v>317</v>
      </c>
      <c r="D219" s="20">
        <v>44</v>
      </c>
      <c r="E219" s="14">
        <v>450</v>
      </c>
      <c r="F219" s="15">
        <v>0</v>
      </c>
      <c r="G219" s="15">
        <v>0</v>
      </c>
      <c r="H219" s="15">
        <v>0</v>
      </c>
      <c r="I219" s="15">
        <v>0</v>
      </c>
      <c r="J219" s="15">
        <v>0</v>
      </c>
      <c r="K219" s="15">
        <v>0</v>
      </c>
      <c r="L219" s="15">
        <v>0</v>
      </c>
      <c r="M219" s="15">
        <v>0</v>
      </c>
      <c r="N219" s="15">
        <v>0</v>
      </c>
      <c r="O219" s="15">
        <v>0</v>
      </c>
    </row>
    <row r="220" spans="1:15">
      <c r="A220" s="18" t="s">
        <v>536</v>
      </c>
      <c r="B220" s="19" t="s">
        <v>491</v>
      </c>
      <c r="C220" s="20" t="s">
        <v>317</v>
      </c>
      <c r="D220" s="20">
        <v>45</v>
      </c>
      <c r="E220" s="14">
        <v>450</v>
      </c>
      <c r="F220" s="15">
        <v>0</v>
      </c>
      <c r="G220" s="15">
        <v>0</v>
      </c>
      <c r="H220" s="15">
        <v>0</v>
      </c>
      <c r="I220" s="15">
        <v>0</v>
      </c>
      <c r="J220" s="15">
        <v>0</v>
      </c>
      <c r="K220" s="15">
        <v>0</v>
      </c>
      <c r="L220" s="15">
        <v>0</v>
      </c>
      <c r="M220" s="15">
        <v>0</v>
      </c>
      <c r="N220" s="15">
        <v>0</v>
      </c>
      <c r="O220" s="15">
        <v>0</v>
      </c>
    </row>
    <row r="221" spans="1:15">
      <c r="A221" s="18" t="s">
        <v>537</v>
      </c>
      <c r="B221" s="19" t="s">
        <v>491</v>
      </c>
      <c r="C221" s="20" t="s">
        <v>317</v>
      </c>
      <c r="D221" s="20">
        <v>46</v>
      </c>
      <c r="E221" s="14">
        <v>450</v>
      </c>
      <c r="F221" s="15">
        <v>0</v>
      </c>
      <c r="G221" s="15">
        <v>0</v>
      </c>
      <c r="H221" s="15">
        <v>0</v>
      </c>
      <c r="I221" s="15">
        <v>0</v>
      </c>
      <c r="J221" s="15">
        <v>0</v>
      </c>
      <c r="K221" s="15">
        <v>0</v>
      </c>
      <c r="L221" s="15">
        <v>0</v>
      </c>
      <c r="M221" s="15">
        <v>0</v>
      </c>
      <c r="N221" s="15">
        <v>0</v>
      </c>
      <c r="O221" s="15">
        <v>0</v>
      </c>
    </row>
    <row r="222" spans="1:15">
      <c r="A222" s="18" t="s">
        <v>538</v>
      </c>
      <c r="B222" s="19" t="s">
        <v>491</v>
      </c>
      <c r="C222" s="20" t="s">
        <v>317</v>
      </c>
      <c r="D222" s="20">
        <v>47</v>
      </c>
      <c r="E222" s="14">
        <v>450</v>
      </c>
      <c r="F222" s="15">
        <v>0</v>
      </c>
      <c r="G222" s="15">
        <v>0</v>
      </c>
      <c r="H222" s="15">
        <v>0</v>
      </c>
      <c r="I222" s="15">
        <v>0</v>
      </c>
      <c r="J222" s="15">
        <v>0</v>
      </c>
      <c r="K222" s="15">
        <v>0</v>
      </c>
      <c r="L222" s="15">
        <v>0</v>
      </c>
      <c r="M222" s="15">
        <v>0</v>
      </c>
      <c r="N222" s="15">
        <v>0</v>
      </c>
      <c r="O222" s="15">
        <v>0</v>
      </c>
    </row>
    <row r="223" spans="1:15">
      <c r="A223" s="18" t="s">
        <v>539</v>
      </c>
      <c r="B223" s="19" t="s">
        <v>491</v>
      </c>
      <c r="C223" s="20" t="s">
        <v>317</v>
      </c>
      <c r="D223" s="20">
        <v>48</v>
      </c>
      <c r="E223" s="14">
        <v>450</v>
      </c>
      <c r="F223" s="15">
        <v>0</v>
      </c>
      <c r="G223" s="15">
        <v>0</v>
      </c>
      <c r="H223" s="15">
        <v>0</v>
      </c>
      <c r="I223" s="15">
        <v>0</v>
      </c>
      <c r="J223" s="15">
        <v>0</v>
      </c>
      <c r="K223" s="15">
        <v>0</v>
      </c>
      <c r="L223" s="15">
        <v>0</v>
      </c>
      <c r="M223" s="15">
        <v>0</v>
      </c>
      <c r="N223" s="15">
        <v>0</v>
      </c>
      <c r="O223" s="15">
        <v>0</v>
      </c>
    </row>
    <row r="224" spans="1:15">
      <c r="A224" s="18" t="s">
        <v>540</v>
      </c>
      <c r="B224" s="19" t="s">
        <v>491</v>
      </c>
      <c r="C224" s="20" t="s">
        <v>317</v>
      </c>
      <c r="D224" s="20">
        <v>49</v>
      </c>
      <c r="E224" s="14">
        <v>450</v>
      </c>
      <c r="F224" s="15">
        <v>0</v>
      </c>
      <c r="G224" s="15">
        <v>0</v>
      </c>
      <c r="H224" s="15">
        <v>0</v>
      </c>
      <c r="I224" s="15">
        <v>0</v>
      </c>
      <c r="J224" s="15">
        <v>0</v>
      </c>
      <c r="K224" s="15">
        <v>0</v>
      </c>
      <c r="L224" s="15">
        <v>0</v>
      </c>
      <c r="M224" s="15">
        <v>0</v>
      </c>
      <c r="N224" s="15">
        <v>0</v>
      </c>
      <c r="O224" s="15">
        <v>0</v>
      </c>
    </row>
    <row r="225" spans="1:15">
      <c r="A225" s="18" t="s">
        <v>541</v>
      </c>
      <c r="B225" s="19" t="s">
        <v>491</v>
      </c>
      <c r="C225" s="20" t="s">
        <v>317</v>
      </c>
      <c r="D225" s="20">
        <v>50</v>
      </c>
      <c r="E225" s="14">
        <v>450</v>
      </c>
      <c r="F225" s="15">
        <v>0</v>
      </c>
      <c r="G225" s="15">
        <v>0</v>
      </c>
      <c r="H225" s="15">
        <v>0</v>
      </c>
      <c r="I225" s="15">
        <v>0</v>
      </c>
      <c r="J225" s="15">
        <v>0</v>
      </c>
      <c r="K225" s="15">
        <v>0</v>
      </c>
      <c r="L225" s="15">
        <v>0</v>
      </c>
      <c r="M225" s="15">
        <v>0</v>
      </c>
      <c r="N225" s="15">
        <v>0</v>
      </c>
      <c r="O225" s="15">
        <v>0</v>
      </c>
    </row>
    <row r="226" spans="1:15">
      <c r="A226" s="18" t="s">
        <v>542</v>
      </c>
      <c r="B226" s="19" t="s">
        <v>491</v>
      </c>
      <c r="C226" s="20" t="s">
        <v>317</v>
      </c>
      <c r="D226" s="20">
        <v>51</v>
      </c>
      <c r="E226" s="14">
        <v>450</v>
      </c>
      <c r="F226" s="15">
        <v>0</v>
      </c>
      <c r="G226" s="15">
        <v>0</v>
      </c>
      <c r="H226" s="15">
        <v>0</v>
      </c>
      <c r="I226" s="15">
        <v>0</v>
      </c>
      <c r="J226" s="15">
        <v>0</v>
      </c>
      <c r="K226" s="15">
        <v>0</v>
      </c>
      <c r="L226" s="15">
        <v>0</v>
      </c>
      <c r="M226" s="15">
        <v>0</v>
      </c>
      <c r="N226" s="15">
        <v>0</v>
      </c>
      <c r="O226" s="15">
        <v>0</v>
      </c>
    </row>
    <row r="227" spans="1:15">
      <c r="A227" s="18" t="s">
        <v>543</v>
      </c>
      <c r="B227" s="19" t="s">
        <v>491</v>
      </c>
      <c r="C227" s="20" t="s">
        <v>317</v>
      </c>
      <c r="D227" s="20">
        <v>52</v>
      </c>
      <c r="E227" s="14">
        <v>450</v>
      </c>
      <c r="F227" s="15">
        <v>0</v>
      </c>
      <c r="G227" s="15">
        <v>0</v>
      </c>
      <c r="H227" s="15">
        <v>0</v>
      </c>
      <c r="I227" s="15">
        <v>0</v>
      </c>
      <c r="J227" s="15">
        <v>0</v>
      </c>
      <c r="K227" s="15">
        <v>0</v>
      </c>
      <c r="L227" s="15">
        <v>0</v>
      </c>
      <c r="M227" s="15">
        <v>0</v>
      </c>
      <c r="N227" s="15">
        <v>0</v>
      </c>
      <c r="O227" s="15">
        <v>0</v>
      </c>
    </row>
    <row r="228" spans="1:15">
      <c r="A228" s="18" t="s">
        <v>544</v>
      </c>
      <c r="B228" s="19" t="s">
        <v>491</v>
      </c>
      <c r="C228" s="20" t="s">
        <v>317</v>
      </c>
      <c r="D228" s="20">
        <v>53</v>
      </c>
      <c r="E228" s="14">
        <v>450</v>
      </c>
      <c r="F228" s="15">
        <v>0</v>
      </c>
      <c r="G228" s="15">
        <v>0</v>
      </c>
      <c r="H228" s="15">
        <v>0</v>
      </c>
      <c r="I228" s="15">
        <v>0</v>
      </c>
      <c r="J228" s="15">
        <v>0</v>
      </c>
      <c r="K228" s="15">
        <v>0</v>
      </c>
      <c r="L228" s="15">
        <v>0</v>
      </c>
      <c r="M228" s="15">
        <v>0</v>
      </c>
      <c r="N228" s="15">
        <v>0</v>
      </c>
      <c r="O228" s="15">
        <v>0</v>
      </c>
    </row>
    <row r="229" spans="1:15">
      <c r="A229" s="18" t="s">
        <v>545</v>
      </c>
      <c r="B229" s="19" t="s">
        <v>491</v>
      </c>
      <c r="C229" s="20" t="s">
        <v>317</v>
      </c>
      <c r="D229" s="20">
        <v>54</v>
      </c>
      <c r="E229" s="14">
        <v>450</v>
      </c>
      <c r="F229" s="15">
        <v>0</v>
      </c>
      <c r="G229" s="15">
        <v>0</v>
      </c>
      <c r="H229" s="15">
        <v>0</v>
      </c>
      <c r="I229" s="15">
        <v>0</v>
      </c>
      <c r="J229" s="15">
        <v>0</v>
      </c>
      <c r="K229" s="15">
        <v>0</v>
      </c>
      <c r="L229" s="15">
        <v>0</v>
      </c>
      <c r="M229" s="15">
        <v>0</v>
      </c>
      <c r="N229" s="15">
        <v>0</v>
      </c>
      <c r="O229" s="15">
        <v>0</v>
      </c>
    </row>
    <row r="230" spans="1:15">
      <c r="A230" s="18" t="s">
        <v>546</v>
      </c>
      <c r="B230" s="19" t="s">
        <v>491</v>
      </c>
      <c r="C230" s="20" t="s">
        <v>317</v>
      </c>
      <c r="D230" s="20">
        <v>55</v>
      </c>
      <c r="E230" s="14">
        <v>450</v>
      </c>
      <c r="F230" s="15">
        <v>0</v>
      </c>
      <c r="G230" s="15">
        <v>0</v>
      </c>
      <c r="H230" s="15">
        <v>0</v>
      </c>
      <c r="I230" s="15">
        <v>0</v>
      </c>
      <c r="J230" s="15">
        <v>0</v>
      </c>
      <c r="K230" s="15">
        <v>0</v>
      </c>
      <c r="L230" s="15">
        <v>0</v>
      </c>
      <c r="M230" s="15">
        <v>0</v>
      </c>
      <c r="N230" s="15">
        <v>0</v>
      </c>
      <c r="O230" s="15">
        <v>0</v>
      </c>
    </row>
    <row r="231" spans="1:15">
      <c r="A231" s="18" t="s">
        <v>547</v>
      </c>
      <c r="B231" s="19" t="s">
        <v>491</v>
      </c>
      <c r="C231" s="20" t="s">
        <v>317</v>
      </c>
      <c r="D231" s="20">
        <v>56</v>
      </c>
      <c r="E231" s="14">
        <v>450</v>
      </c>
      <c r="F231" s="15">
        <v>0</v>
      </c>
      <c r="G231" s="15">
        <v>0</v>
      </c>
      <c r="H231" s="15">
        <v>0</v>
      </c>
      <c r="I231" s="15">
        <v>0</v>
      </c>
      <c r="J231" s="15">
        <v>0</v>
      </c>
      <c r="K231" s="15">
        <v>0</v>
      </c>
      <c r="L231" s="15">
        <v>0</v>
      </c>
      <c r="M231" s="15">
        <v>0</v>
      </c>
      <c r="N231" s="15">
        <v>0</v>
      </c>
      <c r="O231" s="15">
        <v>0</v>
      </c>
    </row>
    <row r="232" spans="1:15">
      <c r="A232" s="18" t="s">
        <v>548</v>
      </c>
      <c r="B232" s="19" t="s">
        <v>491</v>
      </c>
      <c r="C232" s="20" t="s">
        <v>317</v>
      </c>
      <c r="D232" s="20">
        <v>57</v>
      </c>
      <c r="E232" s="14">
        <v>450</v>
      </c>
      <c r="F232" s="15">
        <v>0</v>
      </c>
      <c r="G232" s="15">
        <v>0</v>
      </c>
      <c r="H232" s="15">
        <v>0</v>
      </c>
      <c r="I232" s="15">
        <v>0</v>
      </c>
      <c r="J232" s="15">
        <v>0</v>
      </c>
      <c r="K232" s="15">
        <v>0</v>
      </c>
      <c r="L232" s="15">
        <v>0</v>
      </c>
      <c r="M232" s="15">
        <v>0</v>
      </c>
      <c r="N232" s="15">
        <v>0</v>
      </c>
      <c r="O232" s="15">
        <v>0</v>
      </c>
    </row>
    <row r="233" spans="1:15">
      <c r="A233" s="18" t="s">
        <v>549</v>
      </c>
      <c r="B233" s="19" t="s">
        <v>491</v>
      </c>
      <c r="C233" s="20" t="s">
        <v>317</v>
      </c>
      <c r="D233" s="20">
        <v>58</v>
      </c>
      <c r="E233" s="14">
        <v>450</v>
      </c>
      <c r="F233" s="15">
        <v>0</v>
      </c>
      <c r="G233" s="15">
        <v>0</v>
      </c>
      <c r="H233" s="15">
        <v>0</v>
      </c>
      <c r="I233" s="15">
        <v>0</v>
      </c>
      <c r="J233" s="15">
        <v>0</v>
      </c>
      <c r="K233" s="15">
        <v>0</v>
      </c>
      <c r="L233" s="15">
        <v>0</v>
      </c>
      <c r="M233" s="15">
        <v>0</v>
      </c>
      <c r="N233" s="15">
        <v>0</v>
      </c>
      <c r="O233" s="15">
        <v>0</v>
      </c>
    </row>
    <row r="234" spans="1:15">
      <c r="A234" s="18" t="s">
        <v>550</v>
      </c>
      <c r="B234" s="19" t="s">
        <v>491</v>
      </c>
      <c r="C234" s="20" t="s">
        <v>317</v>
      </c>
      <c r="D234" s="20">
        <v>59</v>
      </c>
      <c r="E234" s="14">
        <v>450</v>
      </c>
      <c r="F234" s="15">
        <v>0</v>
      </c>
      <c r="G234" s="15">
        <v>0</v>
      </c>
      <c r="H234" s="15">
        <v>0</v>
      </c>
      <c r="I234" s="15">
        <v>0</v>
      </c>
      <c r="J234" s="15">
        <v>0</v>
      </c>
      <c r="K234" s="15">
        <v>0</v>
      </c>
      <c r="L234" s="15">
        <v>0</v>
      </c>
      <c r="M234" s="15">
        <v>0</v>
      </c>
      <c r="N234" s="15">
        <v>0</v>
      </c>
      <c r="O234" s="15">
        <v>0</v>
      </c>
    </row>
    <row r="235" spans="1:15">
      <c r="A235" s="18" t="s">
        <v>551</v>
      </c>
      <c r="B235" s="19" t="s">
        <v>491</v>
      </c>
      <c r="C235" s="20" t="s">
        <v>317</v>
      </c>
      <c r="D235" s="20">
        <v>60</v>
      </c>
      <c r="E235" s="14">
        <v>450</v>
      </c>
      <c r="F235" s="15">
        <v>0</v>
      </c>
      <c r="G235" s="15">
        <v>0</v>
      </c>
      <c r="H235" s="15">
        <v>0</v>
      </c>
      <c r="I235" s="15">
        <v>0</v>
      </c>
      <c r="J235" s="15">
        <v>0</v>
      </c>
      <c r="K235" s="15">
        <v>0</v>
      </c>
      <c r="L235" s="15">
        <v>0</v>
      </c>
      <c r="M235" s="15">
        <v>0</v>
      </c>
      <c r="N235" s="15">
        <v>0</v>
      </c>
      <c r="O235" s="15">
        <v>0</v>
      </c>
    </row>
    <row r="236" spans="1:15">
      <c r="A236" s="18" t="s">
        <v>552</v>
      </c>
      <c r="B236" s="19" t="s">
        <v>491</v>
      </c>
      <c r="C236" s="20" t="s">
        <v>317</v>
      </c>
      <c r="D236" s="20">
        <v>61</v>
      </c>
      <c r="E236" s="14">
        <v>450</v>
      </c>
      <c r="F236" s="15">
        <v>0</v>
      </c>
      <c r="G236" s="15">
        <v>0</v>
      </c>
      <c r="H236" s="15">
        <v>0</v>
      </c>
      <c r="I236" s="15">
        <v>0</v>
      </c>
      <c r="J236" s="15">
        <v>0</v>
      </c>
      <c r="K236" s="15">
        <v>0</v>
      </c>
      <c r="L236" s="15">
        <v>0</v>
      </c>
      <c r="M236" s="15">
        <v>0</v>
      </c>
      <c r="N236" s="15">
        <v>0</v>
      </c>
      <c r="O236" s="15">
        <v>0</v>
      </c>
    </row>
    <row r="237" spans="1:15">
      <c r="A237" s="18" t="s">
        <v>553</v>
      </c>
      <c r="B237" s="19" t="s">
        <v>491</v>
      </c>
      <c r="C237" s="20" t="s">
        <v>317</v>
      </c>
      <c r="D237" s="20">
        <v>62</v>
      </c>
      <c r="E237" s="14">
        <v>450</v>
      </c>
      <c r="F237" s="15">
        <v>0</v>
      </c>
      <c r="G237" s="15">
        <v>0</v>
      </c>
      <c r="H237" s="15">
        <v>0</v>
      </c>
      <c r="I237" s="15">
        <v>0</v>
      </c>
      <c r="J237" s="15">
        <v>0</v>
      </c>
      <c r="K237" s="15">
        <v>0</v>
      </c>
      <c r="L237" s="15">
        <v>0</v>
      </c>
      <c r="M237" s="15">
        <v>0</v>
      </c>
      <c r="N237" s="15">
        <v>0</v>
      </c>
      <c r="O237" s="15">
        <v>0</v>
      </c>
    </row>
    <row r="238" spans="1:15">
      <c r="A238" s="18" t="s">
        <v>554</v>
      </c>
      <c r="B238" s="19" t="s">
        <v>491</v>
      </c>
      <c r="C238" s="20" t="s">
        <v>317</v>
      </c>
      <c r="D238" s="20">
        <v>63</v>
      </c>
      <c r="E238" s="14">
        <v>450</v>
      </c>
      <c r="F238" s="15">
        <v>0</v>
      </c>
      <c r="G238" s="15">
        <v>0</v>
      </c>
      <c r="H238" s="15">
        <v>0</v>
      </c>
      <c r="I238" s="15">
        <v>0</v>
      </c>
      <c r="J238" s="15">
        <v>0</v>
      </c>
      <c r="K238" s="15">
        <v>0</v>
      </c>
      <c r="L238" s="15">
        <v>0</v>
      </c>
      <c r="M238" s="15">
        <v>0</v>
      </c>
      <c r="N238" s="15">
        <v>0</v>
      </c>
      <c r="O238" s="15">
        <v>0</v>
      </c>
    </row>
    <row r="239" spans="1:15">
      <c r="A239" s="18" t="s">
        <v>555</v>
      </c>
      <c r="B239" s="19" t="s">
        <v>491</v>
      </c>
      <c r="C239" s="20" t="s">
        <v>317</v>
      </c>
      <c r="D239" s="20">
        <v>64</v>
      </c>
      <c r="E239" s="14">
        <v>450</v>
      </c>
      <c r="F239" s="15">
        <v>0</v>
      </c>
      <c r="G239" s="15">
        <v>0</v>
      </c>
      <c r="H239" s="15">
        <v>0</v>
      </c>
      <c r="I239" s="15">
        <v>0</v>
      </c>
      <c r="J239" s="15">
        <v>0</v>
      </c>
      <c r="K239" s="15">
        <v>0</v>
      </c>
      <c r="L239" s="15">
        <v>0</v>
      </c>
      <c r="M239" s="15">
        <v>0</v>
      </c>
      <c r="N239" s="15">
        <v>0</v>
      </c>
      <c r="O239" s="15">
        <v>0</v>
      </c>
    </row>
    <row r="240" spans="1:15">
      <c r="A240" s="18" t="s">
        <v>556</v>
      </c>
      <c r="B240" s="19" t="s">
        <v>491</v>
      </c>
      <c r="C240" s="20" t="s">
        <v>317</v>
      </c>
      <c r="D240" s="20">
        <v>65</v>
      </c>
      <c r="E240" s="14">
        <v>450</v>
      </c>
      <c r="F240" s="15">
        <v>0</v>
      </c>
      <c r="G240" s="15">
        <v>0</v>
      </c>
      <c r="H240" s="15">
        <v>0</v>
      </c>
      <c r="I240" s="15">
        <v>0</v>
      </c>
      <c r="J240" s="15">
        <v>0</v>
      </c>
      <c r="K240" s="15">
        <v>0</v>
      </c>
      <c r="L240" s="15">
        <v>0</v>
      </c>
      <c r="M240" s="15">
        <v>0</v>
      </c>
      <c r="N240" s="15">
        <v>0</v>
      </c>
      <c r="O240" s="15">
        <v>0</v>
      </c>
    </row>
    <row r="241" spans="1:15">
      <c r="A241" s="18" t="s">
        <v>557</v>
      </c>
      <c r="B241" s="19" t="s">
        <v>491</v>
      </c>
      <c r="C241" s="20" t="s">
        <v>317</v>
      </c>
      <c r="D241" s="20">
        <v>66</v>
      </c>
      <c r="E241" s="14">
        <v>450</v>
      </c>
      <c r="F241" s="15">
        <v>0</v>
      </c>
      <c r="G241" s="15">
        <v>0</v>
      </c>
      <c r="H241" s="15">
        <v>0</v>
      </c>
      <c r="I241" s="15">
        <v>0</v>
      </c>
      <c r="J241" s="15">
        <v>0</v>
      </c>
      <c r="K241" s="15">
        <v>0</v>
      </c>
      <c r="L241" s="15">
        <v>0</v>
      </c>
      <c r="M241" s="15">
        <v>0</v>
      </c>
      <c r="N241" s="15">
        <v>0</v>
      </c>
      <c r="O241" s="15">
        <v>0</v>
      </c>
    </row>
    <row r="242" spans="1:15">
      <c r="A242" s="18" t="s">
        <v>558</v>
      </c>
      <c r="B242" s="19" t="s">
        <v>491</v>
      </c>
      <c r="C242" s="20" t="s">
        <v>317</v>
      </c>
      <c r="D242" s="20">
        <v>67</v>
      </c>
      <c r="E242" s="14">
        <v>450</v>
      </c>
      <c r="F242" s="15">
        <v>0</v>
      </c>
      <c r="G242" s="15">
        <v>0</v>
      </c>
      <c r="H242" s="15">
        <v>0</v>
      </c>
      <c r="I242" s="15">
        <v>0</v>
      </c>
      <c r="J242" s="15">
        <v>0</v>
      </c>
      <c r="K242" s="15">
        <v>0</v>
      </c>
      <c r="L242" s="15">
        <v>0</v>
      </c>
      <c r="M242" s="15">
        <v>0</v>
      </c>
      <c r="N242" s="15">
        <v>0</v>
      </c>
      <c r="O242" s="15">
        <v>0</v>
      </c>
    </row>
    <row r="243" spans="1:15">
      <c r="A243" s="18" t="s">
        <v>559</v>
      </c>
      <c r="B243" s="19" t="s">
        <v>491</v>
      </c>
      <c r="C243" s="20" t="s">
        <v>317</v>
      </c>
      <c r="D243" s="20">
        <v>68</v>
      </c>
      <c r="E243" s="14">
        <v>450</v>
      </c>
      <c r="F243" s="15">
        <v>0</v>
      </c>
      <c r="G243" s="15">
        <v>0</v>
      </c>
      <c r="H243" s="15">
        <v>0</v>
      </c>
      <c r="I243" s="15">
        <v>0</v>
      </c>
      <c r="J243" s="15">
        <v>0</v>
      </c>
      <c r="K243" s="15">
        <v>0</v>
      </c>
      <c r="L243" s="15">
        <v>0</v>
      </c>
      <c r="M243" s="15">
        <v>0</v>
      </c>
      <c r="N243" s="15">
        <v>0</v>
      </c>
      <c r="O243" s="15">
        <v>0</v>
      </c>
    </row>
    <row r="244" spans="1:15">
      <c r="A244" s="18" t="s">
        <v>560</v>
      </c>
      <c r="B244" s="19" t="s">
        <v>491</v>
      </c>
      <c r="C244" s="20" t="s">
        <v>317</v>
      </c>
      <c r="D244" s="20">
        <v>69</v>
      </c>
      <c r="E244" s="14">
        <v>450</v>
      </c>
      <c r="F244" s="15">
        <v>0</v>
      </c>
      <c r="G244" s="15">
        <v>0</v>
      </c>
      <c r="H244" s="15">
        <v>0</v>
      </c>
      <c r="I244" s="15">
        <v>0</v>
      </c>
      <c r="J244" s="15">
        <v>0</v>
      </c>
      <c r="K244" s="15">
        <v>0</v>
      </c>
      <c r="L244" s="15">
        <v>0</v>
      </c>
      <c r="M244" s="15">
        <v>0</v>
      </c>
      <c r="N244" s="15">
        <v>0</v>
      </c>
      <c r="O244" s="15">
        <v>0</v>
      </c>
    </row>
    <row r="245" spans="1:15">
      <c r="A245" s="18" t="s">
        <v>561</v>
      </c>
      <c r="B245" s="19" t="s">
        <v>491</v>
      </c>
      <c r="C245" s="20" t="s">
        <v>317</v>
      </c>
      <c r="D245" s="20">
        <v>70</v>
      </c>
      <c r="E245" s="14">
        <v>450</v>
      </c>
      <c r="F245" s="15">
        <v>0</v>
      </c>
      <c r="G245" s="15">
        <v>0</v>
      </c>
      <c r="H245" s="15">
        <v>0</v>
      </c>
      <c r="I245" s="15">
        <v>0</v>
      </c>
      <c r="J245" s="15">
        <v>0</v>
      </c>
      <c r="K245" s="15">
        <v>0</v>
      </c>
      <c r="L245" s="15">
        <v>0</v>
      </c>
      <c r="M245" s="15">
        <v>0</v>
      </c>
      <c r="N245" s="15">
        <v>0</v>
      </c>
      <c r="O245" s="15">
        <v>0</v>
      </c>
    </row>
    <row r="246" spans="1:15">
      <c r="A246" s="18" t="s">
        <v>562</v>
      </c>
      <c r="B246" s="19" t="s">
        <v>491</v>
      </c>
      <c r="C246" s="20" t="s">
        <v>317</v>
      </c>
      <c r="D246" s="20">
        <v>71</v>
      </c>
      <c r="E246" s="14">
        <v>450</v>
      </c>
      <c r="F246" s="15">
        <v>0</v>
      </c>
      <c r="G246" s="15">
        <v>0</v>
      </c>
      <c r="H246" s="15">
        <v>0</v>
      </c>
      <c r="I246" s="15">
        <v>0</v>
      </c>
      <c r="J246" s="15">
        <v>0</v>
      </c>
      <c r="K246" s="15">
        <v>0</v>
      </c>
      <c r="L246" s="15">
        <v>0</v>
      </c>
      <c r="M246" s="15">
        <v>0</v>
      </c>
      <c r="N246" s="15">
        <v>0</v>
      </c>
      <c r="O246" s="15">
        <v>0</v>
      </c>
    </row>
    <row r="247" spans="1:15">
      <c r="A247" s="18" t="s">
        <v>563</v>
      </c>
      <c r="B247" s="19" t="s">
        <v>491</v>
      </c>
      <c r="C247" s="20" t="s">
        <v>317</v>
      </c>
      <c r="D247" s="20">
        <v>72</v>
      </c>
      <c r="E247" s="14">
        <v>450</v>
      </c>
      <c r="F247" s="15">
        <v>0</v>
      </c>
      <c r="G247" s="15">
        <v>0</v>
      </c>
      <c r="H247" s="15">
        <v>0</v>
      </c>
      <c r="I247" s="15">
        <v>0</v>
      </c>
      <c r="J247" s="15">
        <v>0</v>
      </c>
      <c r="K247" s="15">
        <v>0</v>
      </c>
      <c r="L247" s="15">
        <v>0</v>
      </c>
      <c r="M247" s="15">
        <v>0</v>
      </c>
      <c r="N247" s="15">
        <v>0</v>
      </c>
      <c r="O247" s="15">
        <v>0</v>
      </c>
    </row>
    <row r="248" spans="1:15">
      <c r="A248" s="18" t="s">
        <v>564</v>
      </c>
      <c r="B248" s="19" t="s">
        <v>491</v>
      </c>
      <c r="C248" s="20" t="s">
        <v>317</v>
      </c>
      <c r="D248" s="20">
        <v>73</v>
      </c>
      <c r="E248" s="14">
        <v>450</v>
      </c>
      <c r="F248" s="15">
        <v>0</v>
      </c>
      <c r="G248" s="15">
        <v>0</v>
      </c>
      <c r="H248" s="15">
        <v>0</v>
      </c>
      <c r="I248" s="15">
        <v>0</v>
      </c>
      <c r="J248" s="15">
        <v>0</v>
      </c>
      <c r="K248" s="15">
        <v>0</v>
      </c>
      <c r="L248" s="15">
        <v>0</v>
      </c>
      <c r="M248" s="15">
        <v>0</v>
      </c>
      <c r="N248" s="15">
        <v>0</v>
      </c>
      <c r="O248" s="15">
        <v>0</v>
      </c>
    </row>
    <row r="249" spans="1:15">
      <c r="A249" s="18" t="s">
        <v>565</v>
      </c>
      <c r="B249" s="19" t="s">
        <v>491</v>
      </c>
      <c r="C249" s="20" t="s">
        <v>317</v>
      </c>
      <c r="D249" s="20">
        <v>74</v>
      </c>
      <c r="E249" s="14">
        <v>450</v>
      </c>
      <c r="F249" s="15">
        <v>0</v>
      </c>
      <c r="G249" s="15">
        <v>0</v>
      </c>
      <c r="H249" s="15">
        <v>0</v>
      </c>
      <c r="I249" s="15">
        <v>0</v>
      </c>
      <c r="J249" s="15">
        <v>0</v>
      </c>
      <c r="K249" s="15">
        <v>0</v>
      </c>
      <c r="L249" s="15">
        <v>0</v>
      </c>
      <c r="M249" s="15">
        <v>0</v>
      </c>
      <c r="N249" s="15">
        <v>0</v>
      </c>
      <c r="O249" s="15">
        <v>0</v>
      </c>
    </row>
    <row r="250" spans="1:15">
      <c r="A250" s="18" t="s">
        <v>566</v>
      </c>
      <c r="B250" s="19" t="s">
        <v>491</v>
      </c>
      <c r="C250" s="20" t="s">
        <v>317</v>
      </c>
      <c r="D250" s="20">
        <v>75</v>
      </c>
      <c r="E250" s="14">
        <v>450</v>
      </c>
      <c r="F250" s="15">
        <v>0</v>
      </c>
      <c r="G250" s="15">
        <v>0</v>
      </c>
      <c r="H250" s="15">
        <v>0</v>
      </c>
      <c r="I250" s="15">
        <v>0</v>
      </c>
      <c r="J250" s="15">
        <v>0</v>
      </c>
      <c r="K250" s="15">
        <v>0</v>
      </c>
      <c r="L250" s="15">
        <v>0</v>
      </c>
      <c r="M250" s="15">
        <v>0</v>
      </c>
      <c r="N250" s="15">
        <v>0</v>
      </c>
      <c r="O250" s="15">
        <v>0</v>
      </c>
    </row>
    <row r="251" spans="1:15">
      <c r="A251" s="18" t="s">
        <v>567</v>
      </c>
      <c r="B251" s="19" t="s">
        <v>491</v>
      </c>
      <c r="C251" s="20" t="s">
        <v>317</v>
      </c>
      <c r="D251" s="20">
        <v>76</v>
      </c>
      <c r="E251" s="14">
        <v>450</v>
      </c>
      <c r="F251" s="15">
        <v>0</v>
      </c>
      <c r="G251" s="15">
        <v>0</v>
      </c>
      <c r="H251" s="15">
        <v>0</v>
      </c>
      <c r="I251" s="15">
        <v>0</v>
      </c>
      <c r="J251" s="15">
        <v>0</v>
      </c>
      <c r="K251" s="15">
        <v>0</v>
      </c>
      <c r="L251" s="15">
        <v>0</v>
      </c>
      <c r="M251" s="15">
        <v>0</v>
      </c>
      <c r="N251" s="15">
        <v>0</v>
      </c>
      <c r="O251" s="15">
        <v>0</v>
      </c>
    </row>
    <row r="252" spans="1:15">
      <c r="A252" s="18" t="s">
        <v>568</v>
      </c>
      <c r="B252" s="19" t="s">
        <v>491</v>
      </c>
      <c r="C252" s="20" t="s">
        <v>317</v>
      </c>
      <c r="D252" s="20">
        <v>77</v>
      </c>
      <c r="E252" s="14">
        <v>450</v>
      </c>
      <c r="F252" s="15">
        <v>0</v>
      </c>
      <c r="G252" s="15">
        <v>0</v>
      </c>
      <c r="H252" s="15">
        <v>0</v>
      </c>
      <c r="I252" s="15">
        <v>0</v>
      </c>
      <c r="J252" s="15">
        <v>0</v>
      </c>
      <c r="K252" s="15">
        <v>0</v>
      </c>
      <c r="L252" s="15">
        <v>0</v>
      </c>
      <c r="M252" s="15">
        <v>0</v>
      </c>
      <c r="N252" s="15">
        <v>0</v>
      </c>
      <c r="O252" s="15">
        <v>0</v>
      </c>
    </row>
    <row r="253" spans="1:15">
      <c r="A253" s="18" t="s">
        <v>569</v>
      </c>
      <c r="B253" s="19" t="s">
        <v>491</v>
      </c>
      <c r="C253" s="20" t="s">
        <v>317</v>
      </c>
      <c r="D253" s="20">
        <v>78</v>
      </c>
      <c r="E253" s="14">
        <v>450</v>
      </c>
      <c r="F253" s="15">
        <v>0</v>
      </c>
      <c r="G253" s="15">
        <v>0</v>
      </c>
      <c r="H253" s="15">
        <v>0</v>
      </c>
      <c r="I253" s="15">
        <v>0</v>
      </c>
      <c r="J253" s="15">
        <v>0</v>
      </c>
      <c r="K253" s="15">
        <v>0</v>
      </c>
      <c r="L253" s="15">
        <v>0</v>
      </c>
      <c r="M253" s="15">
        <v>0</v>
      </c>
      <c r="N253" s="15">
        <v>0</v>
      </c>
      <c r="O253" s="15">
        <v>0</v>
      </c>
    </row>
    <row r="254" spans="1:15">
      <c r="A254" s="18" t="s">
        <v>570</v>
      </c>
      <c r="B254" s="19" t="s">
        <v>491</v>
      </c>
      <c r="C254" s="20" t="s">
        <v>317</v>
      </c>
      <c r="D254" s="20">
        <v>79</v>
      </c>
      <c r="E254" s="14">
        <v>450</v>
      </c>
      <c r="F254" s="15">
        <v>0</v>
      </c>
      <c r="G254" s="15">
        <v>0</v>
      </c>
      <c r="H254" s="15">
        <v>0</v>
      </c>
      <c r="I254" s="15">
        <v>0</v>
      </c>
      <c r="J254" s="15">
        <v>0</v>
      </c>
      <c r="K254" s="15">
        <v>0</v>
      </c>
      <c r="L254" s="15">
        <v>0</v>
      </c>
      <c r="M254" s="15">
        <v>0</v>
      </c>
      <c r="N254" s="15">
        <v>0</v>
      </c>
      <c r="O254" s="15">
        <v>0</v>
      </c>
    </row>
    <row r="255" spans="1:15">
      <c r="A255" s="18" t="s">
        <v>571</v>
      </c>
      <c r="B255" s="19" t="s">
        <v>491</v>
      </c>
      <c r="C255" s="20" t="s">
        <v>317</v>
      </c>
      <c r="D255" s="20">
        <v>80</v>
      </c>
      <c r="E255" s="14">
        <v>450</v>
      </c>
      <c r="F255" s="15">
        <v>0</v>
      </c>
      <c r="G255" s="15">
        <v>0</v>
      </c>
      <c r="H255" s="15">
        <v>0</v>
      </c>
      <c r="I255" s="15">
        <v>0</v>
      </c>
      <c r="J255" s="15">
        <v>0</v>
      </c>
      <c r="K255" s="15">
        <v>0</v>
      </c>
      <c r="L255" s="15">
        <v>0</v>
      </c>
      <c r="M255" s="15">
        <v>0</v>
      </c>
      <c r="N255" s="15">
        <v>0</v>
      </c>
      <c r="O255" s="15">
        <v>0</v>
      </c>
    </row>
    <row r="256" spans="1:15">
      <c r="A256" s="18" t="s">
        <v>572</v>
      </c>
      <c r="B256" s="19" t="s">
        <v>491</v>
      </c>
      <c r="C256" s="20" t="s">
        <v>317</v>
      </c>
      <c r="D256" s="20">
        <v>81</v>
      </c>
      <c r="E256" s="14">
        <v>450</v>
      </c>
      <c r="F256" s="15">
        <v>0</v>
      </c>
      <c r="G256" s="15">
        <v>0</v>
      </c>
      <c r="H256" s="15">
        <v>0</v>
      </c>
      <c r="I256" s="15">
        <v>0</v>
      </c>
      <c r="J256" s="15">
        <v>0</v>
      </c>
      <c r="K256" s="15">
        <v>0</v>
      </c>
      <c r="L256" s="15">
        <v>0</v>
      </c>
      <c r="M256" s="15">
        <v>0</v>
      </c>
      <c r="N256" s="15">
        <v>0</v>
      </c>
      <c r="O256" s="15">
        <v>0</v>
      </c>
    </row>
    <row r="257" spans="1:15">
      <c r="A257" s="18" t="s">
        <v>573</v>
      </c>
      <c r="B257" s="19" t="s">
        <v>491</v>
      </c>
      <c r="C257" s="20" t="s">
        <v>317</v>
      </c>
      <c r="D257" s="20">
        <v>82</v>
      </c>
      <c r="E257" s="14">
        <v>450</v>
      </c>
      <c r="F257" s="15">
        <v>0</v>
      </c>
      <c r="G257" s="15">
        <v>0</v>
      </c>
      <c r="H257" s="15">
        <v>0</v>
      </c>
      <c r="I257" s="15">
        <v>0</v>
      </c>
      <c r="J257" s="15">
        <v>0</v>
      </c>
      <c r="K257" s="15">
        <v>0</v>
      </c>
      <c r="L257" s="15">
        <v>0</v>
      </c>
      <c r="M257" s="15">
        <v>0</v>
      </c>
      <c r="N257" s="15">
        <v>0</v>
      </c>
      <c r="O257" s="15">
        <v>0</v>
      </c>
    </row>
    <row r="258" spans="1:15">
      <c r="A258" s="18" t="s">
        <v>574</v>
      </c>
      <c r="B258" s="19" t="s">
        <v>491</v>
      </c>
      <c r="C258" s="20" t="s">
        <v>317</v>
      </c>
      <c r="D258" s="20">
        <v>83</v>
      </c>
      <c r="E258" s="14">
        <v>450</v>
      </c>
      <c r="F258" s="15">
        <v>0</v>
      </c>
      <c r="G258" s="15">
        <v>0</v>
      </c>
      <c r="H258" s="15">
        <v>0</v>
      </c>
      <c r="I258" s="15">
        <v>0</v>
      </c>
      <c r="J258" s="15">
        <v>0</v>
      </c>
      <c r="K258" s="15">
        <v>0</v>
      </c>
      <c r="L258" s="15">
        <v>0</v>
      </c>
      <c r="M258" s="15">
        <v>0</v>
      </c>
      <c r="N258" s="15">
        <v>0</v>
      </c>
      <c r="O258" s="15">
        <v>0</v>
      </c>
    </row>
    <row r="259" spans="1:15">
      <c r="A259" s="18" t="s">
        <v>575</v>
      </c>
      <c r="B259" s="19" t="s">
        <v>491</v>
      </c>
      <c r="C259" s="20" t="s">
        <v>317</v>
      </c>
      <c r="D259" s="20">
        <v>84</v>
      </c>
      <c r="E259" s="14">
        <v>450</v>
      </c>
      <c r="F259" s="15">
        <v>0</v>
      </c>
      <c r="G259" s="15">
        <v>0</v>
      </c>
      <c r="H259" s="15">
        <v>0</v>
      </c>
      <c r="I259" s="15">
        <v>0</v>
      </c>
      <c r="J259" s="15">
        <v>0</v>
      </c>
      <c r="K259" s="15">
        <v>0</v>
      </c>
      <c r="L259" s="15">
        <v>0</v>
      </c>
      <c r="M259" s="15">
        <v>0</v>
      </c>
      <c r="N259" s="15">
        <v>0</v>
      </c>
      <c r="O259" s="15">
        <v>0</v>
      </c>
    </row>
    <row r="260" spans="1:15">
      <c r="A260" s="18" t="s">
        <v>576</v>
      </c>
      <c r="B260" s="19" t="s">
        <v>491</v>
      </c>
      <c r="C260" s="20" t="s">
        <v>317</v>
      </c>
      <c r="D260" s="20">
        <v>85</v>
      </c>
      <c r="E260" s="14">
        <v>450</v>
      </c>
      <c r="F260" s="15">
        <v>0</v>
      </c>
      <c r="G260" s="15">
        <v>0</v>
      </c>
      <c r="H260" s="15">
        <v>0</v>
      </c>
      <c r="I260" s="15">
        <v>0</v>
      </c>
      <c r="J260" s="15">
        <v>0</v>
      </c>
      <c r="K260" s="15">
        <v>0</v>
      </c>
      <c r="L260" s="15">
        <v>0</v>
      </c>
      <c r="M260" s="15">
        <v>0</v>
      </c>
      <c r="N260" s="15">
        <v>0</v>
      </c>
      <c r="O260" s="15">
        <v>0</v>
      </c>
    </row>
    <row r="261" spans="1:15">
      <c r="A261" s="18" t="s">
        <v>577</v>
      </c>
      <c r="B261" s="19" t="s">
        <v>491</v>
      </c>
      <c r="C261" s="20" t="s">
        <v>404</v>
      </c>
      <c r="D261" s="20">
        <v>0</v>
      </c>
      <c r="E261" s="14">
        <v>450</v>
      </c>
      <c r="F261" s="15">
        <v>0</v>
      </c>
      <c r="G261" s="15">
        <v>0</v>
      </c>
      <c r="H261" s="15">
        <v>0</v>
      </c>
      <c r="I261" s="15">
        <v>0</v>
      </c>
      <c r="J261" s="15">
        <v>0</v>
      </c>
      <c r="K261" s="15">
        <v>0</v>
      </c>
      <c r="L261" s="15">
        <v>0</v>
      </c>
      <c r="M261" s="15">
        <v>0</v>
      </c>
      <c r="N261" s="15">
        <v>0</v>
      </c>
      <c r="O261" s="15">
        <v>0</v>
      </c>
    </row>
    <row r="262" spans="1:15">
      <c r="A262" s="18" t="s">
        <v>578</v>
      </c>
      <c r="B262" s="19" t="s">
        <v>491</v>
      </c>
      <c r="C262" s="20" t="s">
        <v>404</v>
      </c>
      <c r="D262" s="20">
        <v>1</v>
      </c>
      <c r="E262" s="14">
        <v>450</v>
      </c>
      <c r="F262" s="15">
        <v>0</v>
      </c>
      <c r="G262" s="15">
        <v>0</v>
      </c>
      <c r="H262" s="15">
        <v>0</v>
      </c>
      <c r="I262" s="15">
        <v>0</v>
      </c>
      <c r="J262" s="15">
        <v>0</v>
      </c>
      <c r="K262" s="15">
        <v>0</v>
      </c>
      <c r="L262" s="15">
        <v>0</v>
      </c>
      <c r="M262" s="15">
        <v>0</v>
      </c>
      <c r="N262" s="15">
        <v>0</v>
      </c>
      <c r="O262" s="15">
        <v>0</v>
      </c>
    </row>
    <row r="263" spans="1:15">
      <c r="A263" s="18" t="s">
        <v>579</v>
      </c>
      <c r="B263" s="19" t="s">
        <v>491</v>
      </c>
      <c r="C263" s="20" t="s">
        <v>404</v>
      </c>
      <c r="D263" s="20">
        <v>2</v>
      </c>
      <c r="E263" s="14">
        <v>450</v>
      </c>
      <c r="F263" s="15">
        <v>0</v>
      </c>
      <c r="G263" s="15">
        <v>0</v>
      </c>
      <c r="H263" s="15">
        <v>0</v>
      </c>
      <c r="I263" s="15">
        <v>0</v>
      </c>
      <c r="J263" s="15">
        <v>0</v>
      </c>
      <c r="K263" s="15">
        <v>0</v>
      </c>
      <c r="L263" s="15">
        <v>0</v>
      </c>
      <c r="M263" s="15">
        <v>0</v>
      </c>
      <c r="N263" s="15">
        <v>0</v>
      </c>
      <c r="O263" s="15">
        <v>0</v>
      </c>
    </row>
    <row r="264" spans="1:15">
      <c r="A264" s="18" t="s">
        <v>580</v>
      </c>
      <c r="B264" s="19" t="s">
        <v>491</v>
      </c>
      <c r="C264" s="20" t="s">
        <v>404</v>
      </c>
      <c r="D264" s="20">
        <v>3</v>
      </c>
      <c r="E264" s="14">
        <v>450</v>
      </c>
      <c r="F264" s="15">
        <v>0</v>
      </c>
      <c r="G264" s="15">
        <v>0</v>
      </c>
      <c r="H264" s="15">
        <v>0</v>
      </c>
      <c r="I264" s="15">
        <v>0</v>
      </c>
      <c r="J264" s="15">
        <v>0</v>
      </c>
      <c r="K264" s="15">
        <v>0</v>
      </c>
      <c r="L264" s="15">
        <v>0</v>
      </c>
      <c r="M264" s="15">
        <v>0</v>
      </c>
      <c r="N264" s="15">
        <v>0</v>
      </c>
      <c r="O264" s="15">
        <v>0</v>
      </c>
    </row>
    <row r="265" spans="1:15">
      <c r="A265" s="18" t="s">
        <v>581</v>
      </c>
      <c r="B265" s="19" t="s">
        <v>491</v>
      </c>
      <c r="C265" s="20" t="s">
        <v>404</v>
      </c>
      <c r="D265" s="20">
        <v>4</v>
      </c>
      <c r="E265" s="14">
        <v>450</v>
      </c>
      <c r="F265" s="15">
        <v>0</v>
      </c>
      <c r="G265" s="15">
        <v>0</v>
      </c>
      <c r="H265" s="15">
        <v>0</v>
      </c>
      <c r="I265" s="15">
        <v>0</v>
      </c>
      <c r="J265" s="15">
        <v>0</v>
      </c>
      <c r="K265" s="15">
        <v>0</v>
      </c>
      <c r="L265" s="15">
        <v>0</v>
      </c>
      <c r="M265" s="15">
        <v>0</v>
      </c>
      <c r="N265" s="15">
        <v>0</v>
      </c>
      <c r="O265" s="15">
        <v>0</v>
      </c>
    </row>
    <row r="266" spans="1:15">
      <c r="A266" s="18" t="s">
        <v>582</v>
      </c>
      <c r="B266" s="19" t="s">
        <v>491</v>
      </c>
      <c r="C266" s="20" t="s">
        <v>404</v>
      </c>
      <c r="D266" s="20">
        <v>5</v>
      </c>
      <c r="E266" s="14">
        <v>450</v>
      </c>
      <c r="F266" s="15">
        <v>0</v>
      </c>
      <c r="G266" s="15">
        <v>0</v>
      </c>
      <c r="H266" s="15">
        <v>0</v>
      </c>
      <c r="I266" s="15">
        <v>0</v>
      </c>
      <c r="J266" s="15">
        <v>0</v>
      </c>
      <c r="K266" s="15">
        <v>0</v>
      </c>
      <c r="L266" s="15">
        <v>0</v>
      </c>
      <c r="M266" s="15">
        <v>0</v>
      </c>
      <c r="N266" s="15">
        <v>0</v>
      </c>
      <c r="O266" s="15">
        <v>0</v>
      </c>
    </row>
    <row r="267" spans="1:15">
      <c r="A267" s="18" t="s">
        <v>583</v>
      </c>
      <c r="B267" s="19" t="s">
        <v>491</v>
      </c>
      <c r="C267" s="20" t="s">
        <v>404</v>
      </c>
      <c r="D267" s="20">
        <v>6</v>
      </c>
      <c r="E267" s="14">
        <v>450</v>
      </c>
      <c r="F267" s="15">
        <v>0</v>
      </c>
      <c r="G267" s="15">
        <v>0</v>
      </c>
      <c r="H267" s="15">
        <v>0</v>
      </c>
      <c r="I267" s="15">
        <v>0</v>
      </c>
      <c r="J267" s="15">
        <v>0</v>
      </c>
      <c r="K267" s="15">
        <v>0</v>
      </c>
      <c r="L267" s="15">
        <v>0</v>
      </c>
      <c r="M267" s="15">
        <v>0</v>
      </c>
      <c r="N267" s="15">
        <v>0</v>
      </c>
      <c r="O267" s="15">
        <v>0</v>
      </c>
    </row>
    <row r="268" spans="1:15">
      <c r="A268" s="18" t="s">
        <v>584</v>
      </c>
      <c r="B268" s="19" t="s">
        <v>491</v>
      </c>
      <c r="C268" s="20" t="s">
        <v>404</v>
      </c>
      <c r="D268" s="20">
        <v>7</v>
      </c>
      <c r="E268" s="14">
        <v>450</v>
      </c>
      <c r="F268" s="15">
        <v>0</v>
      </c>
      <c r="G268" s="15">
        <v>0</v>
      </c>
      <c r="H268" s="15">
        <v>0</v>
      </c>
      <c r="I268" s="15">
        <v>0</v>
      </c>
      <c r="J268" s="15">
        <v>0</v>
      </c>
      <c r="K268" s="15">
        <v>0</v>
      </c>
      <c r="L268" s="15">
        <v>0</v>
      </c>
      <c r="M268" s="15">
        <v>0</v>
      </c>
      <c r="N268" s="15">
        <v>0</v>
      </c>
      <c r="O268" s="15">
        <v>0</v>
      </c>
    </row>
    <row r="269" spans="1:15">
      <c r="A269" s="18" t="s">
        <v>585</v>
      </c>
      <c r="B269" s="19" t="s">
        <v>491</v>
      </c>
      <c r="C269" s="20" t="s">
        <v>404</v>
      </c>
      <c r="D269" s="20">
        <v>8</v>
      </c>
      <c r="E269" s="14">
        <v>450</v>
      </c>
      <c r="F269" s="15">
        <v>0</v>
      </c>
      <c r="G269" s="15">
        <v>0</v>
      </c>
      <c r="H269" s="15">
        <v>0</v>
      </c>
      <c r="I269" s="15">
        <v>0</v>
      </c>
      <c r="J269" s="15">
        <v>0</v>
      </c>
      <c r="K269" s="15">
        <v>0</v>
      </c>
      <c r="L269" s="15">
        <v>0</v>
      </c>
      <c r="M269" s="15">
        <v>0</v>
      </c>
      <c r="N269" s="15">
        <v>0</v>
      </c>
      <c r="O269" s="15">
        <v>0</v>
      </c>
    </row>
    <row r="270" spans="1:15">
      <c r="A270" s="18" t="s">
        <v>586</v>
      </c>
      <c r="B270" s="19" t="s">
        <v>491</v>
      </c>
      <c r="C270" s="20" t="s">
        <v>404</v>
      </c>
      <c r="D270" s="20">
        <v>9</v>
      </c>
      <c r="E270" s="14">
        <v>450</v>
      </c>
      <c r="F270" s="15">
        <v>0</v>
      </c>
      <c r="G270" s="15">
        <v>0</v>
      </c>
      <c r="H270" s="15">
        <v>0</v>
      </c>
      <c r="I270" s="15">
        <v>0</v>
      </c>
      <c r="J270" s="15">
        <v>0</v>
      </c>
      <c r="K270" s="15">
        <v>0</v>
      </c>
      <c r="L270" s="15">
        <v>0</v>
      </c>
      <c r="M270" s="15">
        <v>0</v>
      </c>
      <c r="N270" s="15">
        <v>0</v>
      </c>
      <c r="O270" s="15">
        <v>0</v>
      </c>
    </row>
    <row r="271" spans="1:15">
      <c r="A271" s="18" t="s">
        <v>587</v>
      </c>
      <c r="B271" s="19" t="s">
        <v>491</v>
      </c>
      <c r="C271" s="20" t="s">
        <v>404</v>
      </c>
      <c r="D271" s="20">
        <v>10</v>
      </c>
      <c r="E271" s="14">
        <v>450</v>
      </c>
      <c r="F271" s="15">
        <v>0</v>
      </c>
      <c r="G271" s="15">
        <v>0</v>
      </c>
      <c r="H271" s="15">
        <v>0</v>
      </c>
      <c r="I271" s="15">
        <v>0</v>
      </c>
      <c r="J271" s="15">
        <v>0</v>
      </c>
      <c r="K271" s="15">
        <v>0</v>
      </c>
      <c r="L271" s="15">
        <v>0</v>
      </c>
      <c r="M271" s="15">
        <v>0</v>
      </c>
      <c r="N271" s="15">
        <v>0</v>
      </c>
      <c r="O271" s="15">
        <v>0</v>
      </c>
    </row>
    <row r="272" spans="1:15">
      <c r="A272" s="18" t="s">
        <v>588</v>
      </c>
      <c r="B272" s="19" t="s">
        <v>491</v>
      </c>
      <c r="C272" s="20" t="s">
        <v>404</v>
      </c>
      <c r="D272" s="20">
        <v>11</v>
      </c>
      <c r="E272" s="14">
        <v>450</v>
      </c>
      <c r="F272" s="15">
        <v>0</v>
      </c>
      <c r="G272" s="15">
        <v>0</v>
      </c>
      <c r="H272" s="15">
        <v>0</v>
      </c>
      <c r="I272" s="15">
        <v>0</v>
      </c>
      <c r="J272" s="15">
        <v>0</v>
      </c>
      <c r="K272" s="15">
        <v>0</v>
      </c>
      <c r="L272" s="15">
        <v>0</v>
      </c>
      <c r="M272" s="15">
        <v>0</v>
      </c>
      <c r="N272" s="15">
        <v>0</v>
      </c>
      <c r="O272" s="15">
        <v>0</v>
      </c>
    </row>
    <row r="273" spans="1:15">
      <c r="A273" s="18" t="s">
        <v>589</v>
      </c>
      <c r="B273" s="19" t="s">
        <v>491</v>
      </c>
      <c r="C273" s="20" t="s">
        <v>404</v>
      </c>
      <c r="D273" s="20">
        <v>12</v>
      </c>
      <c r="E273" s="14">
        <v>450</v>
      </c>
      <c r="F273" s="15">
        <v>0</v>
      </c>
      <c r="G273" s="15">
        <v>0</v>
      </c>
      <c r="H273" s="15">
        <v>0</v>
      </c>
      <c r="I273" s="15">
        <v>0</v>
      </c>
      <c r="J273" s="15">
        <v>0</v>
      </c>
      <c r="K273" s="15">
        <v>0</v>
      </c>
      <c r="L273" s="15">
        <v>0</v>
      </c>
      <c r="M273" s="15">
        <v>0</v>
      </c>
      <c r="N273" s="15">
        <v>0</v>
      </c>
      <c r="O273" s="15">
        <v>0</v>
      </c>
    </row>
    <row r="274" spans="1:15">
      <c r="A274" s="18" t="s">
        <v>590</v>
      </c>
      <c r="B274" s="19" t="s">
        <v>491</v>
      </c>
      <c r="C274" s="20" t="s">
        <v>404</v>
      </c>
      <c r="D274" s="20">
        <v>13</v>
      </c>
      <c r="E274" s="14">
        <v>450</v>
      </c>
      <c r="F274" s="15">
        <v>0</v>
      </c>
      <c r="G274" s="15">
        <v>0</v>
      </c>
      <c r="H274" s="15">
        <v>0</v>
      </c>
      <c r="I274" s="15">
        <v>0</v>
      </c>
      <c r="J274" s="15">
        <v>0</v>
      </c>
      <c r="K274" s="15">
        <v>0</v>
      </c>
      <c r="L274" s="15">
        <v>0</v>
      </c>
      <c r="M274" s="15">
        <v>0</v>
      </c>
      <c r="N274" s="15">
        <v>0</v>
      </c>
      <c r="O274" s="15">
        <v>0</v>
      </c>
    </row>
    <row r="275" spans="1:15">
      <c r="A275" s="18" t="s">
        <v>591</v>
      </c>
      <c r="B275" s="19" t="s">
        <v>491</v>
      </c>
      <c r="C275" s="20" t="s">
        <v>404</v>
      </c>
      <c r="D275" s="20">
        <v>14</v>
      </c>
      <c r="E275" s="14">
        <v>450</v>
      </c>
      <c r="F275" s="15">
        <v>0</v>
      </c>
      <c r="G275" s="15">
        <v>0</v>
      </c>
      <c r="H275" s="15">
        <v>0</v>
      </c>
      <c r="I275" s="15">
        <v>0</v>
      </c>
      <c r="J275" s="15">
        <v>0</v>
      </c>
      <c r="K275" s="15">
        <v>0</v>
      </c>
      <c r="L275" s="15">
        <v>0</v>
      </c>
      <c r="M275" s="15">
        <v>0</v>
      </c>
      <c r="N275" s="15">
        <v>0</v>
      </c>
      <c r="O275" s="15">
        <v>0</v>
      </c>
    </row>
    <row r="276" spans="1:15">
      <c r="A276" s="18" t="s">
        <v>592</v>
      </c>
      <c r="B276" s="19" t="s">
        <v>491</v>
      </c>
      <c r="C276" s="20" t="s">
        <v>404</v>
      </c>
      <c r="D276" s="20">
        <v>15</v>
      </c>
      <c r="E276" s="14">
        <v>450</v>
      </c>
      <c r="F276" s="15">
        <v>0</v>
      </c>
      <c r="G276" s="15">
        <v>0</v>
      </c>
      <c r="H276" s="15">
        <v>0</v>
      </c>
      <c r="I276" s="15">
        <v>0</v>
      </c>
      <c r="J276" s="15">
        <v>0</v>
      </c>
      <c r="K276" s="15">
        <v>0</v>
      </c>
      <c r="L276" s="15">
        <v>0</v>
      </c>
      <c r="M276" s="15">
        <v>0</v>
      </c>
      <c r="N276" s="15">
        <v>0</v>
      </c>
      <c r="O276" s="15">
        <v>0</v>
      </c>
    </row>
    <row r="277" spans="1:15">
      <c r="A277" s="18" t="s">
        <v>593</v>
      </c>
      <c r="B277" s="19" t="s">
        <v>491</v>
      </c>
      <c r="C277" s="20" t="s">
        <v>404</v>
      </c>
      <c r="D277" s="20">
        <v>16</v>
      </c>
      <c r="E277" s="14">
        <v>450</v>
      </c>
      <c r="F277" s="15">
        <v>0</v>
      </c>
      <c r="G277" s="15">
        <v>0</v>
      </c>
      <c r="H277" s="15">
        <v>0</v>
      </c>
      <c r="I277" s="15">
        <v>0</v>
      </c>
      <c r="J277" s="15">
        <v>0</v>
      </c>
      <c r="K277" s="15">
        <v>0</v>
      </c>
      <c r="L277" s="15">
        <v>0</v>
      </c>
      <c r="M277" s="15">
        <v>0</v>
      </c>
      <c r="N277" s="15">
        <v>0</v>
      </c>
      <c r="O277" s="15">
        <v>0</v>
      </c>
    </row>
    <row r="278" spans="1:15">
      <c r="A278" s="18" t="s">
        <v>594</v>
      </c>
      <c r="B278" s="19" t="s">
        <v>491</v>
      </c>
      <c r="C278" s="20" t="s">
        <v>404</v>
      </c>
      <c r="D278" s="20">
        <v>17</v>
      </c>
      <c r="E278" s="14">
        <v>450</v>
      </c>
      <c r="F278" s="15">
        <v>0</v>
      </c>
      <c r="G278" s="15">
        <v>0</v>
      </c>
      <c r="H278" s="15">
        <v>0</v>
      </c>
      <c r="I278" s="15">
        <v>0</v>
      </c>
      <c r="J278" s="15">
        <v>0</v>
      </c>
      <c r="K278" s="15">
        <v>0</v>
      </c>
      <c r="L278" s="15">
        <v>0</v>
      </c>
      <c r="M278" s="15">
        <v>0</v>
      </c>
      <c r="N278" s="15">
        <v>0</v>
      </c>
      <c r="O278" s="15">
        <v>0</v>
      </c>
    </row>
    <row r="279" spans="1:15">
      <c r="A279" s="18" t="s">
        <v>595</v>
      </c>
      <c r="B279" s="19" t="s">
        <v>491</v>
      </c>
      <c r="C279" s="20" t="s">
        <v>404</v>
      </c>
      <c r="D279" s="20">
        <v>18</v>
      </c>
      <c r="E279" s="14">
        <v>450</v>
      </c>
      <c r="F279" s="15">
        <v>0</v>
      </c>
      <c r="G279" s="15">
        <v>0</v>
      </c>
      <c r="H279" s="15">
        <v>0</v>
      </c>
      <c r="I279" s="15">
        <v>0</v>
      </c>
      <c r="J279" s="15">
        <v>0</v>
      </c>
      <c r="K279" s="15">
        <v>0</v>
      </c>
      <c r="L279" s="15">
        <v>0</v>
      </c>
      <c r="M279" s="15">
        <v>0</v>
      </c>
      <c r="N279" s="15">
        <v>0</v>
      </c>
      <c r="O279" s="15">
        <v>0</v>
      </c>
    </row>
    <row r="280" spans="1:15">
      <c r="A280" s="18" t="s">
        <v>596</v>
      </c>
      <c r="B280" s="19" t="s">
        <v>491</v>
      </c>
      <c r="C280" s="20" t="s">
        <v>404</v>
      </c>
      <c r="D280" s="20">
        <v>19</v>
      </c>
      <c r="E280" s="14">
        <v>450</v>
      </c>
      <c r="F280" s="15">
        <v>0</v>
      </c>
      <c r="G280" s="15">
        <v>0</v>
      </c>
      <c r="H280" s="15">
        <v>0</v>
      </c>
      <c r="I280" s="15">
        <v>0</v>
      </c>
      <c r="J280" s="15">
        <v>0</v>
      </c>
      <c r="K280" s="15">
        <v>0</v>
      </c>
      <c r="L280" s="15">
        <v>0</v>
      </c>
      <c r="M280" s="15">
        <v>0</v>
      </c>
      <c r="N280" s="15">
        <v>0</v>
      </c>
      <c r="O280" s="15">
        <v>0</v>
      </c>
    </row>
    <row r="281" spans="1:15">
      <c r="A281" s="18" t="s">
        <v>597</v>
      </c>
      <c r="B281" s="19" t="s">
        <v>491</v>
      </c>
      <c r="C281" s="20" t="s">
        <v>404</v>
      </c>
      <c r="D281" s="20">
        <v>20</v>
      </c>
      <c r="E281" s="14">
        <v>450</v>
      </c>
      <c r="F281" s="15">
        <v>0</v>
      </c>
      <c r="G281" s="15">
        <v>0</v>
      </c>
      <c r="H281" s="15">
        <v>0</v>
      </c>
      <c r="I281" s="15">
        <v>0</v>
      </c>
      <c r="J281" s="15">
        <v>0</v>
      </c>
      <c r="K281" s="15">
        <v>0</v>
      </c>
      <c r="L281" s="15">
        <v>0</v>
      </c>
      <c r="M281" s="15">
        <v>0</v>
      </c>
      <c r="N281" s="15">
        <v>0</v>
      </c>
      <c r="O281" s="15">
        <v>0</v>
      </c>
    </row>
    <row r="282" spans="1:15">
      <c r="A282" s="18" t="s">
        <v>598</v>
      </c>
      <c r="B282" s="19" t="s">
        <v>491</v>
      </c>
      <c r="C282" s="20" t="s">
        <v>404</v>
      </c>
      <c r="D282" s="20">
        <v>21</v>
      </c>
      <c r="E282" s="14">
        <v>450</v>
      </c>
      <c r="F282" s="15">
        <v>0</v>
      </c>
      <c r="G282" s="15">
        <v>0</v>
      </c>
      <c r="H282" s="15">
        <v>0</v>
      </c>
      <c r="I282" s="15">
        <v>0</v>
      </c>
      <c r="J282" s="15">
        <v>0</v>
      </c>
      <c r="K282" s="15">
        <v>0</v>
      </c>
      <c r="L282" s="15">
        <v>0</v>
      </c>
      <c r="M282" s="15">
        <v>0</v>
      </c>
      <c r="N282" s="15">
        <v>0</v>
      </c>
      <c r="O282" s="15">
        <v>0</v>
      </c>
    </row>
    <row r="283" spans="1:15">
      <c r="A283" s="18" t="s">
        <v>599</v>
      </c>
      <c r="B283" s="19" t="s">
        <v>491</v>
      </c>
      <c r="C283" s="20" t="s">
        <v>404</v>
      </c>
      <c r="D283" s="20">
        <v>22</v>
      </c>
      <c r="E283" s="14">
        <v>450</v>
      </c>
      <c r="F283" s="15">
        <v>0</v>
      </c>
      <c r="G283" s="15">
        <v>0</v>
      </c>
      <c r="H283" s="15">
        <v>0</v>
      </c>
      <c r="I283" s="15">
        <v>0</v>
      </c>
      <c r="J283" s="15">
        <v>0</v>
      </c>
      <c r="K283" s="15">
        <v>0</v>
      </c>
      <c r="L283" s="15">
        <v>0</v>
      </c>
      <c r="M283" s="15">
        <v>0</v>
      </c>
      <c r="N283" s="15">
        <v>0</v>
      </c>
      <c r="O283" s="15">
        <v>0</v>
      </c>
    </row>
    <row r="284" spans="1:15">
      <c r="A284" s="18" t="s">
        <v>600</v>
      </c>
      <c r="B284" s="19" t="s">
        <v>491</v>
      </c>
      <c r="C284" s="20" t="s">
        <v>404</v>
      </c>
      <c r="D284" s="20">
        <v>23</v>
      </c>
      <c r="E284" s="14">
        <v>450</v>
      </c>
      <c r="F284" s="15">
        <v>0</v>
      </c>
      <c r="G284" s="15">
        <v>0</v>
      </c>
      <c r="H284" s="15">
        <v>0</v>
      </c>
      <c r="I284" s="15">
        <v>0</v>
      </c>
      <c r="J284" s="15">
        <v>0</v>
      </c>
      <c r="K284" s="15">
        <v>0</v>
      </c>
      <c r="L284" s="15">
        <v>0</v>
      </c>
      <c r="M284" s="15">
        <v>0</v>
      </c>
      <c r="N284" s="15">
        <v>0</v>
      </c>
      <c r="O284" s="15">
        <v>0</v>
      </c>
    </row>
    <row r="285" spans="1:15">
      <c r="A285" s="18" t="s">
        <v>601</v>
      </c>
      <c r="B285" s="19" t="s">
        <v>491</v>
      </c>
      <c r="C285" s="20" t="s">
        <v>404</v>
      </c>
      <c r="D285" s="20">
        <v>24</v>
      </c>
      <c r="E285" s="14">
        <v>450</v>
      </c>
      <c r="F285" s="15">
        <v>0</v>
      </c>
      <c r="G285" s="15">
        <v>0</v>
      </c>
      <c r="H285" s="15">
        <v>0</v>
      </c>
      <c r="I285" s="15">
        <v>0</v>
      </c>
      <c r="J285" s="15">
        <v>0</v>
      </c>
      <c r="K285" s="15">
        <v>0</v>
      </c>
      <c r="L285" s="15">
        <v>0</v>
      </c>
      <c r="M285" s="15">
        <v>0</v>
      </c>
      <c r="N285" s="15">
        <v>0</v>
      </c>
      <c r="O285" s="15">
        <v>0</v>
      </c>
    </row>
    <row r="286" spans="1:15">
      <c r="A286" s="18" t="s">
        <v>602</v>
      </c>
      <c r="B286" s="19" t="s">
        <v>491</v>
      </c>
      <c r="C286" s="20" t="s">
        <v>404</v>
      </c>
      <c r="D286" s="20">
        <v>25</v>
      </c>
      <c r="E286" s="14">
        <v>450</v>
      </c>
      <c r="F286" s="15">
        <v>0</v>
      </c>
      <c r="G286" s="15">
        <v>0</v>
      </c>
      <c r="H286" s="15">
        <v>0</v>
      </c>
      <c r="I286" s="15">
        <v>0</v>
      </c>
      <c r="J286" s="15">
        <v>0</v>
      </c>
      <c r="K286" s="15">
        <v>0</v>
      </c>
      <c r="L286" s="15">
        <v>0</v>
      </c>
      <c r="M286" s="15">
        <v>0</v>
      </c>
      <c r="N286" s="15">
        <v>0</v>
      </c>
      <c r="O286" s="15">
        <v>0</v>
      </c>
    </row>
    <row r="287" spans="1:15">
      <c r="A287" s="18" t="s">
        <v>603</v>
      </c>
      <c r="B287" s="19" t="s">
        <v>491</v>
      </c>
      <c r="C287" s="20" t="s">
        <v>404</v>
      </c>
      <c r="D287" s="20">
        <v>26</v>
      </c>
      <c r="E287" s="14">
        <v>450</v>
      </c>
      <c r="F287" s="15">
        <v>0</v>
      </c>
      <c r="G287" s="15">
        <v>0</v>
      </c>
      <c r="H287" s="15">
        <v>0</v>
      </c>
      <c r="I287" s="15">
        <v>0</v>
      </c>
      <c r="J287" s="15">
        <v>0</v>
      </c>
      <c r="K287" s="15">
        <v>0</v>
      </c>
      <c r="L287" s="15">
        <v>0</v>
      </c>
      <c r="M287" s="15">
        <v>0</v>
      </c>
      <c r="N287" s="15">
        <v>0</v>
      </c>
      <c r="O287" s="15">
        <v>0</v>
      </c>
    </row>
    <row r="288" spans="1:15">
      <c r="A288" s="18" t="s">
        <v>604</v>
      </c>
      <c r="B288" s="19" t="s">
        <v>491</v>
      </c>
      <c r="C288" s="20" t="s">
        <v>404</v>
      </c>
      <c r="D288" s="20">
        <v>27</v>
      </c>
      <c r="E288" s="14">
        <v>450</v>
      </c>
      <c r="F288" s="15">
        <v>0</v>
      </c>
      <c r="G288" s="15">
        <v>0</v>
      </c>
      <c r="H288" s="15">
        <v>0</v>
      </c>
      <c r="I288" s="15">
        <v>0</v>
      </c>
      <c r="J288" s="15">
        <v>0</v>
      </c>
      <c r="K288" s="15">
        <v>0</v>
      </c>
      <c r="L288" s="15">
        <v>0</v>
      </c>
      <c r="M288" s="15">
        <v>0</v>
      </c>
      <c r="N288" s="15">
        <v>0</v>
      </c>
      <c r="O288" s="15">
        <v>0</v>
      </c>
    </row>
    <row r="289" spans="1:15">
      <c r="A289" s="18" t="s">
        <v>605</v>
      </c>
      <c r="B289" s="19" t="s">
        <v>491</v>
      </c>
      <c r="C289" s="20" t="s">
        <v>404</v>
      </c>
      <c r="D289" s="20">
        <v>28</v>
      </c>
      <c r="E289" s="14">
        <v>450</v>
      </c>
      <c r="F289" s="15">
        <v>0</v>
      </c>
      <c r="G289" s="15">
        <v>0</v>
      </c>
      <c r="H289" s="15">
        <v>0</v>
      </c>
      <c r="I289" s="15">
        <v>0</v>
      </c>
      <c r="J289" s="15">
        <v>0</v>
      </c>
      <c r="K289" s="15">
        <v>0</v>
      </c>
      <c r="L289" s="15">
        <v>0</v>
      </c>
      <c r="M289" s="15">
        <v>0</v>
      </c>
      <c r="N289" s="15">
        <v>0</v>
      </c>
      <c r="O289" s="15">
        <v>0</v>
      </c>
    </row>
    <row r="290" spans="1:15">
      <c r="A290" s="18" t="s">
        <v>606</v>
      </c>
      <c r="B290" s="19" t="s">
        <v>491</v>
      </c>
      <c r="C290" s="20" t="s">
        <v>404</v>
      </c>
      <c r="D290" s="20">
        <v>29</v>
      </c>
      <c r="E290" s="14">
        <v>450</v>
      </c>
      <c r="F290" s="15">
        <v>0</v>
      </c>
      <c r="G290" s="15">
        <v>0</v>
      </c>
      <c r="H290" s="15">
        <v>0</v>
      </c>
      <c r="I290" s="15">
        <v>0</v>
      </c>
      <c r="J290" s="15">
        <v>0</v>
      </c>
      <c r="K290" s="15">
        <v>0</v>
      </c>
      <c r="L290" s="15">
        <v>0</v>
      </c>
      <c r="M290" s="15">
        <v>0</v>
      </c>
      <c r="N290" s="15">
        <v>0</v>
      </c>
      <c r="O290" s="15">
        <v>0</v>
      </c>
    </row>
    <row r="291" spans="1:15">
      <c r="A291" s="18" t="s">
        <v>607</v>
      </c>
      <c r="B291" s="19" t="s">
        <v>491</v>
      </c>
      <c r="C291" s="20" t="s">
        <v>404</v>
      </c>
      <c r="D291" s="20">
        <v>30</v>
      </c>
      <c r="E291" s="14">
        <v>450</v>
      </c>
      <c r="F291" s="15">
        <v>0</v>
      </c>
      <c r="G291" s="15">
        <v>0</v>
      </c>
      <c r="H291" s="15">
        <v>0</v>
      </c>
      <c r="I291" s="15">
        <v>0</v>
      </c>
      <c r="J291" s="15">
        <v>0</v>
      </c>
      <c r="K291" s="15">
        <v>0</v>
      </c>
      <c r="L291" s="15">
        <v>0</v>
      </c>
      <c r="M291" s="15">
        <v>0</v>
      </c>
      <c r="N291" s="15">
        <v>0</v>
      </c>
      <c r="O291" s="15">
        <v>0</v>
      </c>
    </row>
    <row r="292" spans="1:15">
      <c r="A292" s="18" t="s">
        <v>608</v>
      </c>
      <c r="B292" s="19" t="s">
        <v>491</v>
      </c>
      <c r="C292" s="20" t="s">
        <v>404</v>
      </c>
      <c r="D292" s="20">
        <v>31</v>
      </c>
      <c r="E292" s="14">
        <v>450</v>
      </c>
      <c r="F292" s="15">
        <v>0</v>
      </c>
      <c r="G292" s="15">
        <v>0</v>
      </c>
      <c r="H292" s="15">
        <v>0</v>
      </c>
      <c r="I292" s="15">
        <v>0</v>
      </c>
      <c r="J292" s="15">
        <v>0</v>
      </c>
      <c r="K292" s="15">
        <v>0</v>
      </c>
      <c r="L292" s="15">
        <v>0</v>
      </c>
      <c r="M292" s="15">
        <v>0</v>
      </c>
      <c r="N292" s="15">
        <v>0</v>
      </c>
      <c r="O292" s="15">
        <v>0</v>
      </c>
    </row>
    <row r="293" spans="1:15">
      <c r="A293" s="18" t="s">
        <v>609</v>
      </c>
      <c r="B293" s="19" t="s">
        <v>491</v>
      </c>
      <c r="C293" s="20" t="s">
        <v>404</v>
      </c>
      <c r="D293" s="20">
        <v>32</v>
      </c>
      <c r="E293" s="14">
        <v>450</v>
      </c>
      <c r="F293" s="15">
        <v>0</v>
      </c>
      <c r="G293" s="15">
        <v>0</v>
      </c>
      <c r="H293" s="15">
        <v>0</v>
      </c>
      <c r="I293" s="15">
        <v>0</v>
      </c>
      <c r="J293" s="15">
        <v>0</v>
      </c>
      <c r="K293" s="15">
        <v>0</v>
      </c>
      <c r="L293" s="15">
        <v>0</v>
      </c>
      <c r="M293" s="15">
        <v>0</v>
      </c>
      <c r="N293" s="15">
        <v>0</v>
      </c>
      <c r="O293" s="15">
        <v>0</v>
      </c>
    </row>
    <row r="294" spans="1:15">
      <c r="A294" s="18" t="s">
        <v>610</v>
      </c>
      <c r="B294" s="19" t="s">
        <v>491</v>
      </c>
      <c r="C294" s="20" t="s">
        <v>404</v>
      </c>
      <c r="D294" s="20">
        <v>33</v>
      </c>
      <c r="E294" s="14">
        <v>450</v>
      </c>
      <c r="F294" s="15">
        <v>0</v>
      </c>
      <c r="G294" s="15">
        <v>0</v>
      </c>
      <c r="H294" s="15">
        <v>0</v>
      </c>
      <c r="I294" s="15">
        <v>0</v>
      </c>
      <c r="J294" s="15">
        <v>0</v>
      </c>
      <c r="K294" s="15">
        <v>0</v>
      </c>
      <c r="L294" s="15">
        <v>0</v>
      </c>
      <c r="M294" s="15">
        <v>0</v>
      </c>
      <c r="N294" s="15">
        <v>0</v>
      </c>
      <c r="O294" s="15">
        <v>0</v>
      </c>
    </row>
    <row r="295" spans="1:15">
      <c r="A295" s="18" t="s">
        <v>611</v>
      </c>
      <c r="B295" s="19" t="s">
        <v>491</v>
      </c>
      <c r="C295" s="20" t="s">
        <v>404</v>
      </c>
      <c r="D295" s="20">
        <v>34</v>
      </c>
      <c r="E295" s="14">
        <v>450</v>
      </c>
      <c r="F295" s="15">
        <v>0</v>
      </c>
      <c r="G295" s="15">
        <v>0</v>
      </c>
      <c r="H295" s="15">
        <v>0</v>
      </c>
      <c r="I295" s="15">
        <v>0</v>
      </c>
      <c r="J295" s="15">
        <v>0</v>
      </c>
      <c r="K295" s="15">
        <v>0</v>
      </c>
      <c r="L295" s="15">
        <v>0</v>
      </c>
      <c r="M295" s="15">
        <v>0</v>
      </c>
      <c r="N295" s="15">
        <v>0</v>
      </c>
      <c r="O295" s="15">
        <v>0</v>
      </c>
    </row>
    <row r="296" spans="1:15">
      <c r="A296" s="18" t="s">
        <v>612</v>
      </c>
      <c r="B296" s="19" t="s">
        <v>491</v>
      </c>
      <c r="C296" s="20" t="s">
        <v>404</v>
      </c>
      <c r="D296" s="20">
        <v>35</v>
      </c>
      <c r="E296" s="14">
        <v>450</v>
      </c>
      <c r="F296" s="15">
        <v>0</v>
      </c>
      <c r="G296" s="15">
        <v>0</v>
      </c>
      <c r="H296" s="15">
        <v>0</v>
      </c>
      <c r="I296" s="15">
        <v>0</v>
      </c>
      <c r="J296" s="15">
        <v>0</v>
      </c>
      <c r="K296" s="15">
        <v>0</v>
      </c>
      <c r="L296" s="15">
        <v>0</v>
      </c>
      <c r="M296" s="15">
        <v>0</v>
      </c>
      <c r="N296" s="15">
        <v>0</v>
      </c>
      <c r="O296" s="15">
        <v>0</v>
      </c>
    </row>
    <row r="297" spans="1:15">
      <c r="A297" s="18" t="s">
        <v>613</v>
      </c>
      <c r="B297" s="19" t="s">
        <v>491</v>
      </c>
      <c r="C297" s="20" t="s">
        <v>404</v>
      </c>
      <c r="D297" s="20">
        <v>36</v>
      </c>
      <c r="E297" s="14">
        <v>450</v>
      </c>
      <c r="F297" s="15">
        <v>0</v>
      </c>
      <c r="G297" s="15">
        <v>0</v>
      </c>
      <c r="H297" s="15">
        <v>0</v>
      </c>
      <c r="I297" s="15">
        <v>0</v>
      </c>
      <c r="J297" s="15">
        <v>0</v>
      </c>
      <c r="K297" s="15">
        <v>0</v>
      </c>
      <c r="L297" s="15">
        <v>0</v>
      </c>
      <c r="M297" s="15">
        <v>0</v>
      </c>
      <c r="N297" s="15">
        <v>0</v>
      </c>
      <c r="O297" s="15">
        <v>0</v>
      </c>
    </row>
    <row r="298" spans="1:15">
      <c r="A298" s="18" t="s">
        <v>614</v>
      </c>
      <c r="B298" s="19" t="s">
        <v>491</v>
      </c>
      <c r="C298" s="20" t="s">
        <v>404</v>
      </c>
      <c r="D298" s="20">
        <v>37</v>
      </c>
      <c r="E298" s="14">
        <v>450</v>
      </c>
      <c r="F298" s="15">
        <v>0</v>
      </c>
      <c r="G298" s="15">
        <v>0</v>
      </c>
      <c r="H298" s="15">
        <v>0</v>
      </c>
      <c r="I298" s="15">
        <v>0</v>
      </c>
      <c r="J298" s="15">
        <v>0</v>
      </c>
      <c r="K298" s="15">
        <v>0</v>
      </c>
      <c r="L298" s="15">
        <v>0</v>
      </c>
      <c r="M298" s="15">
        <v>0</v>
      </c>
      <c r="N298" s="15">
        <v>0</v>
      </c>
      <c r="O298" s="15">
        <v>0</v>
      </c>
    </row>
    <row r="299" spans="1:15">
      <c r="A299" s="18" t="s">
        <v>615</v>
      </c>
      <c r="B299" s="19" t="s">
        <v>491</v>
      </c>
      <c r="C299" s="20" t="s">
        <v>404</v>
      </c>
      <c r="D299" s="20">
        <v>38</v>
      </c>
      <c r="E299" s="14">
        <v>450</v>
      </c>
      <c r="F299" s="15">
        <v>0</v>
      </c>
      <c r="G299" s="15">
        <v>0</v>
      </c>
      <c r="H299" s="15">
        <v>0</v>
      </c>
      <c r="I299" s="15">
        <v>0</v>
      </c>
      <c r="J299" s="15">
        <v>0</v>
      </c>
      <c r="K299" s="15">
        <v>0</v>
      </c>
      <c r="L299" s="15">
        <v>0</v>
      </c>
      <c r="M299" s="15">
        <v>0</v>
      </c>
      <c r="N299" s="15">
        <v>0</v>
      </c>
      <c r="O299" s="15">
        <v>0</v>
      </c>
    </row>
    <row r="300" spans="1:15">
      <c r="A300" s="18" t="s">
        <v>616</v>
      </c>
      <c r="B300" s="19" t="s">
        <v>491</v>
      </c>
      <c r="C300" s="20" t="s">
        <v>404</v>
      </c>
      <c r="D300" s="20">
        <v>39</v>
      </c>
      <c r="E300" s="14">
        <v>450</v>
      </c>
      <c r="F300" s="15">
        <v>0</v>
      </c>
      <c r="G300" s="15">
        <v>0</v>
      </c>
      <c r="H300" s="15">
        <v>0</v>
      </c>
      <c r="I300" s="15">
        <v>0</v>
      </c>
      <c r="J300" s="15">
        <v>0</v>
      </c>
      <c r="K300" s="15">
        <v>0</v>
      </c>
      <c r="L300" s="15">
        <v>0</v>
      </c>
      <c r="M300" s="15">
        <v>0</v>
      </c>
      <c r="N300" s="15">
        <v>0</v>
      </c>
      <c r="O300" s="15">
        <v>0</v>
      </c>
    </row>
    <row r="301" spans="1:15">
      <c r="A301" s="18" t="s">
        <v>617</v>
      </c>
      <c r="B301" s="19" t="s">
        <v>491</v>
      </c>
      <c r="C301" s="20" t="s">
        <v>404</v>
      </c>
      <c r="D301" s="20">
        <v>40</v>
      </c>
      <c r="E301" s="14">
        <v>450</v>
      </c>
      <c r="F301" s="15">
        <v>0</v>
      </c>
      <c r="G301" s="15">
        <v>0</v>
      </c>
      <c r="H301" s="15">
        <v>0</v>
      </c>
      <c r="I301" s="15">
        <v>0</v>
      </c>
      <c r="J301" s="15">
        <v>0</v>
      </c>
      <c r="K301" s="15">
        <v>0</v>
      </c>
      <c r="L301" s="15">
        <v>0</v>
      </c>
      <c r="M301" s="15">
        <v>0</v>
      </c>
      <c r="N301" s="15">
        <v>0</v>
      </c>
      <c r="O301" s="15">
        <v>0</v>
      </c>
    </row>
    <row r="302" spans="1:15">
      <c r="A302" s="18" t="s">
        <v>618</v>
      </c>
      <c r="B302" s="19" t="s">
        <v>491</v>
      </c>
      <c r="C302" s="20" t="s">
        <v>404</v>
      </c>
      <c r="D302" s="20">
        <v>41</v>
      </c>
      <c r="E302" s="14">
        <v>450</v>
      </c>
      <c r="F302" s="15">
        <v>0</v>
      </c>
      <c r="G302" s="15">
        <v>0</v>
      </c>
      <c r="H302" s="15">
        <v>0</v>
      </c>
      <c r="I302" s="15">
        <v>0</v>
      </c>
      <c r="J302" s="15">
        <v>0</v>
      </c>
      <c r="K302" s="15">
        <v>0</v>
      </c>
      <c r="L302" s="15">
        <v>0</v>
      </c>
      <c r="M302" s="15">
        <v>0</v>
      </c>
      <c r="N302" s="15">
        <v>0</v>
      </c>
      <c r="O302" s="15">
        <v>0</v>
      </c>
    </row>
    <row r="303" spans="1:15">
      <c r="A303" s="18" t="s">
        <v>619</v>
      </c>
      <c r="B303" s="19" t="s">
        <v>491</v>
      </c>
      <c r="C303" s="20" t="s">
        <v>404</v>
      </c>
      <c r="D303" s="20">
        <v>42</v>
      </c>
      <c r="E303" s="14">
        <v>450</v>
      </c>
      <c r="F303" s="15">
        <v>0</v>
      </c>
      <c r="G303" s="15">
        <v>0</v>
      </c>
      <c r="H303" s="15">
        <v>0</v>
      </c>
      <c r="I303" s="15">
        <v>0</v>
      </c>
      <c r="J303" s="15">
        <v>0</v>
      </c>
      <c r="K303" s="15">
        <v>0</v>
      </c>
      <c r="L303" s="15">
        <v>0</v>
      </c>
      <c r="M303" s="15">
        <v>0</v>
      </c>
      <c r="N303" s="15">
        <v>0</v>
      </c>
      <c r="O303" s="15">
        <v>0</v>
      </c>
    </row>
    <row r="304" spans="1:15">
      <c r="A304" s="18" t="s">
        <v>620</v>
      </c>
      <c r="B304" s="19" t="s">
        <v>491</v>
      </c>
      <c r="C304" s="20" t="s">
        <v>404</v>
      </c>
      <c r="D304" s="20">
        <v>43</v>
      </c>
      <c r="E304" s="14">
        <v>450</v>
      </c>
      <c r="F304" s="15">
        <v>0</v>
      </c>
      <c r="G304" s="15">
        <v>0</v>
      </c>
      <c r="H304" s="15">
        <v>0</v>
      </c>
      <c r="I304" s="15">
        <v>0</v>
      </c>
      <c r="J304" s="15">
        <v>0</v>
      </c>
      <c r="K304" s="15">
        <v>0</v>
      </c>
      <c r="L304" s="15">
        <v>0</v>
      </c>
      <c r="M304" s="15">
        <v>0</v>
      </c>
      <c r="N304" s="15">
        <v>0</v>
      </c>
      <c r="O304" s="15">
        <v>0</v>
      </c>
    </row>
    <row r="305" spans="1:15">
      <c r="A305" s="18" t="s">
        <v>621</v>
      </c>
      <c r="B305" s="19" t="s">
        <v>491</v>
      </c>
      <c r="C305" s="20" t="s">
        <v>404</v>
      </c>
      <c r="D305" s="20">
        <v>44</v>
      </c>
      <c r="E305" s="14">
        <v>450</v>
      </c>
      <c r="F305" s="15">
        <v>0</v>
      </c>
      <c r="G305" s="15">
        <v>0</v>
      </c>
      <c r="H305" s="15">
        <v>0</v>
      </c>
      <c r="I305" s="15">
        <v>0</v>
      </c>
      <c r="J305" s="15">
        <v>0</v>
      </c>
      <c r="K305" s="15">
        <v>0</v>
      </c>
      <c r="L305" s="15">
        <v>0</v>
      </c>
      <c r="M305" s="15">
        <v>0</v>
      </c>
      <c r="N305" s="15">
        <v>0</v>
      </c>
      <c r="O305" s="15">
        <v>0</v>
      </c>
    </row>
    <row r="306" spans="1:15">
      <c r="A306" s="18" t="s">
        <v>622</v>
      </c>
      <c r="B306" s="19" t="s">
        <v>491</v>
      </c>
      <c r="C306" s="20" t="s">
        <v>404</v>
      </c>
      <c r="D306" s="20">
        <v>45</v>
      </c>
      <c r="E306" s="14">
        <v>450</v>
      </c>
      <c r="F306" s="15">
        <v>0</v>
      </c>
      <c r="G306" s="15">
        <v>0</v>
      </c>
      <c r="H306" s="15">
        <v>0</v>
      </c>
      <c r="I306" s="15">
        <v>0</v>
      </c>
      <c r="J306" s="15">
        <v>0</v>
      </c>
      <c r="K306" s="15">
        <v>0</v>
      </c>
      <c r="L306" s="15">
        <v>0</v>
      </c>
      <c r="M306" s="15">
        <v>0</v>
      </c>
      <c r="N306" s="15">
        <v>0</v>
      </c>
      <c r="O306" s="15">
        <v>0</v>
      </c>
    </row>
    <row r="307" spans="1:15">
      <c r="A307" s="11" t="s">
        <v>623</v>
      </c>
      <c r="B307" s="12" t="s">
        <v>491</v>
      </c>
      <c r="C307" s="13" t="s">
        <v>404</v>
      </c>
      <c r="D307" s="13">
        <v>46</v>
      </c>
      <c r="E307" s="14">
        <v>450</v>
      </c>
      <c r="F307" s="15">
        <v>0</v>
      </c>
      <c r="G307" s="15">
        <v>0</v>
      </c>
      <c r="H307" s="15">
        <v>0</v>
      </c>
      <c r="I307" s="15">
        <v>0</v>
      </c>
      <c r="J307" s="15">
        <v>0</v>
      </c>
      <c r="K307" s="15">
        <v>0</v>
      </c>
      <c r="L307" s="15">
        <v>0</v>
      </c>
      <c r="M307" s="15">
        <v>0</v>
      </c>
      <c r="N307" s="15">
        <v>0</v>
      </c>
      <c r="O307" s="15">
        <v>0</v>
      </c>
    </row>
    <row r="308" spans="1:15">
      <c r="A308" s="11" t="s">
        <v>624</v>
      </c>
      <c r="B308" s="12" t="s">
        <v>491</v>
      </c>
      <c r="C308" s="13" t="s">
        <v>404</v>
      </c>
      <c r="D308" s="13">
        <v>47</v>
      </c>
      <c r="E308" s="14">
        <v>450</v>
      </c>
      <c r="F308" s="15">
        <v>0</v>
      </c>
      <c r="G308" s="15">
        <v>0</v>
      </c>
      <c r="H308" s="15">
        <v>0</v>
      </c>
      <c r="I308" s="15">
        <v>0</v>
      </c>
      <c r="J308" s="15">
        <v>0</v>
      </c>
      <c r="K308" s="15">
        <v>0</v>
      </c>
      <c r="L308" s="15">
        <v>0</v>
      </c>
      <c r="M308" s="15">
        <v>0</v>
      </c>
      <c r="N308" s="15">
        <v>0</v>
      </c>
      <c r="O308" s="15">
        <v>0</v>
      </c>
    </row>
    <row r="309" spans="1:15">
      <c r="A309" s="11" t="s">
        <v>625</v>
      </c>
      <c r="B309" s="12" t="s">
        <v>491</v>
      </c>
      <c r="C309" s="13" t="s">
        <v>404</v>
      </c>
      <c r="D309" s="13">
        <v>48</v>
      </c>
      <c r="E309" s="14">
        <v>450</v>
      </c>
      <c r="F309" s="15">
        <v>0</v>
      </c>
      <c r="G309" s="15">
        <v>0</v>
      </c>
      <c r="H309" s="15">
        <v>0</v>
      </c>
      <c r="I309" s="15">
        <v>0</v>
      </c>
      <c r="J309" s="15">
        <v>0</v>
      </c>
      <c r="K309" s="15">
        <v>0</v>
      </c>
      <c r="L309" s="15">
        <v>0</v>
      </c>
      <c r="M309" s="15">
        <v>0</v>
      </c>
      <c r="N309" s="15">
        <v>0</v>
      </c>
      <c r="O309" s="15">
        <v>0</v>
      </c>
    </row>
    <row r="310" spans="1:15">
      <c r="A310" s="11" t="s">
        <v>626</v>
      </c>
      <c r="B310" s="12" t="s">
        <v>491</v>
      </c>
      <c r="C310" s="13" t="s">
        <v>404</v>
      </c>
      <c r="D310" s="13">
        <v>49</v>
      </c>
      <c r="E310" s="14">
        <v>450</v>
      </c>
      <c r="F310" s="15">
        <v>0</v>
      </c>
      <c r="G310" s="15">
        <v>0</v>
      </c>
      <c r="H310" s="15">
        <v>0</v>
      </c>
      <c r="I310" s="15">
        <v>0</v>
      </c>
      <c r="J310" s="15">
        <v>0</v>
      </c>
      <c r="K310" s="15">
        <v>0</v>
      </c>
      <c r="L310" s="15">
        <v>0</v>
      </c>
      <c r="M310" s="15">
        <v>0</v>
      </c>
      <c r="N310" s="15">
        <v>0</v>
      </c>
      <c r="O310" s="15">
        <v>0</v>
      </c>
    </row>
    <row r="311" spans="1:15">
      <c r="A311" s="11" t="s">
        <v>627</v>
      </c>
      <c r="B311" s="12" t="s">
        <v>491</v>
      </c>
      <c r="C311" s="13" t="s">
        <v>404</v>
      </c>
      <c r="D311" s="13">
        <v>50</v>
      </c>
      <c r="E311" s="14">
        <v>450</v>
      </c>
      <c r="F311" s="15">
        <v>0</v>
      </c>
      <c r="G311" s="15">
        <v>0</v>
      </c>
      <c r="H311" s="15">
        <v>0</v>
      </c>
      <c r="I311" s="15">
        <v>0</v>
      </c>
      <c r="J311" s="15">
        <v>0</v>
      </c>
      <c r="K311" s="15">
        <v>0</v>
      </c>
      <c r="L311" s="15">
        <v>0</v>
      </c>
      <c r="M311" s="15">
        <v>0</v>
      </c>
      <c r="N311" s="15">
        <v>0</v>
      </c>
      <c r="O311" s="15">
        <v>0</v>
      </c>
    </row>
    <row r="312" spans="1:15">
      <c r="A312" s="11" t="s">
        <v>628</v>
      </c>
      <c r="B312" s="12" t="s">
        <v>491</v>
      </c>
      <c r="C312" s="13" t="s">
        <v>404</v>
      </c>
      <c r="D312" s="13">
        <v>51</v>
      </c>
      <c r="E312" s="14">
        <v>450</v>
      </c>
      <c r="F312" s="15">
        <v>0</v>
      </c>
      <c r="G312" s="15">
        <v>0</v>
      </c>
      <c r="H312" s="15">
        <v>0</v>
      </c>
      <c r="I312" s="15">
        <v>0</v>
      </c>
      <c r="J312" s="15">
        <v>0</v>
      </c>
      <c r="K312" s="15">
        <v>0</v>
      </c>
      <c r="L312" s="15">
        <v>0</v>
      </c>
      <c r="M312" s="15">
        <v>0</v>
      </c>
      <c r="N312" s="15">
        <v>0</v>
      </c>
      <c r="O312" s="15">
        <v>0</v>
      </c>
    </row>
    <row r="313" spans="1:15">
      <c r="A313" s="11" t="s">
        <v>629</v>
      </c>
      <c r="B313" s="12" t="s">
        <v>491</v>
      </c>
      <c r="C313" s="13" t="s">
        <v>404</v>
      </c>
      <c r="D313" s="13">
        <v>52</v>
      </c>
      <c r="E313" s="14">
        <v>450</v>
      </c>
      <c r="F313" s="15">
        <v>0</v>
      </c>
      <c r="G313" s="15">
        <v>0</v>
      </c>
      <c r="H313" s="15">
        <v>0</v>
      </c>
      <c r="I313" s="15">
        <v>0</v>
      </c>
      <c r="J313" s="15">
        <v>0</v>
      </c>
      <c r="K313" s="15">
        <v>0</v>
      </c>
      <c r="L313" s="15">
        <v>0</v>
      </c>
      <c r="M313" s="15">
        <v>0</v>
      </c>
      <c r="N313" s="15">
        <v>0</v>
      </c>
      <c r="O313" s="15">
        <v>0</v>
      </c>
    </row>
    <row r="314" spans="1:15">
      <c r="A314" s="11" t="s">
        <v>630</v>
      </c>
      <c r="B314" s="12" t="s">
        <v>491</v>
      </c>
      <c r="C314" s="13" t="s">
        <v>404</v>
      </c>
      <c r="D314" s="13">
        <v>53</v>
      </c>
      <c r="E314" s="14">
        <v>450</v>
      </c>
      <c r="F314" s="15">
        <v>0</v>
      </c>
      <c r="G314" s="15">
        <v>0</v>
      </c>
      <c r="H314" s="15">
        <v>0</v>
      </c>
      <c r="I314" s="15">
        <v>0</v>
      </c>
      <c r="J314" s="15">
        <v>0</v>
      </c>
      <c r="K314" s="15">
        <v>0</v>
      </c>
      <c r="L314" s="15">
        <v>0</v>
      </c>
      <c r="M314" s="15">
        <v>0</v>
      </c>
      <c r="N314" s="15">
        <v>0</v>
      </c>
      <c r="O314" s="15">
        <v>0</v>
      </c>
    </row>
    <row r="315" spans="1:15">
      <c r="A315" s="11" t="s">
        <v>631</v>
      </c>
      <c r="B315" s="12" t="s">
        <v>491</v>
      </c>
      <c r="C315" s="13" t="s">
        <v>404</v>
      </c>
      <c r="D315" s="13">
        <v>54</v>
      </c>
      <c r="E315" s="14">
        <v>450</v>
      </c>
      <c r="F315" s="15">
        <v>0</v>
      </c>
      <c r="G315" s="15">
        <v>0</v>
      </c>
      <c r="H315" s="15">
        <v>0</v>
      </c>
      <c r="I315" s="15">
        <v>0</v>
      </c>
      <c r="J315" s="15">
        <v>0</v>
      </c>
      <c r="K315" s="15">
        <v>0</v>
      </c>
      <c r="L315" s="15">
        <v>0</v>
      </c>
      <c r="M315" s="15">
        <v>0</v>
      </c>
      <c r="N315" s="15">
        <v>0</v>
      </c>
      <c r="O315" s="15">
        <v>0</v>
      </c>
    </row>
    <row r="316" spans="1:15">
      <c r="A316" s="11" t="s">
        <v>632</v>
      </c>
      <c r="B316" s="12" t="s">
        <v>491</v>
      </c>
      <c r="C316" s="13" t="s">
        <v>404</v>
      </c>
      <c r="D316" s="13">
        <v>55</v>
      </c>
      <c r="E316" s="14">
        <v>450</v>
      </c>
      <c r="F316" s="15">
        <v>0</v>
      </c>
      <c r="G316" s="15">
        <v>0</v>
      </c>
      <c r="H316" s="15">
        <v>0</v>
      </c>
      <c r="I316" s="15">
        <v>0</v>
      </c>
      <c r="J316" s="15">
        <v>0</v>
      </c>
      <c r="K316" s="15">
        <v>0</v>
      </c>
      <c r="L316" s="15">
        <v>0</v>
      </c>
      <c r="M316" s="15">
        <v>0</v>
      </c>
      <c r="N316" s="15">
        <v>0</v>
      </c>
      <c r="O316" s="15">
        <v>0</v>
      </c>
    </row>
    <row r="317" spans="1:15">
      <c r="A317" s="11" t="s">
        <v>633</v>
      </c>
      <c r="B317" s="12" t="s">
        <v>491</v>
      </c>
      <c r="C317" s="13" t="s">
        <v>404</v>
      </c>
      <c r="D317" s="13">
        <v>56</v>
      </c>
      <c r="E317" s="14">
        <v>450</v>
      </c>
      <c r="F317" s="15">
        <v>0</v>
      </c>
      <c r="G317" s="15">
        <v>0</v>
      </c>
      <c r="H317" s="15">
        <v>0</v>
      </c>
      <c r="I317" s="15">
        <v>0</v>
      </c>
      <c r="J317" s="15">
        <v>0</v>
      </c>
      <c r="K317" s="15">
        <v>0</v>
      </c>
      <c r="L317" s="15">
        <v>0</v>
      </c>
      <c r="M317" s="15">
        <v>0</v>
      </c>
      <c r="N317" s="15">
        <v>0</v>
      </c>
      <c r="O317" s="15">
        <v>0</v>
      </c>
    </row>
    <row r="318" spans="1:15">
      <c r="A318" s="11" t="s">
        <v>634</v>
      </c>
      <c r="B318" s="12" t="s">
        <v>491</v>
      </c>
      <c r="C318" s="13" t="s">
        <v>404</v>
      </c>
      <c r="D318" s="13">
        <v>57</v>
      </c>
      <c r="E318" s="14">
        <v>450</v>
      </c>
      <c r="F318" s="15">
        <v>0</v>
      </c>
      <c r="G318" s="15">
        <v>0</v>
      </c>
      <c r="H318" s="15">
        <v>0</v>
      </c>
      <c r="I318" s="15">
        <v>0</v>
      </c>
      <c r="J318" s="15">
        <v>0</v>
      </c>
      <c r="K318" s="15">
        <v>0</v>
      </c>
      <c r="L318" s="15">
        <v>0</v>
      </c>
      <c r="M318" s="15">
        <v>0</v>
      </c>
      <c r="N318" s="15">
        <v>0</v>
      </c>
      <c r="O318" s="15">
        <v>0</v>
      </c>
    </row>
    <row r="319" spans="1:15">
      <c r="A319" s="11" t="s">
        <v>635</v>
      </c>
      <c r="B319" s="12" t="s">
        <v>491</v>
      </c>
      <c r="C319" s="13" t="s">
        <v>404</v>
      </c>
      <c r="D319" s="13">
        <v>58</v>
      </c>
      <c r="E319" s="14">
        <v>450</v>
      </c>
      <c r="F319" s="15">
        <v>0</v>
      </c>
      <c r="G319" s="15">
        <v>0</v>
      </c>
      <c r="H319" s="15">
        <v>0</v>
      </c>
      <c r="I319" s="15">
        <v>0</v>
      </c>
      <c r="J319" s="15">
        <v>0</v>
      </c>
      <c r="K319" s="15">
        <v>0</v>
      </c>
      <c r="L319" s="15">
        <v>0</v>
      </c>
      <c r="M319" s="15">
        <v>0</v>
      </c>
      <c r="N319" s="15">
        <v>0</v>
      </c>
      <c r="O319" s="15">
        <v>0</v>
      </c>
    </row>
    <row r="320" spans="1:15">
      <c r="A320" s="11" t="s">
        <v>636</v>
      </c>
      <c r="B320" s="12" t="s">
        <v>491</v>
      </c>
      <c r="C320" s="13" t="s">
        <v>404</v>
      </c>
      <c r="D320" s="13">
        <v>59</v>
      </c>
      <c r="E320" s="14">
        <v>450</v>
      </c>
      <c r="F320" s="15">
        <v>0</v>
      </c>
      <c r="G320" s="15">
        <v>0</v>
      </c>
      <c r="H320" s="15">
        <v>0</v>
      </c>
      <c r="I320" s="15">
        <v>0</v>
      </c>
      <c r="J320" s="15">
        <v>0</v>
      </c>
      <c r="K320" s="15">
        <v>0</v>
      </c>
      <c r="L320" s="15">
        <v>0</v>
      </c>
      <c r="M320" s="15">
        <v>0</v>
      </c>
      <c r="N320" s="15">
        <v>0</v>
      </c>
      <c r="O320" s="15">
        <v>0</v>
      </c>
    </row>
    <row r="321" spans="1:15">
      <c r="A321" s="11" t="s">
        <v>637</v>
      </c>
      <c r="B321" s="12" t="s">
        <v>491</v>
      </c>
      <c r="C321" s="13" t="s">
        <v>404</v>
      </c>
      <c r="D321" s="13">
        <v>60</v>
      </c>
      <c r="E321" s="14">
        <v>450</v>
      </c>
      <c r="F321" s="15">
        <v>0</v>
      </c>
      <c r="G321" s="15">
        <v>0</v>
      </c>
      <c r="H321" s="15">
        <v>0</v>
      </c>
      <c r="I321" s="15">
        <v>0</v>
      </c>
      <c r="J321" s="15">
        <v>0</v>
      </c>
      <c r="K321" s="15">
        <v>0</v>
      </c>
      <c r="L321" s="15">
        <v>0</v>
      </c>
      <c r="M321" s="15">
        <v>0</v>
      </c>
      <c r="N321" s="15">
        <v>0</v>
      </c>
      <c r="O321" s="15">
        <v>0</v>
      </c>
    </row>
    <row r="322" spans="1:15">
      <c r="A322" s="11" t="s">
        <v>638</v>
      </c>
      <c r="B322" s="12" t="s">
        <v>491</v>
      </c>
      <c r="C322" s="13" t="s">
        <v>404</v>
      </c>
      <c r="D322" s="13">
        <v>61</v>
      </c>
      <c r="E322" s="14">
        <v>450</v>
      </c>
      <c r="F322" s="15">
        <v>0</v>
      </c>
      <c r="G322" s="15">
        <v>0</v>
      </c>
      <c r="H322" s="15">
        <v>0</v>
      </c>
      <c r="I322" s="15">
        <v>0</v>
      </c>
      <c r="J322" s="15">
        <v>0</v>
      </c>
      <c r="K322" s="15">
        <v>0</v>
      </c>
      <c r="L322" s="15">
        <v>0</v>
      </c>
      <c r="M322" s="15">
        <v>0</v>
      </c>
      <c r="N322" s="15">
        <v>0</v>
      </c>
      <c r="O322" s="15">
        <v>0</v>
      </c>
    </row>
    <row r="323" spans="1:15">
      <c r="A323" s="11" t="s">
        <v>639</v>
      </c>
      <c r="B323" s="12" t="s">
        <v>491</v>
      </c>
      <c r="C323" s="13" t="s">
        <v>404</v>
      </c>
      <c r="D323" s="13">
        <v>62</v>
      </c>
      <c r="E323" s="14">
        <v>450</v>
      </c>
      <c r="F323" s="15">
        <v>0</v>
      </c>
      <c r="G323" s="15">
        <v>0</v>
      </c>
      <c r="H323" s="15">
        <v>0</v>
      </c>
      <c r="I323" s="15">
        <v>0</v>
      </c>
      <c r="J323" s="15">
        <v>0</v>
      </c>
      <c r="K323" s="15">
        <v>0</v>
      </c>
      <c r="L323" s="15">
        <v>0</v>
      </c>
      <c r="M323" s="15">
        <v>0</v>
      </c>
      <c r="N323" s="15">
        <v>0</v>
      </c>
      <c r="O323" s="15">
        <v>0</v>
      </c>
    </row>
    <row r="324" spans="1:15">
      <c r="A324" s="11" t="s">
        <v>640</v>
      </c>
      <c r="B324" s="12" t="s">
        <v>491</v>
      </c>
      <c r="C324" s="13" t="s">
        <v>404</v>
      </c>
      <c r="D324" s="13">
        <v>63</v>
      </c>
      <c r="E324" s="14">
        <v>450</v>
      </c>
      <c r="F324" s="15">
        <v>0</v>
      </c>
      <c r="G324" s="15">
        <v>0</v>
      </c>
      <c r="H324" s="15">
        <v>0</v>
      </c>
      <c r="I324" s="15">
        <v>0</v>
      </c>
      <c r="J324" s="15">
        <v>0</v>
      </c>
      <c r="K324" s="15">
        <v>0</v>
      </c>
      <c r="L324" s="15">
        <v>0</v>
      </c>
      <c r="M324" s="15">
        <v>0</v>
      </c>
      <c r="N324" s="15">
        <v>0</v>
      </c>
      <c r="O324" s="15">
        <v>0</v>
      </c>
    </row>
    <row r="325" spans="1:15">
      <c r="A325" s="11" t="s">
        <v>641</v>
      </c>
      <c r="B325" s="12" t="s">
        <v>491</v>
      </c>
      <c r="C325" s="13" t="s">
        <v>404</v>
      </c>
      <c r="D325" s="13">
        <v>64</v>
      </c>
      <c r="E325" s="14">
        <v>450</v>
      </c>
      <c r="F325" s="15">
        <v>0</v>
      </c>
      <c r="G325" s="15">
        <v>0</v>
      </c>
      <c r="H325" s="15">
        <v>0</v>
      </c>
      <c r="I325" s="15">
        <v>0</v>
      </c>
      <c r="J325" s="15">
        <v>0</v>
      </c>
      <c r="K325" s="15">
        <v>0</v>
      </c>
      <c r="L325" s="15">
        <v>0</v>
      </c>
      <c r="M325" s="15">
        <v>0</v>
      </c>
      <c r="N325" s="15">
        <v>0</v>
      </c>
      <c r="O325" s="15">
        <v>0</v>
      </c>
    </row>
    <row r="326" spans="1:15">
      <c r="A326" s="11" t="s">
        <v>642</v>
      </c>
      <c r="B326" s="12" t="s">
        <v>491</v>
      </c>
      <c r="C326" s="13" t="s">
        <v>404</v>
      </c>
      <c r="D326" s="13">
        <v>65</v>
      </c>
      <c r="E326" s="14">
        <v>450</v>
      </c>
      <c r="F326" s="15">
        <v>0</v>
      </c>
      <c r="G326" s="15">
        <v>0</v>
      </c>
      <c r="H326" s="15">
        <v>0</v>
      </c>
      <c r="I326" s="15">
        <v>0</v>
      </c>
      <c r="J326" s="15">
        <v>0</v>
      </c>
      <c r="K326" s="15">
        <v>0</v>
      </c>
      <c r="L326" s="15">
        <v>0</v>
      </c>
      <c r="M326" s="15">
        <v>0</v>
      </c>
      <c r="N326" s="15">
        <v>0</v>
      </c>
      <c r="O326" s="15">
        <v>0</v>
      </c>
    </row>
    <row r="327" spans="1:15">
      <c r="A327" s="11" t="s">
        <v>643</v>
      </c>
      <c r="B327" s="12" t="s">
        <v>491</v>
      </c>
      <c r="C327" s="13" t="s">
        <v>404</v>
      </c>
      <c r="D327" s="13">
        <v>66</v>
      </c>
      <c r="E327" s="14">
        <v>450</v>
      </c>
      <c r="F327" s="15">
        <v>0</v>
      </c>
      <c r="G327" s="15">
        <v>0</v>
      </c>
      <c r="H327" s="15">
        <v>0</v>
      </c>
      <c r="I327" s="15">
        <v>0</v>
      </c>
      <c r="J327" s="15">
        <v>0</v>
      </c>
      <c r="K327" s="15">
        <v>0</v>
      </c>
      <c r="L327" s="15">
        <v>0</v>
      </c>
      <c r="M327" s="15">
        <v>0</v>
      </c>
      <c r="N327" s="15">
        <v>0</v>
      </c>
      <c r="O327" s="15">
        <v>0</v>
      </c>
    </row>
    <row r="328" spans="1:15">
      <c r="A328" s="11" t="s">
        <v>644</v>
      </c>
      <c r="B328" s="12" t="s">
        <v>491</v>
      </c>
      <c r="C328" s="13" t="s">
        <v>404</v>
      </c>
      <c r="D328" s="13">
        <v>67</v>
      </c>
      <c r="E328" s="14">
        <v>450</v>
      </c>
      <c r="F328" s="15">
        <v>0</v>
      </c>
      <c r="G328" s="15">
        <v>0</v>
      </c>
      <c r="H328" s="15">
        <v>0</v>
      </c>
      <c r="I328" s="15">
        <v>0</v>
      </c>
      <c r="J328" s="15">
        <v>0</v>
      </c>
      <c r="K328" s="15">
        <v>0</v>
      </c>
      <c r="L328" s="15">
        <v>0</v>
      </c>
      <c r="M328" s="15">
        <v>0</v>
      </c>
      <c r="N328" s="15">
        <v>0</v>
      </c>
      <c r="O328" s="15">
        <v>0</v>
      </c>
    </row>
    <row r="329" spans="1:15">
      <c r="A329" s="11" t="s">
        <v>645</v>
      </c>
      <c r="B329" s="12" t="s">
        <v>491</v>
      </c>
      <c r="C329" s="13" t="s">
        <v>404</v>
      </c>
      <c r="D329" s="13">
        <v>68</v>
      </c>
      <c r="E329" s="14">
        <v>450</v>
      </c>
      <c r="F329" s="15">
        <v>0</v>
      </c>
      <c r="G329" s="15">
        <v>0</v>
      </c>
      <c r="H329" s="15">
        <v>0</v>
      </c>
      <c r="I329" s="15">
        <v>0</v>
      </c>
      <c r="J329" s="15">
        <v>0</v>
      </c>
      <c r="K329" s="15">
        <v>0</v>
      </c>
      <c r="L329" s="15">
        <v>0</v>
      </c>
      <c r="M329" s="15">
        <v>0</v>
      </c>
      <c r="N329" s="15">
        <v>0</v>
      </c>
      <c r="O329" s="15">
        <v>0</v>
      </c>
    </row>
    <row r="330" spans="1:15">
      <c r="A330" s="11" t="s">
        <v>646</v>
      </c>
      <c r="B330" s="12" t="s">
        <v>491</v>
      </c>
      <c r="C330" s="13" t="s">
        <v>404</v>
      </c>
      <c r="D330" s="13">
        <v>69</v>
      </c>
      <c r="E330" s="14">
        <v>450</v>
      </c>
      <c r="F330" s="15">
        <v>0</v>
      </c>
      <c r="G330" s="15">
        <v>0</v>
      </c>
      <c r="H330" s="15">
        <v>0</v>
      </c>
      <c r="I330" s="15">
        <v>0</v>
      </c>
      <c r="J330" s="15">
        <v>0</v>
      </c>
      <c r="K330" s="15">
        <v>0</v>
      </c>
      <c r="L330" s="15">
        <v>0</v>
      </c>
      <c r="M330" s="15">
        <v>0</v>
      </c>
      <c r="N330" s="15">
        <v>0</v>
      </c>
      <c r="O330" s="15">
        <v>0</v>
      </c>
    </row>
    <row r="331" spans="1:15">
      <c r="A331" s="11" t="s">
        <v>647</v>
      </c>
      <c r="B331" s="12" t="s">
        <v>491</v>
      </c>
      <c r="C331" s="13" t="s">
        <v>404</v>
      </c>
      <c r="D331" s="13">
        <v>70</v>
      </c>
      <c r="E331" s="14">
        <v>450</v>
      </c>
      <c r="F331" s="15">
        <v>0</v>
      </c>
      <c r="G331" s="15">
        <v>0</v>
      </c>
      <c r="H331" s="15">
        <v>0</v>
      </c>
      <c r="I331" s="15">
        <v>0</v>
      </c>
      <c r="J331" s="15">
        <v>0</v>
      </c>
      <c r="K331" s="15">
        <v>0</v>
      </c>
      <c r="L331" s="15">
        <v>0</v>
      </c>
      <c r="M331" s="15">
        <v>0</v>
      </c>
      <c r="N331" s="15">
        <v>0</v>
      </c>
      <c r="O331" s="15">
        <v>0</v>
      </c>
    </row>
    <row r="332" spans="1:15">
      <c r="A332" s="11" t="s">
        <v>648</v>
      </c>
      <c r="B332" s="12" t="s">
        <v>491</v>
      </c>
      <c r="C332" s="13" t="s">
        <v>404</v>
      </c>
      <c r="D332" s="13">
        <v>71</v>
      </c>
      <c r="E332" s="14">
        <v>450</v>
      </c>
      <c r="F332" s="15">
        <v>0</v>
      </c>
      <c r="G332" s="15">
        <v>0</v>
      </c>
      <c r="H332" s="15">
        <v>0</v>
      </c>
      <c r="I332" s="15">
        <v>0</v>
      </c>
      <c r="J332" s="15">
        <v>0</v>
      </c>
      <c r="K332" s="15">
        <v>0</v>
      </c>
      <c r="L332" s="15">
        <v>0</v>
      </c>
      <c r="M332" s="15">
        <v>0</v>
      </c>
      <c r="N332" s="15">
        <v>0</v>
      </c>
      <c r="O332" s="15">
        <v>0</v>
      </c>
    </row>
    <row r="333" spans="1:15">
      <c r="A333" s="11" t="s">
        <v>649</v>
      </c>
      <c r="B333" s="12" t="s">
        <v>491</v>
      </c>
      <c r="C333" s="13" t="s">
        <v>404</v>
      </c>
      <c r="D333" s="13">
        <v>72</v>
      </c>
      <c r="E333" s="14">
        <v>450</v>
      </c>
      <c r="F333" s="15">
        <v>0</v>
      </c>
      <c r="G333" s="15">
        <v>0</v>
      </c>
      <c r="H333" s="15">
        <v>0</v>
      </c>
      <c r="I333" s="15">
        <v>0</v>
      </c>
      <c r="J333" s="15">
        <v>0</v>
      </c>
      <c r="K333" s="15">
        <v>0</v>
      </c>
      <c r="L333" s="15">
        <v>0</v>
      </c>
      <c r="M333" s="15">
        <v>0</v>
      </c>
      <c r="N333" s="15">
        <v>0</v>
      </c>
      <c r="O333" s="15">
        <v>0</v>
      </c>
    </row>
    <row r="334" spans="1:15">
      <c r="A334" s="11" t="s">
        <v>650</v>
      </c>
      <c r="B334" s="12" t="s">
        <v>491</v>
      </c>
      <c r="C334" s="13" t="s">
        <v>404</v>
      </c>
      <c r="D334" s="13">
        <v>73</v>
      </c>
      <c r="E334" s="14">
        <v>450</v>
      </c>
      <c r="F334" s="15">
        <v>0</v>
      </c>
      <c r="G334" s="15">
        <v>0</v>
      </c>
      <c r="H334" s="15">
        <v>0</v>
      </c>
      <c r="I334" s="15">
        <v>0</v>
      </c>
      <c r="J334" s="15">
        <v>0</v>
      </c>
      <c r="K334" s="15">
        <v>0</v>
      </c>
      <c r="L334" s="15">
        <v>0</v>
      </c>
      <c r="M334" s="15">
        <v>0</v>
      </c>
      <c r="N334" s="15">
        <v>0</v>
      </c>
      <c r="O334" s="15">
        <v>0</v>
      </c>
    </row>
    <row r="335" spans="1:15">
      <c r="A335" s="11" t="s">
        <v>651</v>
      </c>
      <c r="B335" s="12" t="s">
        <v>491</v>
      </c>
      <c r="C335" s="13" t="s">
        <v>404</v>
      </c>
      <c r="D335" s="13">
        <v>74</v>
      </c>
      <c r="E335" s="14">
        <v>450</v>
      </c>
      <c r="F335" s="15">
        <v>0</v>
      </c>
      <c r="G335" s="15">
        <v>0</v>
      </c>
      <c r="H335" s="15">
        <v>0</v>
      </c>
      <c r="I335" s="15">
        <v>0</v>
      </c>
      <c r="J335" s="15">
        <v>0</v>
      </c>
      <c r="K335" s="15">
        <v>0</v>
      </c>
      <c r="L335" s="15">
        <v>0</v>
      </c>
      <c r="M335" s="15">
        <v>0</v>
      </c>
      <c r="N335" s="15">
        <v>0</v>
      </c>
      <c r="O335" s="15">
        <v>0</v>
      </c>
    </row>
    <row r="336" spans="1:15">
      <c r="A336" s="11" t="s">
        <v>652</v>
      </c>
      <c r="B336" s="12" t="s">
        <v>491</v>
      </c>
      <c r="C336" s="13" t="s">
        <v>404</v>
      </c>
      <c r="D336" s="13">
        <v>75</v>
      </c>
      <c r="E336" s="14">
        <v>450</v>
      </c>
      <c r="F336" s="15">
        <v>0</v>
      </c>
      <c r="G336" s="15">
        <v>0</v>
      </c>
      <c r="H336" s="15">
        <v>0</v>
      </c>
      <c r="I336" s="15">
        <v>0</v>
      </c>
      <c r="J336" s="15">
        <v>0</v>
      </c>
      <c r="K336" s="15">
        <v>0</v>
      </c>
      <c r="L336" s="15">
        <v>0</v>
      </c>
      <c r="M336" s="15">
        <v>0</v>
      </c>
      <c r="N336" s="15">
        <v>0</v>
      </c>
      <c r="O336" s="15">
        <v>0</v>
      </c>
    </row>
    <row r="337" spans="1:15">
      <c r="A337" s="11" t="s">
        <v>653</v>
      </c>
      <c r="B337" s="12" t="s">
        <v>491</v>
      </c>
      <c r="C337" s="13" t="s">
        <v>404</v>
      </c>
      <c r="D337" s="13">
        <v>76</v>
      </c>
      <c r="E337" s="14">
        <v>450</v>
      </c>
      <c r="F337" s="15">
        <v>0</v>
      </c>
      <c r="G337" s="15">
        <v>0</v>
      </c>
      <c r="H337" s="15">
        <v>0</v>
      </c>
      <c r="I337" s="15">
        <v>0</v>
      </c>
      <c r="J337" s="15">
        <v>0</v>
      </c>
      <c r="K337" s="15">
        <v>0</v>
      </c>
      <c r="L337" s="15">
        <v>0</v>
      </c>
      <c r="M337" s="15">
        <v>0</v>
      </c>
      <c r="N337" s="15">
        <v>0</v>
      </c>
      <c r="O337" s="15">
        <v>0</v>
      </c>
    </row>
    <row r="338" spans="1:15">
      <c r="A338" s="11" t="s">
        <v>654</v>
      </c>
      <c r="B338" s="12" t="s">
        <v>491</v>
      </c>
      <c r="C338" s="13" t="s">
        <v>404</v>
      </c>
      <c r="D338" s="13">
        <v>77</v>
      </c>
      <c r="E338" s="14">
        <v>450</v>
      </c>
      <c r="F338" s="15">
        <v>0</v>
      </c>
      <c r="G338" s="15">
        <v>0</v>
      </c>
      <c r="H338" s="15">
        <v>0</v>
      </c>
      <c r="I338" s="15">
        <v>0</v>
      </c>
      <c r="J338" s="15">
        <v>0</v>
      </c>
      <c r="K338" s="15">
        <v>0</v>
      </c>
      <c r="L338" s="15">
        <v>0</v>
      </c>
      <c r="M338" s="15">
        <v>0</v>
      </c>
      <c r="N338" s="15">
        <v>0</v>
      </c>
      <c r="O338" s="15">
        <v>0</v>
      </c>
    </row>
    <row r="339" spans="1:15">
      <c r="A339" s="11" t="s">
        <v>655</v>
      </c>
      <c r="B339" s="12" t="s">
        <v>491</v>
      </c>
      <c r="C339" s="13" t="s">
        <v>404</v>
      </c>
      <c r="D339" s="13">
        <v>78</v>
      </c>
      <c r="E339" s="14">
        <v>450</v>
      </c>
      <c r="F339" s="15">
        <v>0</v>
      </c>
      <c r="G339" s="15">
        <v>0</v>
      </c>
      <c r="H339" s="15">
        <v>0</v>
      </c>
      <c r="I339" s="15">
        <v>0</v>
      </c>
      <c r="J339" s="15">
        <v>0</v>
      </c>
      <c r="K339" s="15">
        <v>0</v>
      </c>
      <c r="L339" s="15">
        <v>0</v>
      </c>
      <c r="M339" s="15">
        <v>0</v>
      </c>
      <c r="N339" s="15">
        <v>0</v>
      </c>
      <c r="O339" s="15">
        <v>0</v>
      </c>
    </row>
    <row r="340" spans="1:15">
      <c r="A340" s="11" t="s">
        <v>656</v>
      </c>
      <c r="B340" s="12" t="s">
        <v>491</v>
      </c>
      <c r="C340" s="13" t="s">
        <v>404</v>
      </c>
      <c r="D340" s="13">
        <v>79</v>
      </c>
      <c r="E340" s="14">
        <v>450</v>
      </c>
      <c r="F340" s="15">
        <v>0</v>
      </c>
      <c r="G340" s="15">
        <v>0</v>
      </c>
      <c r="H340" s="15">
        <v>0</v>
      </c>
      <c r="I340" s="15">
        <v>0</v>
      </c>
      <c r="J340" s="15">
        <v>0</v>
      </c>
      <c r="K340" s="15">
        <v>0</v>
      </c>
      <c r="L340" s="15">
        <v>0</v>
      </c>
      <c r="M340" s="15">
        <v>0</v>
      </c>
      <c r="N340" s="15">
        <v>0</v>
      </c>
      <c r="O340" s="15">
        <v>0</v>
      </c>
    </row>
    <row r="341" spans="1:15">
      <c r="A341" s="11" t="s">
        <v>657</v>
      </c>
      <c r="B341" s="12" t="s">
        <v>491</v>
      </c>
      <c r="C341" s="13" t="s">
        <v>404</v>
      </c>
      <c r="D341" s="13">
        <v>80</v>
      </c>
      <c r="E341" s="14">
        <v>450</v>
      </c>
      <c r="F341" s="15">
        <v>0</v>
      </c>
      <c r="G341" s="15">
        <v>0</v>
      </c>
      <c r="H341" s="15">
        <v>0</v>
      </c>
      <c r="I341" s="15">
        <v>0</v>
      </c>
      <c r="J341" s="15">
        <v>0</v>
      </c>
      <c r="K341" s="15">
        <v>0</v>
      </c>
      <c r="L341" s="15">
        <v>0</v>
      </c>
      <c r="M341" s="15">
        <v>0</v>
      </c>
      <c r="N341" s="15">
        <v>0</v>
      </c>
      <c r="O341" s="15">
        <v>0</v>
      </c>
    </row>
    <row r="342" spans="1:15">
      <c r="A342" s="11" t="s">
        <v>658</v>
      </c>
      <c r="B342" s="12" t="s">
        <v>491</v>
      </c>
      <c r="C342" s="13" t="s">
        <v>404</v>
      </c>
      <c r="D342" s="13">
        <v>81</v>
      </c>
      <c r="E342" s="14">
        <v>450</v>
      </c>
      <c r="F342" s="15">
        <v>0</v>
      </c>
      <c r="G342" s="15">
        <v>0</v>
      </c>
      <c r="H342" s="15">
        <v>0</v>
      </c>
      <c r="I342" s="15">
        <v>0</v>
      </c>
      <c r="J342" s="15">
        <v>0</v>
      </c>
      <c r="K342" s="15">
        <v>0</v>
      </c>
      <c r="L342" s="15">
        <v>0</v>
      </c>
      <c r="M342" s="15">
        <v>0</v>
      </c>
      <c r="N342" s="15">
        <v>0</v>
      </c>
      <c r="O342" s="15">
        <v>0</v>
      </c>
    </row>
    <row r="343" spans="1:15">
      <c r="A343" s="11" t="s">
        <v>659</v>
      </c>
      <c r="B343" s="12" t="s">
        <v>491</v>
      </c>
      <c r="C343" s="13" t="s">
        <v>404</v>
      </c>
      <c r="D343" s="13">
        <v>82</v>
      </c>
      <c r="E343" s="14">
        <v>450</v>
      </c>
      <c r="F343" s="15">
        <v>0</v>
      </c>
      <c r="G343" s="15">
        <v>0</v>
      </c>
      <c r="H343" s="15">
        <v>0</v>
      </c>
      <c r="I343" s="15">
        <v>0</v>
      </c>
      <c r="J343" s="15">
        <v>0</v>
      </c>
      <c r="K343" s="15">
        <v>0</v>
      </c>
      <c r="L343" s="15">
        <v>0</v>
      </c>
      <c r="M343" s="15">
        <v>0</v>
      </c>
      <c r="N343" s="15">
        <v>0</v>
      </c>
      <c r="O343" s="15">
        <v>0</v>
      </c>
    </row>
    <row r="344" spans="1:15">
      <c r="A344" s="11" t="s">
        <v>660</v>
      </c>
      <c r="B344" s="12" t="s">
        <v>491</v>
      </c>
      <c r="C344" s="13" t="s">
        <v>404</v>
      </c>
      <c r="D344" s="13">
        <v>83</v>
      </c>
      <c r="E344" s="14">
        <v>450</v>
      </c>
      <c r="F344" s="15">
        <v>0</v>
      </c>
      <c r="G344" s="15">
        <v>0</v>
      </c>
      <c r="H344" s="15">
        <v>0</v>
      </c>
      <c r="I344" s="15">
        <v>0</v>
      </c>
      <c r="J344" s="15">
        <v>0</v>
      </c>
      <c r="K344" s="15">
        <v>0</v>
      </c>
      <c r="L344" s="15">
        <v>0</v>
      </c>
      <c r="M344" s="15">
        <v>0</v>
      </c>
      <c r="N344" s="15">
        <v>0</v>
      </c>
      <c r="O344" s="15">
        <v>0</v>
      </c>
    </row>
    <row r="345" spans="1:15">
      <c r="A345" s="11" t="s">
        <v>661</v>
      </c>
      <c r="B345" s="12" t="s">
        <v>491</v>
      </c>
      <c r="C345" s="13" t="s">
        <v>404</v>
      </c>
      <c r="D345" s="13">
        <v>84</v>
      </c>
      <c r="E345" s="14">
        <v>450</v>
      </c>
      <c r="F345" s="15">
        <v>0</v>
      </c>
      <c r="G345" s="15">
        <v>0</v>
      </c>
      <c r="H345" s="15">
        <v>0</v>
      </c>
      <c r="I345" s="15">
        <v>0</v>
      </c>
      <c r="J345" s="15">
        <v>0</v>
      </c>
      <c r="K345" s="15">
        <v>0</v>
      </c>
      <c r="L345" s="15">
        <v>0</v>
      </c>
      <c r="M345" s="15">
        <v>0</v>
      </c>
      <c r="N345" s="15">
        <v>0</v>
      </c>
      <c r="O345" s="15">
        <v>0</v>
      </c>
    </row>
    <row r="346" spans="1:15">
      <c r="A346" s="11" t="s">
        <v>662</v>
      </c>
      <c r="B346" s="12" t="s">
        <v>491</v>
      </c>
      <c r="C346" s="13" t="s">
        <v>404</v>
      </c>
      <c r="D346" s="13">
        <v>85</v>
      </c>
      <c r="E346" s="14">
        <v>450</v>
      </c>
      <c r="F346" s="15">
        <v>0</v>
      </c>
      <c r="G346" s="15">
        <v>0</v>
      </c>
      <c r="H346" s="15">
        <v>0</v>
      </c>
      <c r="I346" s="15">
        <v>0</v>
      </c>
      <c r="J346" s="15">
        <v>0</v>
      </c>
      <c r="K346" s="15">
        <v>0</v>
      </c>
      <c r="L346" s="15">
        <v>0</v>
      </c>
      <c r="M346" s="15">
        <v>0</v>
      </c>
      <c r="N346" s="15">
        <v>0</v>
      </c>
      <c r="O346" s="15">
        <v>0</v>
      </c>
    </row>
    <row r="347" spans="1:15">
      <c r="A347" s="11"/>
      <c r="B347" s="12"/>
      <c r="C347" s="13"/>
      <c r="D347" s="13"/>
      <c r="E347" s="14"/>
      <c r="F347" s="15"/>
      <c r="G347" s="15"/>
      <c r="H347" s="15"/>
      <c r="I347" s="15"/>
      <c r="J347" s="15"/>
      <c r="K347" s="15"/>
      <c r="L347" s="15"/>
      <c r="M347" s="15"/>
      <c r="N347" s="15"/>
      <c r="O347" s="15"/>
    </row>
    <row r="348" spans="1:15">
      <c r="A348" s="11" t="s">
        <v>663</v>
      </c>
      <c r="B348" s="12" t="s">
        <v>276</v>
      </c>
      <c r="C348" s="13" t="s">
        <v>317</v>
      </c>
      <c r="D348" s="13">
        <v>0</v>
      </c>
      <c r="E348" s="14">
        <v>450</v>
      </c>
      <c r="F348" s="15">
        <v>0</v>
      </c>
      <c r="G348" s="15">
        <v>0</v>
      </c>
      <c r="H348" s="15">
        <v>0</v>
      </c>
      <c r="I348" s="15">
        <v>0</v>
      </c>
      <c r="J348" s="15">
        <v>0</v>
      </c>
      <c r="K348" s="15">
        <v>0</v>
      </c>
      <c r="L348" s="15">
        <v>0</v>
      </c>
      <c r="M348" s="15">
        <v>0</v>
      </c>
      <c r="N348" s="15">
        <v>0</v>
      </c>
      <c r="O348" s="15">
        <v>0</v>
      </c>
    </row>
    <row r="349" spans="1:15">
      <c r="A349" s="11" t="s">
        <v>664</v>
      </c>
      <c r="B349" s="12" t="s">
        <v>276</v>
      </c>
      <c r="C349" s="13" t="s">
        <v>317</v>
      </c>
      <c r="D349" s="13">
        <v>1</v>
      </c>
      <c r="E349" s="14">
        <v>450</v>
      </c>
      <c r="F349" s="15">
        <v>0</v>
      </c>
      <c r="G349" s="15">
        <v>0</v>
      </c>
      <c r="H349" s="15">
        <v>0</v>
      </c>
      <c r="I349" s="15">
        <v>0</v>
      </c>
      <c r="J349" s="15">
        <v>0</v>
      </c>
      <c r="K349" s="15">
        <v>0</v>
      </c>
      <c r="L349" s="15">
        <v>0</v>
      </c>
      <c r="M349" s="15">
        <v>0</v>
      </c>
      <c r="N349" s="15">
        <v>0</v>
      </c>
      <c r="O349" s="15">
        <v>0</v>
      </c>
    </row>
    <row r="350" spans="1:15">
      <c r="A350" s="11" t="s">
        <v>665</v>
      </c>
      <c r="B350" s="12" t="s">
        <v>276</v>
      </c>
      <c r="C350" s="13" t="s">
        <v>317</v>
      </c>
      <c r="D350" s="13">
        <v>2</v>
      </c>
      <c r="E350" s="14">
        <v>450</v>
      </c>
      <c r="F350" s="15">
        <v>0</v>
      </c>
      <c r="G350" s="15">
        <v>0</v>
      </c>
      <c r="H350" s="15">
        <v>0</v>
      </c>
      <c r="I350" s="15">
        <v>0</v>
      </c>
      <c r="J350" s="15">
        <v>0</v>
      </c>
      <c r="K350" s="15">
        <v>0</v>
      </c>
      <c r="L350" s="15">
        <v>0</v>
      </c>
      <c r="M350" s="15">
        <v>0</v>
      </c>
      <c r="N350" s="15">
        <v>0</v>
      </c>
      <c r="O350" s="15">
        <v>0</v>
      </c>
    </row>
    <row r="351" spans="1:15">
      <c r="A351" s="11" t="s">
        <v>666</v>
      </c>
      <c r="B351" s="12" t="s">
        <v>276</v>
      </c>
      <c r="C351" s="13" t="s">
        <v>317</v>
      </c>
      <c r="D351" s="13">
        <v>3</v>
      </c>
      <c r="E351" s="14">
        <v>450</v>
      </c>
      <c r="F351" s="15">
        <v>0</v>
      </c>
      <c r="G351" s="15">
        <v>0</v>
      </c>
      <c r="H351" s="15">
        <v>0</v>
      </c>
      <c r="I351" s="15">
        <v>0</v>
      </c>
      <c r="J351" s="15">
        <v>0</v>
      </c>
      <c r="K351" s="15">
        <v>0</v>
      </c>
      <c r="L351" s="15">
        <v>0</v>
      </c>
      <c r="M351" s="15">
        <v>0</v>
      </c>
      <c r="N351" s="15">
        <v>0</v>
      </c>
      <c r="O351" s="15">
        <v>0</v>
      </c>
    </row>
    <row r="352" spans="1:15">
      <c r="A352" s="11" t="s">
        <v>667</v>
      </c>
      <c r="B352" s="12" t="s">
        <v>276</v>
      </c>
      <c r="C352" s="13" t="s">
        <v>317</v>
      </c>
      <c r="D352" s="13">
        <v>4</v>
      </c>
      <c r="E352" s="14">
        <v>450</v>
      </c>
      <c r="F352" s="15">
        <v>0</v>
      </c>
      <c r="G352" s="15">
        <v>0</v>
      </c>
      <c r="H352" s="15">
        <v>0</v>
      </c>
      <c r="I352" s="15">
        <v>0</v>
      </c>
      <c r="J352" s="15">
        <v>0</v>
      </c>
      <c r="K352" s="15">
        <v>0</v>
      </c>
      <c r="L352" s="15">
        <v>0</v>
      </c>
      <c r="M352" s="15">
        <v>0</v>
      </c>
      <c r="N352" s="15">
        <v>0</v>
      </c>
      <c r="O352" s="15">
        <v>0</v>
      </c>
    </row>
    <row r="353" spans="1:15">
      <c r="A353" s="11" t="s">
        <v>668</v>
      </c>
      <c r="B353" s="12" t="s">
        <v>276</v>
      </c>
      <c r="C353" s="13" t="s">
        <v>317</v>
      </c>
      <c r="D353" s="13">
        <v>5</v>
      </c>
      <c r="E353" s="14">
        <v>450</v>
      </c>
      <c r="F353" s="15">
        <v>0</v>
      </c>
      <c r="G353" s="15">
        <v>0</v>
      </c>
      <c r="H353" s="15">
        <v>0</v>
      </c>
      <c r="I353" s="15">
        <v>0</v>
      </c>
      <c r="J353" s="15">
        <v>0</v>
      </c>
      <c r="K353" s="15">
        <v>0</v>
      </c>
      <c r="L353" s="15">
        <v>0</v>
      </c>
      <c r="M353" s="15">
        <v>0</v>
      </c>
      <c r="N353" s="15">
        <v>0</v>
      </c>
      <c r="O353" s="15">
        <v>0</v>
      </c>
    </row>
    <row r="354" spans="1:15">
      <c r="A354" s="11" t="s">
        <v>669</v>
      </c>
      <c r="B354" s="12" t="s">
        <v>276</v>
      </c>
      <c r="C354" s="13" t="s">
        <v>317</v>
      </c>
      <c r="D354" s="13">
        <v>6</v>
      </c>
      <c r="E354" s="14">
        <v>450</v>
      </c>
      <c r="F354" s="15">
        <v>0</v>
      </c>
      <c r="G354" s="15">
        <v>0</v>
      </c>
      <c r="H354" s="15">
        <v>0</v>
      </c>
      <c r="I354" s="15">
        <v>0</v>
      </c>
      <c r="J354" s="15">
        <v>0</v>
      </c>
      <c r="K354" s="15">
        <v>0</v>
      </c>
      <c r="L354" s="15">
        <v>0</v>
      </c>
      <c r="M354" s="15">
        <v>0</v>
      </c>
      <c r="N354" s="15">
        <v>0</v>
      </c>
      <c r="O354" s="15">
        <v>0</v>
      </c>
    </row>
    <row r="355" spans="1:15">
      <c r="A355" s="11" t="s">
        <v>670</v>
      </c>
      <c r="B355" s="12" t="s">
        <v>276</v>
      </c>
      <c r="C355" s="13" t="s">
        <v>317</v>
      </c>
      <c r="D355" s="13">
        <v>7</v>
      </c>
      <c r="E355" s="14">
        <v>450</v>
      </c>
      <c r="F355" s="15">
        <v>0</v>
      </c>
      <c r="G355" s="15">
        <v>0</v>
      </c>
      <c r="H355" s="15">
        <v>0</v>
      </c>
      <c r="I355" s="15">
        <v>0</v>
      </c>
      <c r="J355" s="15">
        <v>0</v>
      </c>
      <c r="K355" s="15">
        <v>0</v>
      </c>
      <c r="L355" s="15">
        <v>0</v>
      </c>
      <c r="M355" s="15">
        <v>0</v>
      </c>
      <c r="N355" s="15">
        <v>0</v>
      </c>
      <c r="O355" s="15">
        <v>0</v>
      </c>
    </row>
    <row r="356" spans="1:15">
      <c r="A356" s="11" t="s">
        <v>671</v>
      </c>
      <c r="B356" s="12" t="s">
        <v>276</v>
      </c>
      <c r="C356" s="13" t="s">
        <v>317</v>
      </c>
      <c r="D356" s="13">
        <v>8</v>
      </c>
      <c r="E356" s="14">
        <v>450</v>
      </c>
      <c r="F356" s="15">
        <v>0</v>
      </c>
      <c r="G356" s="15">
        <v>0</v>
      </c>
      <c r="H356" s="15">
        <v>0</v>
      </c>
      <c r="I356" s="15">
        <v>0</v>
      </c>
      <c r="J356" s="15">
        <v>0</v>
      </c>
      <c r="K356" s="15">
        <v>0</v>
      </c>
      <c r="L356" s="15">
        <v>0</v>
      </c>
      <c r="M356" s="15">
        <v>0</v>
      </c>
      <c r="N356" s="15">
        <v>0</v>
      </c>
      <c r="O356" s="15">
        <v>0</v>
      </c>
    </row>
    <row r="357" spans="1:15">
      <c r="A357" s="11" t="s">
        <v>672</v>
      </c>
      <c r="B357" s="12" t="s">
        <v>276</v>
      </c>
      <c r="C357" s="13" t="s">
        <v>317</v>
      </c>
      <c r="D357" s="13">
        <v>9</v>
      </c>
      <c r="E357" s="14">
        <v>450</v>
      </c>
      <c r="F357" s="15">
        <v>0</v>
      </c>
      <c r="G357" s="15">
        <v>0</v>
      </c>
      <c r="H357" s="15">
        <v>0</v>
      </c>
      <c r="I357" s="15">
        <v>0</v>
      </c>
      <c r="J357" s="15">
        <v>0</v>
      </c>
      <c r="K357" s="15">
        <v>0</v>
      </c>
      <c r="L357" s="15">
        <v>0</v>
      </c>
      <c r="M357" s="15">
        <v>0</v>
      </c>
      <c r="N357" s="15">
        <v>0</v>
      </c>
      <c r="O357" s="15">
        <v>0</v>
      </c>
    </row>
    <row r="358" spans="1:15">
      <c r="A358" s="11" t="s">
        <v>673</v>
      </c>
      <c r="B358" s="12" t="s">
        <v>276</v>
      </c>
      <c r="C358" s="13" t="s">
        <v>317</v>
      </c>
      <c r="D358" s="13">
        <v>10</v>
      </c>
      <c r="E358" s="14">
        <v>450</v>
      </c>
      <c r="F358" s="15">
        <v>0</v>
      </c>
      <c r="G358" s="15">
        <v>0</v>
      </c>
      <c r="H358" s="15">
        <v>0</v>
      </c>
      <c r="I358" s="15">
        <v>0</v>
      </c>
      <c r="J358" s="15">
        <v>0</v>
      </c>
      <c r="K358" s="15">
        <v>0</v>
      </c>
      <c r="L358" s="15">
        <v>0</v>
      </c>
      <c r="M358" s="15">
        <v>0</v>
      </c>
      <c r="N358" s="15">
        <v>0</v>
      </c>
      <c r="O358" s="15">
        <v>0</v>
      </c>
    </row>
    <row r="359" spans="1:15">
      <c r="A359" s="11" t="s">
        <v>674</v>
      </c>
      <c r="B359" s="12" t="s">
        <v>276</v>
      </c>
      <c r="C359" s="13" t="s">
        <v>317</v>
      </c>
      <c r="D359" s="13">
        <v>11</v>
      </c>
      <c r="E359" s="14">
        <v>450</v>
      </c>
      <c r="F359" s="15">
        <v>0</v>
      </c>
      <c r="G359" s="15">
        <v>0</v>
      </c>
      <c r="H359" s="15">
        <v>0</v>
      </c>
      <c r="I359" s="15">
        <v>0</v>
      </c>
      <c r="J359" s="15">
        <v>0</v>
      </c>
      <c r="K359" s="15">
        <v>0</v>
      </c>
      <c r="L359" s="15">
        <v>0</v>
      </c>
      <c r="M359" s="15">
        <v>0</v>
      </c>
      <c r="N359" s="15">
        <v>0</v>
      </c>
      <c r="O359" s="15">
        <v>0</v>
      </c>
    </row>
    <row r="360" spans="1:15">
      <c r="A360" s="11" t="s">
        <v>675</v>
      </c>
      <c r="B360" s="12" t="s">
        <v>276</v>
      </c>
      <c r="C360" s="13" t="s">
        <v>317</v>
      </c>
      <c r="D360" s="13">
        <v>12</v>
      </c>
      <c r="E360" s="14">
        <v>450</v>
      </c>
      <c r="F360" s="15">
        <v>0</v>
      </c>
      <c r="G360" s="15">
        <v>0</v>
      </c>
      <c r="H360" s="15">
        <v>0</v>
      </c>
      <c r="I360" s="15">
        <v>0</v>
      </c>
      <c r="J360" s="15">
        <v>0</v>
      </c>
      <c r="K360" s="15">
        <v>0</v>
      </c>
      <c r="L360" s="15">
        <v>0</v>
      </c>
      <c r="M360" s="15">
        <v>0</v>
      </c>
      <c r="N360" s="15">
        <v>0</v>
      </c>
      <c r="O360" s="15">
        <v>0</v>
      </c>
    </row>
    <row r="361" spans="1:15">
      <c r="A361" s="11" t="s">
        <v>676</v>
      </c>
      <c r="B361" s="12" t="s">
        <v>276</v>
      </c>
      <c r="C361" s="13" t="s">
        <v>317</v>
      </c>
      <c r="D361" s="13">
        <v>13</v>
      </c>
      <c r="E361" s="14">
        <v>450</v>
      </c>
      <c r="F361" s="15">
        <v>0</v>
      </c>
      <c r="G361" s="15">
        <v>0</v>
      </c>
      <c r="H361" s="15">
        <v>0</v>
      </c>
      <c r="I361" s="15">
        <v>0</v>
      </c>
      <c r="J361" s="15">
        <v>0</v>
      </c>
      <c r="K361" s="15">
        <v>0</v>
      </c>
      <c r="L361" s="15">
        <v>0</v>
      </c>
      <c r="M361" s="15">
        <v>0</v>
      </c>
      <c r="N361" s="15">
        <v>0</v>
      </c>
      <c r="O361" s="15">
        <v>0</v>
      </c>
    </row>
    <row r="362" spans="1:15">
      <c r="A362" s="11" t="s">
        <v>677</v>
      </c>
      <c r="B362" s="12" t="s">
        <v>276</v>
      </c>
      <c r="C362" s="13" t="s">
        <v>317</v>
      </c>
      <c r="D362" s="13">
        <v>14</v>
      </c>
      <c r="E362" s="14">
        <v>450</v>
      </c>
      <c r="F362" s="15">
        <v>0</v>
      </c>
      <c r="G362" s="15">
        <v>0</v>
      </c>
      <c r="H362" s="15">
        <v>0</v>
      </c>
      <c r="I362" s="15">
        <v>0</v>
      </c>
      <c r="J362" s="15">
        <v>0</v>
      </c>
      <c r="K362" s="15">
        <v>0</v>
      </c>
      <c r="L362" s="15">
        <v>0</v>
      </c>
      <c r="M362" s="15">
        <v>0</v>
      </c>
      <c r="N362" s="15">
        <v>0</v>
      </c>
      <c r="O362" s="15">
        <v>0</v>
      </c>
    </row>
    <row r="363" spans="1:15">
      <c r="A363" s="11" t="s">
        <v>678</v>
      </c>
      <c r="B363" s="12" t="s">
        <v>276</v>
      </c>
      <c r="C363" s="13" t="s">
        <v>317</v>
      </c>
      <c r="D363" s="13">
        <v>15</v>
      </c>
      <c r="E363" s="14">
        <v>450</v>
      </c>
      <c r="F363" s="15">
        <v>0</v>
      </c>
      <c r="G363" s="15">
        <v>0</v>
      </c>
      <c r="H363" s="15">
        <v>0</v>
      </c>
      <c r="I363" s="15">
        <v>0</v>
      </c>
      <c r="J363" s="15">
        <v>0</v>
      </c>
      <c r="K363" s="15">
        <v>0</v>
      </c>
      <c r="L363" s="15">
        <v>0</v>
      </c>
      <c r="M363" s="15">
        <v>0</v>
      </c>
      <c r="N363" s="15">
        <v>0</v>
      </c>
      <c r="O363" s="15">
        <v>0</v>
      </c>
    </row>
    <row r="364" spans="1:15">
      <c r="A364" s="11" t="s">
        <v>679</v>
      </c>
      <c r="B364" s="12" t="s">
        <v>276</v>
      </c>
      <c r="C364" s="13" t="s">
        <v>317</v>
      </c>
      <c r="D364" s="13">
        <v>16</v>
      </c>
      <c r="E364" s="14">
        <v>450</v>
      </c>
      <c r="F364" s="15">
        <v>0</v>
      </c>
      <c r="G364" s="15">
        <v>0</v>
      </c>
      <c r="H364" s="15">
        <v>0</v>
      </c>
      <c r="I364" s="15">
        <v>0</v>
      </c>
      <c r="J364" s="15">
        <v>0</v>
      </c>
      <c r="K364" s="15">
        <v>0</v>
      </c>
      <c r="L364" s="15">
        <v>0</v>
      </c>
      <c r="M364" s="15">
        <v>0</v>
      </c>
      <c r="N364" s="15">
        <v>0</v>
      </c>
      <c r="O364" s="15">
        <v>0</v>
      </c>
    </row>
    <row r="365" spans="1:15">
      <c r="A365" s="11" t="s">
        <v>680</v>
      </c>
      <c r="B365" s="12" t="s">
        <v>276</v>
      </c>
      <c r="C365" s="13" t="s">
        <v>317</v>
      </c>
      <c r="D365" s="13">
        <v>17</v>
      </c>
      <c r="E365" s="14">
        <v>450</v>
      </c>
      <c r="F365" s="15">
        <v>0</v>
      </c>
      <c r="G365" s="15">
        <v>0</v>
      </c>
      <c r="H365" s="15">
        <v>0</v>
      </c>
      <c r="I365" s="15">
        <v>0</v>
      </c>
      <c r="J365" s="15">
        <v>0</v>
      </c>
      <c r="K365" s="15">
        <v>0</v>
      </c>
      <c r="L365" s="15">
        <v>0</v>
      </c>
      <c r="M365" s="15">
        <v>0</v>
      </c>
      <c r="N365" s="15">
        <v>0</v>
      </c>
      <c r="O365" s="15">
        <v>0</v>
      </c>
    </row>
    <row r="366" spans="1:15">
      <c r="A366" s="11" t="s">
        <v>681</v>
      </c>
      <c r="B366" s="12" t="s">
        <v>276</v>
      </c>
      <c r="C366" s="13" t="s">
        <v>317</v>
      </c>
      <c r="D366" s="13">
        <v>18</v>
      </c>
      <c r="E366" s="14">
        <v>450</v>
      </c>
      <c r="F366" s="15">
        <v>0</v>
      </c>
      <c r="G366" s="15">
        <v>0</v>
      </c>
      <c r="H366" s="15">
        <v>0</v>
      </c>
      <c r="I366" s="15">
        <v>0</v>
      </c>
      <c r="J366" s="15">
        <v>0</v>
      </c>
      <c r="K366" s="15">
        <v>0</v>
      </c>
      <c r="L366" s="15">
        <v>0</v>
      </c>
      <c r="M366" s="15">
        <v>0</v>
      </c>
      <c r="N366" s="15">
        <v>0</v>
      </c>
      <c r="O366" s="15">
        <v>0</v>
      </c>
    </row>
    <row r="367" spans="1:15">
      <c r="A367" s="11" t="s">
        <v>682</v>
      </c>
      <c r="B367" s="12" t="s">
        <v>276</v>
      </c>
      <c r="C367" s="13" t="s">
        <v>317</v>
      </c>
      <c r="D367" s="13">
        <v>19</v>
      </c>
      <c r="E367" s="14">
        <v>450</v>
      </c>
      <c r="F367" s="15">
        <v>0</v>
      </c>
      <c r="G367" s="15">
        <v>0</v>
      </c>
      <c r="H367" s="15">
        <v>0</v>
      </c>
      <c r="I367" s="15">
        <v>0</v>
      </c>
      <c r="J367" s="15">
        <v>0</v>
      </c>
      <c r="K367" s="15">
        <v>0</v>
      </c>
      <c r="L367" s="15">
        <v>0</v>
      </c>
      <c r="M367" s="15">
        <v>0</v>
      </c>
      <c r="N367" s="15">
        <v>0</v>
      </c>
      <c r="O367" s="15">
        <v>0</v>
      </c>
    </row>
    <row r="368" spans="1:15">
      <c r="A368" s="11" t="s">
        <v>683</v>
      </c>
      <c r="B368" s="12" t="s">
        <v>276</v>
      </c>
      <c r="C368" s="13" t="s">
        <v>317</v>
      </c>
      <c r="D368" s="13">
        <v>20</v>
      </c>
      <c r="E368" s="14">
        <v>450</v>
      </c>
      <c r="F368" s="15">
        <v>0</v>
      </c>
      <c r="G368" s="15">
        <v>0</v>
      </c>
      <c r="H368" s="15">
        <v>0</v>
      </c>
      <c r="I368" s="15">
        <v>0</v>
      </c>
      <c r="J368" s="15">
        <v>0</v>
      </c>
      <c r="K368" s="15">
        <v>0</v>
      </c>
      <c r="L368" s="15">
        <v>0</v>
      </c>
      <c r="M368" s="15">
        <v>0</v>
      </c>
      <c r="N368" s="15">
        <v>0</v>
      </c>
      <c r="O368" s="15">
        <v>0</v>
      </c>
    </row>
    <row r="369" spans="1:15">
      <c r="A369" s="11" t="s">
        <v>684</v>
      </c>
      <c r="B369" s="12" t="s">
        <v>276</v>
      </c>
      <c r="C369" s="13" t="s">
        <v>317</v>
      </c>
      <c r="D369" s="13">
        <v>21</v>
      </c>
      <c r="E369" s="14">
        <v>450</v>
      </c>
      <c r="F369" s="15">
        <v>0</v>
      </c>
      <c r="G369" s="15">
        <v>0</v>
      </c>
      <c r="H369" s="15">
        <v>0</v>
      </c>
      <c r="I369" s="15">
        <v>0</v>
      </c>
      <c r="J369" s="15">
        <v>0</v>
      </c>
      <c r="K369" s="15">
        <v>0</v>
      </c>
      <c r="L369" s="15">
        <v>0</v>
      </c>
      <c r="M369" s="15">
        <v>0</v>
      </c>
      <c r="N369" s="15">
        <v>0</v>
      </c>
      <c r="O369" s="15">
        <v>0</v>
      </c>
    </row>
    <row r="370" spans="1:15">
      <c r="A370" s="11" t="s">
        <v>685</v>
      </c>
      <c r="B370" s="12" t="s">
        <v>276</v>
      </c>
      <c r="C370" s="13" t="s">
        <v>317</v>
      </c>
      <c r="D370" s="13">
        <v>22</v>
      </c>
      <c r="E370" s="14">
        <v>450</v>
      </c>
      <c r="F370" s="15">
        <v>0</v>
      </c>
      <c r="G370" s="15">
        <v>0</v>
      </c>
      <c r="H370" s="15">
        <v>0</v>
      </c>
      <c r="I370" s="15">
        <v>0</v>
      </c>
      <c r="J370" s="15">
        <v>0</v>
      </c>
      <c r="K370" s="15">
        <v>0</v>
      </c>
      <c r="L370" s="15">
        <v>0</v>
      </c>
      <c r="M370" s="15">
        <v>0</v>
      </c>
      <c r="N370" s="15">
        <v>0</v>
      </c>
      <c r="O370" s="15">
        <v>0</v>
      </c>
    </row>
    <row r="371" spans="1:15">
      <c r="A371" s="11" t="s">
        <v>686</v>
      </c>
      <c r="B371" s="12" t="s">
        <v>276</v>
      </c>
      <c r="C371" s="13" t="s">
        <v>317</v>
      </c>
      <c r="D371" s="13">
        <v>23</v>
      </c>
      <c r="E371" s="14">
        <v>450</v>
      </c>
      <c r="F371" s="15">
        <v>0</v>
      </c>
      <c r="G371" s="15">
        <v>0</v>
      </c>
      <c r="H371" s="15">
        <v>0</v>
      </c>
      <c r="I371" s="15">
        <v>0</v>
      </c>
      <c r="J371" s="15">
        <v>0</v>
      </c>
      <c r="K371" s="15">
        <v>0</v>
      </c>
      <c r="L371" s="15">
        <v>0</v>
      </c>
      <c r="M371" s="15">
        <v>0</v>
      </c>
      <c r="N371" s="15">
        <v>0</v>
      </c>
      <c r="O371" s="15">
        <v>0</v>
      </c>
    </row>
    <row r="372" spans="1:15">
      <c r="A372" s="11" t="s">
        <v>687</v>
      </c>
      <c r="B372" s="12" t="s">
        <v>276</v>
      </c>
      <c r="C372" s="13" t="s">
        <v>317</v>
      </c>
      <c r="D372" s="13">
        <v>24</v>
      </c>
      <c r="E372" s="14">
        <v>450</v>
      </c>
      <c r="F372" s="15">
        <v>0</v>
      </c>
      <c r="G372" s="15">
        <v>0</v>
      </c>
      <c r="H372" s="15">
        <v>0</v>
      </c>
      <c r="I372" s="15">
        <v>0</v>
      </c>
      <c r="J372" s="15">
        <v>0</v>
      </c>
      <c r="K372" s="15">
        <v>0</v>
      </c>
      <c r="L372" s="15">
        <v>0</v>
      </c>
      <c r="M372" s="15">
        <v>0</v>
      </c>
      <c r="N372" s="15">
        <v>0</v>
      </c>
      <c r="O372" s="15">
        <v>0</v>
      </c>
    </row>
    <row r="373" spans="1:15">
      <c r="A373" s="11" t="s">
        <v>688</v>
      </c>
      <c r="B373" s="12" t="s">
        <v>276</v>
      </c>
      <c r="C373" s="13" t="s">
        <v>317</v>
      </c>
      <c r="D373" s="13">
        <v>25</v>
      </c>
      <c r="E373" s="14">
        <v>450</v>
      </c>
      <c r="F373" s="15">
        <v>0</v>
      </c>
      <c r="G373" s="15">
        <v>0</v>
      </c>
      <c r="H373" s="15">
        <v>0</v>
      </c>
      <c r="I373" s="15">
        <v>0</v>
      </c>
      <c r="J373" s="15">
        <v>0</v>
      </c>
      <c r="K373" s="15">
        <v>0</v>
      </c>
      <c r="L373" s="15">
        <v>0</v>
      </c>
      <c r="M373" s="15">
        <v>0</v>
      </c>
      <c r="N373" s="15">
        <v>0</v>
      </c>
      <c r="O373" s="15">
        <v>0</v>
      </c>
    </row>
    <row r="374" spans="1:15">
      <c r="A374" s="11" t="s">
        <v>689</v>
      </c>
      <c r="B374" s="12" t="s">
        <v>276</v>
      </c>
      <c r="C374" s="13" t="s">
        <v>317</v>
      </c>
      <c r="D374" s="13">
        <v>26</v>
      </c>
      <c r="E374" s="14">
        <v>450</v>
      </c>
      <c r="F374" s="15">
        <v>0</v>
      </c>
      <c r="G374" s="15">
        <v>0</v>
      </c>
      <c r="H374" s="15">
        <v>0</v>
      </c>
      <c r="I374" s="15">
        <v>0</v>
      </c>
      <c r="J374" s="15">
        <v>0</v>
      </c>
      <c r="K374" s="15">
        <v>0</v>
      </c>
      <c r="L374" s="15">
        <v>0</v>
      </c>
      <c r="M374" s="15">
        <v>0</v>
      </c>
      <c r="N374" s="15">
        <v>0</v>
      </c>
      <c r="O374" s="15">
        <v>0</v>
      </c>
    </row>
    <row r="375" spans="1:15">
      <c r="A375" s="11" t="s">
        <v>690</v>
      </c>
      <c r="B375" s="12" t="s">
        <v>276</v>
      </c>
      <c r="C375" s="13" t="s">
        <v>317</v>
      </c>
      <c r="D375" s="13">
        <v>27</v>
      </c>
      <c r="E375" s="14">
        <v>450</v>
      </c>
      <c r="F375" s="15">
        <v>0</v>
      </c>
      <c r="G375" s="15">
        <v>0</v>
      </c>
      <c r="H375" s="15">
        <v>0</v>
      </c>
      <c r="I375" s="15">
        <v>0</v>
      </c>
      <c r="J375" s="15">
        <v>0</v>
      </c>
      <c r="K375" s="15">
        <v>0</v>
      </c>
      <c r="L375" s="15">
        <v>0</v>
      </c>
      <c r="M375" s="15">
        <v>0</v>
      </c>
      <c r="N375" s="15">
        <v>0</v>
      </c>
      <c r="O375" s="15">
        <v>0</v>
      </c>
    </row>
    <row r="376" spans="1:15">
      <c r="A376" s="11" t="s">
        <v>691</v>
      </c>
      <c r="B376" s="12" t="s">
        <v>276</v>
      </c>
      <c r="C376" s="13" t="s">
        <v>317</v>
      </c>
      <c r="D376" s="13">
        <v>28</v>
      </c>
      <c r="E376" s="14">
        <v>450</v>
      </c>
      <c r="F376" s="15">
        <v>0</v>
      </c>
      <c r="G376" s="15">
        <v>0</v>
      </c>
      <c r="H376" s="15">
        <v>0</v>
      </c>
      <c r="I376" s="15">
        <v>0</v>
      </c>
      <c r="J376" s="15">
        <v>0</v>
      </c>
      <c r="K376" s="15">
        <v>0</v>
      </c>
      <c r="L376" s="15">
        <v>0</v>
      </c>
      <c r="M376" s="15">
        <v>0</v>
      </c>
      <c r="N376" s="15">
        <v>0</v>
      </c>
      <c r="O376" s="15">
        <v>0</v>
      </c>
    </row>
    <row r="377" spans="1:15">
      <c r="A377" s="11" t="s">
        <v>692</v>
      </c>
      <c r="B377" s="12" t="s">
        <v>276</v>
      </c>
      <c r="C377" s="13" t="s">
        <v>317</v>
      </c>
      <c r="D377" s="13">
        <v>29</v>
      </c>
      <c r="E377" s="14">
        <v>450</v>
      </c>
      <c r="F377" s="15">
        <v>0</v>
      </c>
      <c r="G377" s="15">
        <v>0</v>
      </c>
      <c r="H377" s="15">
        <v>0</v>
      </c>
      <c r="I377" s="15">
        <v>0</v>
      </c>
      <c r="J377" s="15">
        <v>0</v>
      </c>
      <c r="K377" s="15">
        <v>0</v>
      </c>
      <c r="L377" s="15">
        <v>0</v>
      </c>
      <c r="M377" s="15">
        <v>0</v>
      </c>
      <c r="N377" s="15">
        <v>0</v>
      </c>
      <c r="O377" s="15">
        <v>0</v>
      </c>
    </row>
    <row r="378" spans="1:15">
      <c r="A378" s="11" t="s">
        <v>693</v>
      </c>
      <c r="B378" s="12" t="s">
        <v>276</v>
      </c>
      <c r="C378" s="13" t="s">
        <v>317</v>
      </c>
      <c r="D378" s="13">
        <v>30</v>
      </c>
      <c r="E378" s="14">
        <v>450</v>
      </c>
      <c r="F378" s="15">
        <v>0</v>
      </c>
      <c r="G378" s="15">
        <v>0</v>
      </c>
      <c r="H378" s="15">
        <v>0</v>
      </c>
      <c r="I378" s="15">
        <v>0</v>
      </c>
      <c r="J378" s="15">
        <v>0</v>
      </c>
      <c r="K378" s="15">
        <v>0</v>
      </c>
      <c r="L378" s="15">
        <v>0</v>
      </c>
      <c r="M378" s="15">
        <v>0</v>
      </c>
      <c r="N378" s="15">
        <v>0</v>
      </c>
      <c r="O378" s="15">
        <v>0</v>
      </c>
    </row>
    <row r="379" spans="1:15">
      <c r="A379" s="11" t="s">
        <v>694</v>
      </c>
      <c r="B379" s="12" t="s">
        <v>276</v>
      </c>
      <c r="C379" s="13" t="s">
        <v>317</v>
      </c>
      <c r="D379" s="13">
        <v>31</v>
      </c>
      <c r="E379" s="14">
        <v>450</v>
      </c>
      <c r="F379" s="15">
        <v>0</v>
      </c>
      <c r="G379" s="15">
        <v>0</v>
      </c>
      <c r="H379" s="15">
        <v>0</v>
      </c>
      <c r="I379" s="15">
        <v>0</v>
      </c>
      <c r="J379" s="15">
        <v>0</v>
      </c>
      <c r="K379" s="15">
        <v>0</v>
      </c>
      <c r="L379" s="15">
        <v>0</v>
      </c>
      <c r="M379" s="15">
        <v>0</v>
      </c>
      <c r="N379" s="15">
        <v>0</v>
      </c>
      <c r="O379" s="15">
        <v>0</v>
      </c>
    </row>
    <row r="380" spans="1:15">
      <c r="A380" s="11" t="s">
        <v>695</v>
      </c>
      <c r="B380" s="12" t="s">
        <v>276</v>
      </c>
      <c r="C380" s="13" t="s">
        <v>317</v>
      </c>
      <c r="D380" s="13">
        <v>32</v>
      </c>
      <c r="E380" s="14">
        <v>450</v>
      </c>
      <c r="F380" s="15">
        <v>0</v>
      </c>
      <c r="G380" s="15">
        <v>0</v>
      </c>
      <c r="H380" s="15">
        <v>0</v>
      </c>
      <c r="I380" s="15">
        <v>0</v>
      </c>
      <c r="J380" s="15">
        <v>0</v>
      </c>
      <c r="K380" s="15">
        <v>0</v>
      </c>
      <c r="L380" s="15">
        <v>0</v>
      </c>
      <c r="M380" s="15">
        <v>0</v>
      </c>
      <c r="N380" s="15">
        <v>0</v>
      </c>
      <c r="O380" s="15">
        <v>0</v>
      </c>
    </row>
    <row r="381" spans="1:15">
      <c r="A381" s="11" t="s">
        <v>696</v>
      </c>
      <c r="B381" s="12" t="s">
        <v>276</v>
      </c>
      <c r="C381" s="13" t="s">
        <v>317</v>
      </c>
      <c r="D381" s="13">
        <v>33</v>
      </c>
      <c r="E381" s="14">
        <v>450</v>
      </c>
      <c r="F381" s="15">
        <v>0</v>
      </c>
      <c r="G381" s="15">
        <v>0</v>
      </c>
      <c r="H381" s="15">
        <v>0</v>
      </c>
      <c r="I381" s="15">
        <v>0</v>
      </c>
      <c r="J381" s="15">
        <v>0</v>
      </c>
      <c r="K381" s="15">
        <v>0</v>
      </c>
      <c r="L381" s="15">
        <v>0</v>
      </c>
      <c r="M381" s="15">
        <v>0</v>
      </c>
      <c r="N381" s="15">
        <v>0</v>
      </c>
      <c r="O381" s="15">
        <v>0</v>
      </c>
    </row>
    <row r="382" spans="1:15">
      <c r="A382" s="11" t="s">
        <v>697</v>
      </c>
      <c r="B382" s="12" t="s">
        <v>276</v>
      </c>
      <c r="C382" s="13" t="s">
        <v>317</v>
      </c>
      <c r="D382" s="13">
        <v>34</v>
      </c>
      <c r="E382" s="14">
        <v>450</v>
      </c>
      <c r="F382" s="15">
        <v>0</v>
      </c>
      <c r="G382" s="15">
        <v>0</v>
      </c>
      <c r="H382" s="15">
        <v>0</v>
      </c>
      <c r="I382" s="15">
        <v>0</v>
      </c>
      <c r="J382" s="15">
        <v>0</v>
      </c>
      <c r="K382" s="15">
        <v>0</v>
      </c>
      <c r="L382" s="15">
        <v>0</v>
      </c>
      <c r="M382" s="15">
        <v>0</v>
      </c>
      <c r="N382" s="15">
        <v>0</v>
      </c>
      <c r="O382" s="15">
        <v>0</v>
      </c>
    </row>
    <row r="383" spans="1:15">
      <c r="A383" s="11" t="s">
        <v>698</v>
      </c>
      <c r="B383" s="12" t="s">
        <v>276</v>
      </c>
      <c r="C383" s="13" t="s">
        <v>317</v>
      </c>
      <c r="D383" s="13">
        <v>35</v>
      </c>
      <c r="E383" s="14">
        <v>450</v>
      </c>
      <c r="F383" s="15">
        <v>0</v>
      </c>
      <c r="G383" s="15">
        <v>0</v>
      </c>
      <c r="H383" s="15">
        <v>0</v>
      </c>
      <c r="I383" s="15">
        <v>0</v>
      </c>
      <c r="J383" s="15">
        <v>0</v>
      </c>
      <c r="K383" s="15">
        <v>0</v>
      </c>
      <c r="L383" s="15">
        <v>0</v>
      </c>
      <c r="M383" s="15">
        <v>0</v>
      </c>
      <c r="N383" s="15">
        <v>0</v>
      </c>
      <c r="O383" s="15">
        <v>0</v>
      </c>
    </row>
    <row r="384" spans="1:15">
      <c r="A384" s="11" t="s">
        <v>699</v>
      </c>
      <c r="B384" s="12" t="s">
        <v>276</v>
      </c>
      <c r="C384" s="13" t="s">
        <v>317</v>
      </c>
      <c r="D384" s="13">
        <v>36</v>
      </c>
      <c r="E384" s="14">
        <v>450</v>
      </c>
      <c r="F384" s="15">
        <v>0</v>
      </c>
      <c r="G384" s="15">
        <v>0</v>
      </c>
      <c r="H384" s="15">
        <v>0</v>
      </c>
      <c r="I384" s="15">
        <v>0</v>
      </c>
      <c r="J384" s="15">
        <v>0</v>
      </c>
      <c r="K384" s="15">
        <v>0</v>
      </c>
      <c r="L384" s="15">
        <v>0</v>
      </c>
      <c r="M384" s="15">
        <v>0</v>
      </c>
      <c r="N384" s="15">
        <v>0</v>
      </c>
      <c r="O384" s="15">
        <v>0</v>
      </c>
    </row>
    <row r="385" spans="1:15">
      <c r="A385" s="11" t="s">
        <v>700</v>
      </c>
      <c r="B385" s="12" t="s">
        <v>276</v>
      </c>
      <c r="C385" s="13" t="s">
        <v>317</v>
      </c>
      <c r="D385" s="13">
        <v>37</v>
      </c>
      <c r="E385" s="14">
        <v>450</v>
      </c>
      <c r="F385" s="15">
        <v>0</v>
      </c>
      <c r="G385" s="15">
        <v>0</v>
      </c>
      <c r="H385" s="15">
        <v>0</v>
      </c>
      <c r="I385" s="15">
        <v>0</v>
      </c>
      <c r="J385" s="15">
        <v>0</v>
      </c>
      <c r="K385" s="15">
        <v>0</v>
      </c>
      <c r="L385" s="15">
        <v>0</v>
      </c>
      <c r="M385" s="15">
        <v>0</v>
      </c>
      <c r="N385" s="15">
        <v>0</v>
      </c>
      <c r="O385" s="15">
        <v>0</v>
      </c>
    </row>
    <row r="386" spans="1:15">
      <c r="A386" s="11" t="s">
        <v>701</v>
      </c>
      <c r="B386" s="12" t="s">
        <v>276</v>
      </c>
      <c r="C386" s="13" t="s">
        <v>317</v>
      </c>
      <c r="D386" s="13">
        <v>38</v>
      </c>
      <c r="E386" s="14">
        <v>450</v>
      </c>
      <c r="F386" s="15">
        <v>0</v>
      </c>
      <c r="G386" s="15">
        <v>0</v>
      </c>
      <c r="H386" s="15">
        <v>0</v>
      </c>
      <c r="I386" s="15">
        <v>0</v>
      </c>
      <c r="J386" s="15">
        <v>0</v>
      </c>
      <c r="K386" s="15">
        <v>0</v>
      </c>
      <c r="L386" s="15">
        <v>0</v>
      </c>
      <c r="M386" s="15">
        <v>0</v>
      </c>
      <c r="N386" s="15">
        <v>0</v>
      </c>
      <c r="O386" s="15">
        <v>0</v>
      </c>
    </row>
    <row r="387" spans="1:15">
      <c r="A387" s="11" t="s">
        <v>702</v>
      </c>
      <c r="B387" s="12" t="s">
        <v>276</v>
      </c>
      <c r="C387" s="13" t="s">
        <v>317</v>
      </c>
      <c r="D387" s="13">
        <v>39</v>
      </c>
      <c r="E387" s="14">
        <v>450</v>
      </c>
      <c r="F387" s="15">
        <v>0</v>
      </c>
      <c r="G387" s="15">
        <v>0</v>
      </c>
      <c r="H387" s="15">
        <v>0</v>
      </c>
      <c r="I387" s="15">
        <v>0</v>
      </c>
      <c r="J387" s="15">
        <v>0</v>
      </c>
      <c r="K387" s="15">
        <v>0</v>
      </c>
      <c r="L387" s="15">
        <v>0</v>
      </c>
      <c r="M387" s="15">
        <v>0</v>
      </c>
      <c r="N387" s="15">
        <v>0</v>
      </c>
      <c r="O387" s="15">
        <v>0</v>
      </c>
    </row>
    <row r="388" spans="1:15">
      <c r="A388" s="11" t="s">
        <v>703</v>
      </c>
      <c r="B388" s="12" t="s">
        <v>276</v>
      </c>
      <c r="C388" s="13" t="s">
        <v>317</v>
      </c>
      <c r="D388" s="13">
        <v>40</v>
      </c>
      <c r="E388" s="14">
        <v>450</v>
      </c>
      <c r="F388" s="15">
        <v>0</v>
      </c>
      <c r="G388" s="15">
        <v>0</v>
      </c>
      <c r="H388" s="15">
        <v>0</v>
      </c>
      <c r="I388" s="15">
        <v>0</v>
      </c>
      <c r="J388" s="15">
        <v>0</v>
      </c>
      <c r="K388" s="15">
        <v>0</v>
      </c>
      <c r="L388" s="15">
        <v>0</v>
      </c>
      <c r="M388" s="15">
        <v>0</v>
      </c>
      <c r="N388" s="15">
        <v>0</v>
      </c>
      <c r="O388" s="15">
        <v>0</v>
      </c>
    </row>
    <row r="389" spans="1:15">
      <c r="A389" s="11" t="s">
        <v>704</v>
      </c>
      <c r="B389" s="12" t="s">
        <v>276</v>
      </c>
      <c r="C389" s="13" t="s">
        <v>317</v>
      </c>
      <c r="D389" s="13">
        <v>41</v>
      </c>
      <c r="E389" s="14">
        <v>450</v>
      </c>
      <c r="F389" s="15">
        <v>0</v>
      </c>
      <c r="G389" s="15">
        <v>0</v>
      </c>
      <c r="H389" s="15">
        <v>0</v>
      </c>
      <c r="I389" s="15">
        <v>0</v>
      </c>
      <c r="J389" s="15">
        <v>0</v>
      </c>
      <c r="K389" s="15">
        <v>0</v>
      </c>
      <c r="L389" s="15">
        <v>0</v>
      </c>
      <c r="M389" s="15">
        <v>0</v>
      </c>
      <c r="N389" s="15">
        <v>0</v>
      </c>
      <c r="O389" s="15">
        <v>0</v>
      </c>
    </row>
    <row r="390" spans="1:15">
      <c r="A390" s="11" t="s">
        <v>705</v>
      </c>
      <c r="B390" s="12" t="s">
        <v>276</v>
      </c>
      <c r="C390" s="13" t="s">
        <v>317</v>
      </c>
      <c r="D390" s="13">
        <v>42</v>
      </c>
      <c r="E390" s="14">
        <v>450</v>
      </c>
      <c r="F390" s="15">
        <v>0</v>
      </c>
      <c r="G390" s="15">
        <v>0</v>
      </c>
      <c r="H390" s="15">
        <v>0</v>
      </c>
      <c r="I390" s="15">
        <v>0</v>
      </c>
      <c r="J390" s="15">
        <v>0</v>
      </c>
      <c r="K390" s="15">
        <v>0</v>
      </c>
      <c r="L390" s="15">
        <v>0</v>
      </c>
      <c r="M390" s="15">
        <v>0</v>
      </c>
      <c r="N390" s="15">
        <v>0</v>
      </c>
      <c r="O390" s="15">
        <v>0</v>
      </c>
    </row>
    <row r="391" spans="1:15">
      <c r="A391" s="11" t="s">
        <v>706</v>
      </c>
      <c r="B391" s="12" t="s">
        <v>276</v>
      </c>
      <c r="C391" s="13" t="s">
        <v>317</v>
      </c>
      <c r="D391" s="13">
        <v>43</v>
      </c>
      <c r="E391" s="14">
        <v>450</v>
      </c>
      <c r="F391" s="15">
        <v>0</v>
      </c>
      <c r="G391" s="15">
        <v>0</v>
      </c>
      <c r="H391" s="15">
        <v>0</v>
      </c>
      <c r="I391" s="15">
        <v>0</v>
      </c>
      <c r="J391" s="15">
        <v>0</v>
      </c>
      <c r="K391" s="15">
        <v>0</v>
      </c>
      <c r="L391" s="15">
        <v>0</v>
      </c>
      <c r="M391" s="15">
        <v>0</v>
      </c>
      <c r="N391" s="15">
        <v>0</v>
      </c>
      <c r="O391" s="15">
        <v>0</v>
      </c>
    </row>
    <row r="392" spans="1:15">
      <c r="A392" s="11" t="s">
        <v>707</v>
      </c>
      <c r="B392" s="12" t="s">
        <v>276</v>
      </c>
      <c r="C392" s="13" t="s">
        <v>317</v>
      </c>
      <c r="D392" s="13">
        <v>44</v>
      </c>
      <c r="E392" s="14">
        <v>450</v>
      </c>
      <c r="F392" s="15">
        <v>0</v>
      </c>
      <c r="G392" s="15">
        <v>0</v>
      </c>
      <c r="H392" s="15">
        <v>0</v>
      </c>
      <c r="I392" s="15">
        <v>0</v>
      </c>
      <c r="J392" s="15">
        <v>0</v>
      </c>
      <c r="K392" s="15">
        <v>0</v>
      </c>
      <c r="L392" s="15">
        <v>0</v>
      </c>
      <c r="M392" s="15">
        <v>0</v>
      </c>
      <c r="N392" s="15">
        <v>0</v>
      </c>
      <c r="O392" s="15">
        <v>0</v>
      </c>
    </row>
    <row r="393" spans="1:15">
      <c r="A393" s="11" t="s">
        <v>708</v>
      </c>
      <c r="B393" s="12" t="s">
        <v>276</v>
      </c>
      <c r="C393" s="13" t="s">
        <v>317</v>
      </c>
      <c r="D393" s="13">
        <v>45</v>
      </c>
      <c r="E393" s="14">
        <v>450</v>
      </c>
      <c r="F393" s="15">
        <v>0</v>
      </c>
      <c r="G393" s="15">
        <v>0</v>
      </c>
      <c r="H393" s="15">
        <v>0</v>
      </c>
      <c r="I393" s="15">
        <v>0</v>
      </c>
      <c r="J393" s="15">
        <v>0</v>
      </c>
      <c r="K393" s="15">
        <v>0</v>
      </c>
      <c r="L393" s="15">
        <v>0</v>
      </c>
      <c r="M393" s="15">
        <v>0</v>
      </c>
      <c r="N393" s="15">
        <v>0</v>
      </c>
      <c r="O393" s="15">
        <v>0</v>
      </c>
    </row>
    <row r="394" spans="1:15">
      <c r="A394" s="11" t="s">
        <v>709</v>
      </c>
      <c r="B394" s="12" t="s">
        <v>276</v>
      </c>
      <c r="C394" s="13" t="s">
        <v>317</v>
      </c>
      <c r="D394" s="13">
        <v>46</v>
      </c>
      <c r="E394" s="14">
        <v>450</v>
      </c>
      <c r="F394" s="15">
        <v>0</v>
      </c>
      <c r="G394" s="15">
        <v>0</v>
      </c>
      <c r="H394" s="15">
        <v>0</v>
      </c>
      <c r="I394" s="15">
        <v>0</v>
      </c>
      <c r="J394" s="15">
        <v>0</v>
      </c>
      <c r="K394" s="15">
        <v>0</v>
      </c>
      <c r="L394" s="15">
        <v>0</v>
      </c>
      <c r="M394" s="15">
        <v>0</v>
      </c>
      <c r="N394" s="15">
        <v>0</v>
      </c>
      <c r="O394" s="15">
        <v>0</v>
      </c>
    </row>
    <row r="395" spans="1:15">
      <c r="A395" s="11" t="s">
        <v>710</v>
      </c>
      <c r="B395" s="12" t="s">
        <v>276</v>
      </c>
      <c r="C395" s="13" t="s">
        <v>317</v>
      </c>
      <c r="D395" s="13">
        <v>47</v>
      </c>
      <c r="E395" s="14">
        <v>450</v>
      </c>
      <c r="F395" s="15">
        <v>0</v>
      </c>
      <c r="G395" s="15">
        <v>0</v>
      </c>
      <c r="H395" s="15">
        <v>0</v>
      </c>
      <c r="I395" s="15">
        <v>0</v>
      </c>
      <c r="J395" s="15">
        <v>0</v>
      </c>
      <c r="K395" s="15">
        <v>0</v>
      </c>
      <c r="L395" s="15">
        <v>0</v>
      </c>
      <c r="M395" s="15">
        <v>0</v>
      </c>
      <c r="N395" s="15">
        <v>0</v>
      </c>
      <c r="O395" s="15">
        <v>0</v>
      </c>
    </row>
    <row r="396" spans="1:15">
      <c r="A396" s="11" t="s">
        <v>711</v>
      </c>
      <c r="B396" s="12" t="s">
        <v>276</v>
      </c>
      <c r="C396" s="13" t="s">
        <v>317</v>
      </c>
      <c r="D396" s="13">
        <v>48</v>
      </c>
      <c r="E396" s="14">
        <v>450</v>
      </c>
      <c r="F396" s="15">
        <v>0</v>
      </c>
      <c r="G396" s="15">
        <v>0</v>
      </c>
      <c r="H396" s="15">
        <v>0</v>
      </c>
      <c r="I396" s="15">
        <v>0</v>
      </c>
      <c r="J396" s="15">
        <v>0</v>
      </c>
      <c r="K396" s="15">
        <v>0</v>
      </c>
      <c r="L396" s="15">
        <v>0</v>
      </c>
      <c r="M396" s="15">
        <v>0</v>
      </c>
      <c r="N396" s="15">
        <v>0</v>
      </c>
      <c r="O396" s="15">
        <v>0</v>
      </c>
    </row>
    <row r="397" spans="1:15">
      <c r="A397" s="11" t="s">
        <v>712</v>
      </c>
      <c r="B397" s="12" t="s">
        <v>276</v>
      </c>
      <c r="C397" s="13" t="s">
        <v>317</v>
      </c>
      <c r="D397" s="13">
        <v>49</v>
      </c>
      <c r="E397" s="14">
        <v>450</v>
      </c>
      <c r="F397" s="15">
        <v>0</v>
      </c>
      <c r="G397" s="15">
        <v>0</v>
      </c>
      <c r="H397" s="15">
        <v>0</v>
      </c>
      <c r="I397" s="15">
        <v>0</v>
      </c>
      <c r="J397" s="15">
        <v>0</v>
      </c>
      <c r="K397" s="15">
        <v>0</v>
      </c>
      <c r="L397" s="15">
        <v>0</v>
      </c>
      <c r="M397" s="15">
        <v>0</v>
      </c>
      <c r="N397" s="15">
        <v>0</v>
      </c>
      <c r="O397" s="15">
        <v>0</v>
      </c>
    </row>
    <row r="398" spans="1:15">
      <c r="A398" s="11" t="s">
        <v>713</v>
      </c>
      <c r="B398" s="12" t="s">
        <v>276</v>
      </c>
      <c r="C398" s="13" t="s">
        <v>317</v>
      </c>
      <c r="D398" s="13">
        <v>50</v>
      </c>
      <c r="E398" s="14">
        <v>450</v>
      </c>
      <c r="F398" s="15">
        <v>0</v>
      </c>
      <c r="G398" s="15">
        <v>0</v>
      </c>
      <c r="H398" s="15">
        <v>0</v>
      </c>
      <c r="I398" s="15">
        <v>0</v>
      </c>
      <c r="J398" s="15">
        <v>0</v>
      </c>
      <c r="K398" s="15">
        <v>0</v>
      </c>
      <c r="L398" s="15">
        <v>0</v>
      </c>
      <c r="M398" s="15">
        <v>0</v>
      </c>
      <c r="N398" s="15">
        <v>0</v>
      </c>
      <c r="O398" s="15">
        <v>0</v>
      </c>
    </row>
    <row r="399" spans="1:15">
      <c r="A399" s="11" t="s">
        <v>714</v>
      </c>
      <c r="B399" s="12" t="s">
        <v>276</v>
      </c>
      <c r="C399" s="13" t="s">
        <v>317</v>
      </c>
      <c r="D399" s="13">
        <v>51</v>
      </c>
      <c r="E399" s="14">
        <v>450</v>
      </c>
      <c r="F399" s="15">
        <v>0</v>
      </c>
      <c r="G399" s="15">
        <v>0</v>
      </c>
      <c r="H399" s="15">
        <v>0</v>
      </c>
      <c r="I399" s="15">
        <v>0</v>
      </c>
      <c r="J399" s="15">
        <v>0</v>
      </c>
      <c r="K399" s="15">
        <v>0</v>
      </c>
      <c r="L399" s="15">
        <v>0</v>
      </c>
      <c r="M399" s="15">
        <v>0</v>
      </c>
      <c r="N399" s="15">
        <v>0</v>
      </c>
      <c r="O399" s="15">
        <v>0</v>
      </c>
    </row>
    <row r="400" spans="1:15">
      <c r="A400" s="11" t="s">
        <v>715</v>
      </c>
      <c r="B400" s="12" t="s">
        <v>276</v>
      </c>
      <c r="C400" s="13" t="s">
        <v>317</v>
      </c>
      <c r="D400" s="13">
        <v>52</v>
      </c>
      <c r="E400" s="14">
        <v>450</v>
      </c>
      <c r="F400" s="15">
        <v>0</v>
      </c>
      <c r="G400" s="15">
        <v>0</v>
      </c>
      <c r="H400" s="15">
        <v>0</v>
      </c>
      <c r="I400" s="15">
        <v>0</v>
      </c>
      <c r="J400" s="15">
        <v>0</v>
      </c>
      <c r="K400" s="15">
        <v>0</v>
      </c>
      <c r="L400" s="15">
        <v>0</v>
      </c>
      <c r="M400" s="15">
        <v>0</v>
      </c>
      <c r="N400" s="15">
        <v>0</v>
      </c>
      <c r="O400" s="15">
        <v>0</v>
      </c>
    </row>
    <row r="401" spans="1:15">
      <c r="A401" s="11" t="s">
        <v>716</v>
      </c>
      <c r="B401" s="12" t="s">
        <v>276</v>
      </c>
      <c r="C401" s="13" t="s">
        <v>317</v>
      </c>
      <c r="D401" s="13">
        <v>53</v>
      </c>
      <c r="E401" s="14">
        <v>450</v>
      </c>
      <c r="F401" s="15">
        <v>0</v>
      </c>
      <c r="G401" s="15">
        <v>0</v>
      </c>
      <c r="H401" s="15">
        <v>0</v>
      </c>
      <c r="I401" s="15">
        <v>0</v>
      </c>
      <c r="J401" s="15">
        <v>0</v>
      </c>
      <c r="K401" s="15">
        <v>0</v>
      </c>
      <c r="L401" s="15">
        <v>0</v>
      </c>
      <c r="M401" s="15">
        <v>0</v>
      </c>
      <c r="N401" s="15">
        <v>0</v>
      </c>
      <c r="O401" s="15">
        <v>0</v>
      </c>
    </row>
    <row r="402" spans="1:15">
      <c r="A402" s="11" t="s">
        <v>717</v>
      </c>
      <c r="B402" s="12" t="s">
        <v>276</v>
      </c>
      <c r="C402" s="13" t="s">
        <v>317</v>
      </c>
      <c r="D402" s="13">
        <v>54</v>
      </c>
      <c r="E402" s="14">
        <v>450</v>
      </c>
      <c r="F402" s="15">
        <v>0</v>
      </c>
      <c r="G402" s="15">
        <v>0</v>
      </c>
      <c r="H402" s="15">
        <v>0</v>
      </c>
      <c r="I402" s="15">
        <v>0</v>
      </c>
      <c r="J402" s="15">
        <v>0</v>
      </c>
      <c r="K402" s="15">
        <v>0</v>
      </c>
      <c r="L402" s="15">
        <v>0</v>
      </c>
      <c r="M402" s="15">
        <v>0</v>
      </c>
      <c r="N402" s="15">
        <v>0</v>
      </c>
      <c r="O402" s="15">
        <v>0</v>
      </c>
    </row>
    <row r="403" spans="1:15">
      <c r="A403" s="11" t="s">
        <v>718</v>
      </c>
      <c r="B403" s="12" t="s">
        <v>276</v>
      </c>
      <c r="C403" s="13" t="s">
        <v>317</v>
      </c>
      <c r="D403" s="13">
        <v>55</v>
      </c>
      <c r="E403" s="14">
        <v>450</v>
      </c>
      <c r="F403" s="15">
        <v>0</v>
      </c>
      <c r="G403" s="15">
        <v>0</v>
      </c>
      <c r="H403" s="15">
        <v>0</v>
      </c>
      <c r="I403" s="15">
        <v>0</v>
      </c>
      <c r="J403" s="15">
        <v>0</v>
      </c>
      <c r="K403" s="15">
        <v>0</v>
      </c>
      <c r="L403" s="15">
        <v>0</v>
      </c>
      <c r="M403" s="15">
        <v>0</v>
      </c>
      <c r="N403" s="15">
        <v>0</v>
      </c>
      <c r="O403" s="15">
        <v>0</v>
      </c>
    </row>
    <row r="404" spans="1:15">
      <c r="A404" s="11" t="s">
        <v>719</v>
      </c>
      <c r="B404" s="12" t="s">
        <v>276</v>
      </c>
      <c r="C404" s="13" t="s">
        <v>317</v>
      </c>
      <c r="D404" s="13">
        <v>56</v>
      </c>
      <c r="E404" s="14">
        <v>450</v>
      </c>
      <c r="F404" s="15">
        <v>0</v>
      </c>
      <c r="G404" s="15">
        <v>0</v>
      </c>
      <c r="H404" s="15">
        <v>0</v>
      </c>
      <c r="I404" s="15">
        <v>0</v>
      </c>
      <c r="J404" s="15">
        <v>0</v>
      </c>
      <c r="K404" s="15">
        <v>0</v>
      </c>
      <c r="L404" s="15">
        <v>0</v>
      </c>
      <c r="M404" s="15">
        <v>0</v>
      </c>
      <c r="N404" s="15">
        <v>0</v>
      </c>
      <c r="O404" s="15">
        <v>0</v>
      </c>
    </row>
    <row r="405" spans="1:15">
      <c r="A405" s="11" t="s">
        <v>720</v>
      </c>
      <c r="B405" s="12" t="s">
        <v>276</v>
      </c>
      <c r="C405" s="13" t="s">
        <v>317</v>
      </c>
      <c r="D405" s="13">
        <v>57</v>
      </c>
      <c r="E405" s="14">
        <v>450</v>
      </c>
      <c r="F405" s="15">
        <v>0</v>
      </c>
      <c r="G405" s="15">
        <v>0</v>
      </c>
      <c r="H405" s="15">
        <v>0</v>
      </c>
      <c r="I405" s="15">
        <v>0</v>
      </c>
      <c r="J405" s="15">
        <v>0</v>
      </c>
      <c r="K405" s="15">
        <v>0</v>
      </c>
      <c r="L405" s="15">
        <v>0</v>
      </c>
      <c r="M405" s="15">
        <v>0</v>
      </c>
      <c r="N405" s="15">
        <v>0</v>
      </c>
      <c r="O405" s="15">
        <v>0</v>
      </c>
    </row>
    <row r="406" spans="1:15">
      <c r="A406" s="11" t="s">
        <v>721</v>
      </c>
      <c r="B406" s="12" t="s">
        <v>276</v>
      </c>
      <c r="C406" s="13" t="s">
        <v>317</v>
      </c>
      <c r="D406" s="13">
        <v>58</v>
      </c>
      <c r="E406" s="14">
        <v>450</v>
      </c>
      <c r="F406" s="15">
        <v>0</v>
      </c>
      <c r="G406" s="15">
        <v>0</v>
      </c>
      <c r="H406" s="15">
        <v>0</v>
      </c>
      <c r="I406" s="15">
        <v>0</v>
      </c>
      <c r="J406" s="15">
        <v>0</v>
      </c>
      <c r="K406" s="15">
        <v>0</v>
      </c>
      <c r="L406" s="15">
        <v>0</v>
      </c>
      <c r="M406" s="15">
        <v>0</v>
      </c>
      <c r="N406" s="15">
        <v>0</v>
      </c>
      <c r="O406" s="15">
        <v>0</v>
      </c>
    </row>
    <row r="407" spans="1:15">
      <c r="A407" s="11" t="s">
        <v>722</v>
      </c>
      <c r="B407" s="12" t="s">
        <v>276</v>
      </c>
      <c r="C407" s="13" t="s">
        <v>317</v>
      </c>
      <c r="D407" s="13">
        <v>59</v>
      </c>
      <c r="E407" s="14">
        <v>450</v>
      </c>
      <c r="F407" s="15">
        <v>0</v>
      </c>
      <c r="G407" s="15">
        <v>0</v>
      </c>
      <c r="H407" s="15">
        <v>0</v>
      </c>
      <c r="I407" s="15">
        <v>0</v>
      </c>
      <c r="J407" s="15">
        <v>0</v>
      </c>
      <c r="K407" s="15">
        <v>0</v>
      </c>
      <c r="L407" s="15">
        <v>0</v>
      </c>
      <c r="M407" s="15">
        <v>0</v>
      </c>
      <c r="N407" s="15">
        <v>0</v>
      </c>
      <c r="O407" s="15">
        <v>0</v>
      </c>
    </row>
    <row r="408" spans="1:15">
      <c r="A408" s="11" t="s">
        <v>723</v>
      </c>
      <c r="B408" s="12" t="s">
        <v>276</v>
      </c>
      <c r="C408" s="13" t="s">
        <v>317</v>
      </c>
      <c r="D408" s="13">
        <v>60</v>
      </c>
      <c r="E408" s="14">
        <v>450</v>
      </c>
      <c r="F408" s="15">
        <v>0</v>
      </c>
      <c r="G408" s="15">
        <v>0</v>
      </c>
      <c r="H408" s="15">
        <v>0</v>
      </c>
      <c r="I408" s="15">
        <v>0</v>
      </c>
      <c r="J408" s="15">
        <v>0</v>
      </c>
      <c r="K408" s="15">
        <v>0</v>
      </c>
      <c r="L408" s="15">
        <v>0</v>
      </c>
      <c r="M408" s="15">
        <v>0</v>
      </c>
      <c r="N408" s="15">
        <v>0</v>
      </c>
      <c r="O408" s="15">
        <v>0</v>
      </c>
    </row>
    <row r="409" spans="1:15">
      <c r="A409" s="11" t="s">
        <v>724</v>
      </c>
      <c r="B409" s="12" t="s">
        <v>276</v>
      </c>
      <c r="C409" s="13" t="s">
        <v>317</v>
      </c>
      <c r="D409" s="13">
        <v>61</v>
      </c>
      <c r="E409" s="14">
        <v>450</v>
      </c>
      <c r="F409" s="15">
        <v>0</v>
      </c>
      <c r="G409" s="15">
        <v>0</v>
      </c>
      <c r="H409" s="15">
        <v>0</v>
      </c>
      <c r="I409" s="15">
        <v>0</v>
      </c>
      <c r="J409" s="15">
        <v>0</v>
      </c>
      <c r="K409" s="15">
        <v>0</v>
      </c>
      <c r="L409" s="15">
        <v>0</v>
      </c>
      <c r="M409" s="15">
        <v>0</v>
      </c>
      <c r="N409" s="15">
        <v>0</v>
      </c>
      <c r="O409" s="15">
        <v>0</v>
      </c>
    </row>
    <row r="410" spans="1:15">
      <c r="A410" s="11" t="s">
        <v>725</v>
      </c>
      <c r="B410" s="12" t="s">
        <v>276</v>
      </c>
      <c r="C410" s="13" t="s">
        <v>317</v>
      </c>
      <c r="D410" s="13">
        <v>62</v>
      </c>
      <c r="E410" s="14">
        <v>450</v>
      </c>
      <c r="F410" s="15">
        <v>0</v>
      </c>
      <c r="G410" s="15">
        <v>0</v>
      </c>
      <c r="H410" s="15">
        <v>0</v>
      </c>
      <c r="I410" s="15">
        <v>0</v>
      </c>
      <c r="J410" s="15">
        <v>0</v>
      </c>
      <c r="K410" s="15">
        <v>0</v>
      </c>
      <c r="L410" s="15">
        <v>0</v>
      </c>
      <c r="M410" s="15">
        <v>0</v>
      </c>
      <c r="N410" s="15">
        <v>0</v>
      </c>
      <c r="O410" s="15">
        <v>0</v>
      </c>
    </row>
    <row r="411" spans="1:15">
      <c r="A411" s="11" t="s">
        <v>726</v>
      </c>
      <c r="B411" s="12" t="s">
        <v>276</v>
      </c>
      <c r="C411" s="13" t="s">
        <v>317</v>
      </c>
      <c r="D411" s="13">
        <v>63</v>
      </c>
      <c r="E411" s="14">
        <v>450</v>
      </c>
      <c r="F411" s="15">
        <v>0</v>
      </c>
      <c r="G411" s="15">
        <v>0</v>
      </c>
      <c r="H411" s="15">
        <v>0</v>
      </c>
      <c r="I411" s="15">
        <v>0</v>
      </c>
      <c r="J411" s="15">
        <v>0</v>
      </c>
      <c r="K411" s="15">
        <v>0</v>
      </c>
      <c r="L411" s="15">
        <v>0</v>
      </c>
      <c r="M411" s="15">
        <v>0</v>
      </c>
      <c r="N411" s="15">
        <v>0</v>
      </c>
      <c r="O411" s="15">
        <v>0</v>
      </c>
    </row>
    <row r="412" spans="1:15">
      <c r="A412" s="11" t="s">
        <v>727</v>
      </c>
      <c r="B412" s="12" t="s">
        <v>276</v>
      </c>
      <c r="C412" s="13" t="s">
        <v>317</v>
      </c>
      <c r="D412" s="13">
        <v>64</v>
      </c>
      <c r="E412" s="14">
        <v>450</v>
      </c>
      <c r="F412" s="15">
        <v>0</v>
      </c>
      <c r="G412" s="15">
        <v>0</v>
      </c>
      <c r="H412" s="15">
        <v>0</v>
      </c>
      <c r="I412" s="15">
        <v>0</v>
      </c>
      <c r="J412" s="15">
        <v>0</v>
      </c>
      <c r="K412" s="15">
        <v>0</v>
      </c>
      <c r="L412" s="15">
        <v>0</v>
      </c>
      <c r="M412" s="15">
        <v>0</v>
      </c>
      <c r="N412" s="15">
        <v>0</v>
      </c>
      <c r="O412" s="15">
        <v>0</v>
      </c>
    </row>
    <row r="413" spans="1:15">
      <c r="A413" s="11" t="s">
        <v>728</v>
      </c>
      <c r="B413" s="12" t="s">
        <v>276</v>
      </c>
      <c r="C413" s="13" t="s">
        <v>317</v>
      </c>
      <c r="D413" s="13">
        <v>65</v>
      </c>
      <c r="E413" s="14">
        <v>450</v>
      </c>
      <c r="F413" s="15">
        <v>0</v>
      </c>
      <c r="G413" s="15">
        <v>0</v>
      </c>
      <c r="H413" s="15">
        <v>0</v>
      </c>
      <c r="I413" s="15">
        <v>0</v>
      </c>
      <c r="J413" s="15">
        <v>0</v>
      </c>
      <c r="K413" s="15">
        <v>0</v>
      </c>
      <c r="L413" s="15">
        <v>0</v>
      </c>
      <c r="M413" s="15">
        <v>0</v>
      </c>
      <c r="N413" s="15">
        <v>0</v>
      </c>
      <c r="O413" s="15">
        <v>0</v>
      </c>
    </row>
    <row r="414" spans="1:15">
      <c r="A414" s="11" t="s">
        <v>729</v>
      </c>
      <c r="B414" s="12" t="s">
        <v>276</v>
      </c>
      <c r="C414" s="13" t="s">
        <v>317</v>
      </c>
      <c r="D414" s="13">
        <v>66</v>
      </c>
      <c r="E414" s="14">
        <v>450</v>
      </c>
      <c r="F414" s="15">
        <v>0</v>
      </c>
      <c r="G414" s="15">
        <v>0</v>
      </c>
      <c r="H414" s="15">
        <v>0</v>
      </c>
      <c r="I414" s="15">
        <v>0</v>
      </c>
      <c r="J414" s="15">
        <v>0</v>
      </c>
      <c r="K414" s="15">
        <v>0</v>
      </c>
      <c r="L414" s="15">
        <v>0</v>
      </c>
      <c r="M414" s="15">
        <v>0</v>
      </c>
      <c r="N414" s="15">
        <v>0</v>
      </c>
      <c r="O414" s="15">
        <v>0</v>
      </c>
    </row>
    <row r="415" spans="1:15">
      <c r="A415" s="11" t="s">
        <v>730</v>
      </c>
      <c r="B415" s="12" t="s">
        <v>276</v>
      </c>
      <c r="C415" s="13" t="s">
        <v>317</v>
      </c>
      <c r="D415" s="13">
        <v>67</v>
      </c>
      <c r="E415" s="14">
        <v>450</v>
      </c>
      <c r="F415" s="15">
        <v>0</v>
      </c>
      <c r="G415" s="15">
        <v>0</v>
      </c>
      <c r="H415" s="15">
        <v>0</v>
      </c>
      <c r="I415" s="15">
        <v>0</v>
      </c>
      <c r="J415" s="15">
        <v>0</v>
      </c>
      <c r="K415" s="15">
        <v>0</v>
      </c>
      <c r="L415" s="15">
        <v>0</v>
      </c>
      <c r="M415" s="15">
        <v>0</v>
      </c>
      <c r="N415" s="15">
        <v>0</v>
      </c>
      <c r="O415" s="15">
        <v>0</v>
      </c>
    </row>
    <row r="416" spans="1:15">
      <c r="A416" s="11" t="s">
        <v>731</v>
      </c>
      <c r="B416" s="12" t="s">
        <v>276</v>
      </c>
      <c r="C416" s="13" t="s">
        <v>317</v>
      </c>
      <c r="D416" s="13">
        <v>68</v>
      </c>
      <c r="E416" s="14">
        <v>450</v>
      </c>
      <c r="F416" s="15">
        <v>0</v>
      </c>
      <c r="G416" s="15">
        <v>0</v>
      </c>
      <c r="H416" s="15">
        <v>0</v>
      </c>
      <c r="I416" s="15">
        <v>0</v>
      </c>
      <c r="J416" s="15">
        <v>0</v>
      </c>
      <c r="K416" s="15">
        <v>0</v>
      </c>
      <c r="L416" s="15">
        <v>0</v>
      </c>
      <c r="M416" s="15">
        <v>0</v>
      </c>
      <c r="N416" s="15">
        <v>0</v>
      </c>
      <c r="O416" s="15">
        <v>0</v>
      </c>
    </row>
    <row r="417" spans="1:15">
      <c r="A417" s="11" t="s">
        <v>732</v>
      </c>
      <c r="B417" s="12" t="s">
        <v>276</v>
      </c>
      <c r="C417" s="13" t="s">
        <v>317</v>
      </c>
      <c r="D417" s="13">
        <v>69</v>
      </c>
      <c r="E417" s="14">
        <v>450</v>
      </c>
      <c r="F417" s="15">
        <v>0</v>
      </c>
      <c r="G417" s="15">
        <v>0</v>
      </c>
      <c r="H417" s="15">
        <v>0</v>
      </c>
      <c r="I417" s="15">
        <v>0</v>
      </c>
      <c r="J417" s="15">
        <v>0</v>
      </c>
      <c r="K417" s="15">
        <v>0</v>
      </c>
      <c r="L417" s="15">
        <v>0</v>
      </c>
      <c r="M417" s="15">
        <v>0</v>
      </c>
      <c r="N417" s="15">
        <v>0</v>
      </c>
      <c r="O417" s="15">
        <v>0</v>
      </c>
    </row>
    <row r="418" spans="1:15">
      <c r="A418" s="11" t="s">
        <v>733</v>
      </c>
      <c r="B418" s="12" t="s">
        <v>276</v>
      </c>
      <c r="C418" s="13" t="s">
        <v>317</v>
      </c>
      <c r="D418" s="13">
        <v>70</v>
      </c>
      <c r="E418" s="14">
        <v>450</v>
      </c>
      <c r="F418" s="15">
        <v>0</v>
      </c>
      <c r="G418" s="15">
        <v>0</v>
      </c>
      <c r="H418" s="15">
        <v>0</v>
      </c>
      <c r="I418" s="15">
        <v>0</v>
      </c>
      <c r="J418" s="15">
        <v>0</v>
      </c>
      <c r="K418" s="15">
        <v>0</v>
      </c>
      <c r="L418" s="15">
        <v>0</v>
      </c>
      <c r="M418" s="15">
        <v>0</v>
      </c>
      <c r="N418" s="15">
        <v>0</v>
      </c>
      <c r="O418" s="15">
        <v>0</v>
      </c>
    </row>
    <row r="419" spans="1:15">
      <c r="A419" s="11" t="s">
        <v>734</v>
      </c>
      <c r="B419" s="12" t="s">
        <v>276</v>
      </c>
      <c r="C419" s="13" t="s">
        <v>317</v>
      </c>
      <c r="D419" s="13">
        <v>71</v>
      </c>
      <c r="E419" s="14">
        <v>450</v>
      </c>
      <c r="F419" s="15">
        <v>0</v>
      </c>
      <c r="G419" s="15">
        <v>0</v>
      </c>
      <c r="H419" s="15">
        <v>0</v>
      </c>
      <c r="I419" s="15">
        <v>0</v>
      </c>
      <c r="J419" s="15">
        <v>0</v>
      </c>
      <c r="K419" s="15">
        <v>0</v>
      </c>
      <c r="L419" s="15">
        <v>0</v>
      </c>
      <c r="M419" s="15">
        <v>0</v>
      </c>
      <c r="N419" s="15">
        <v>0</v>
      </c>
      <c r="O419" s="15">
        <v>0</v>
      </c>
    </row>
    <row r="420" spans="1:15">
      <c r="A420" s="11" t="s">
        <v>735</v>
      </c>
      <c r="B420" s="12" t="s">
        <v>276</v>
      </c>
      <c r="C420" s="13" t="s">
        <v>317</v>
      </c>
      <c r="D420" s="13">
        <v>72</v>
      </c>
      <c r="E420" s="14">
        <v>450</v>
      </c>
      <c r="F420" s="15">
        <v>0</v>
      </c>
      <c r="G420" s="15">
        <v>0</v>
      </c>
      <c r="H420" s="15">
        <v>0</v>
      </c>
      <c r="I420" s="15">
        <v>0</v>
      </c>
      <c r="J420" s="15">
        <v>0</v>
      </c>
      <c r="K420" s="15">
        <v>0</v>
      </c>
      <c r="L420" s="15">
        <v>0</v>
      </c>
      <c r="M420" s="15">
        <v>0</v>
      </c>
      <c r="N420" s="15">
        <v>0</v>
      </c>
      <c r="O420" s="15">
        <v>0</v>
      </c>
    </row>
    <row r="421" spans="1:15">
      <c r="A421" s="11" t="s">
        <v>736</v>
      </c>
      <c r="B421" s="12" t="s">
        <v>276</v>
      </c>
      <c r="C421" s="13" t="s">
        <v>317</v>
      </c>
      <c r="D421" s="13">
        <v>73</v>
      </c>
      <c r="E421" s="14">
        <v>450</v>
      </c>
      <c r="F421" s="15">
        <v>0</v>
      </c>
      <c r="G421" s="15">
        <v>0</v>
      </c>
      <c r="H421" s="15">
        <v>0</v>
      </c>
      <c r="I421" s="15">
        <v>0</v>
      </c>
      <c r="J421" s="15">
        <v>0</v>
      </c>
      <c r="K421" s="15">
        <v>0</v>
      </c>
      <c r="L421" s="15">
        <v>0</v>
      </c>
      <c r="M421" s="15">
        <v>0</v>
      </c>
      <c r="N421" s="15">
        <v>0</v>
      </c>
      <c r="O421" s="15">
        <v>0</v>
      </c>
    </row>
    <row r="422" spans="1:15">
      <c r="A422" s="11" t="s">
        <v>737</v>
      </c>
      <c r="B422" s="12" t="s">
        <v>276</v>
      </c>
      <c r="C422" s="13" t="s">
        <v>317</v>
      </c>
      <c r="D422" s="13">
        <v>74</v>
      </c>
      <c r="E422" s="14">
        <v>450</v>
      </c>
      <c r="F422" s="15">
        <v>0</v>
      </c>
      <c r="G422" s="15">
        <v>0</v>
      </c>
      <c r="H422" s="15">
        <v>0</v>
      </c>
      <c r="I422" s="15">
        <v>0</v>
      </c>
      <c r="J422" s="15">
        <v>0</v>
      </c>
      <c r="K422" s="15">
        <v>0</v>
      </c>
      <c r="L422" s="15">
        <v>0</v>
      </c>
      <c r="M422" s="15">
        <v>0</v>
      </c>
      <c r="N422" s="15">
        <v>0</v>
      </c>
      <c r="O422" s="15">
        <v>0</v>
      </c>
    </row>
    <row r="423" spans="1:15">
      <c r="A423" s="11" t="s">
        <v>738</v>
      </c>
      <c r="B423" s="12" t="s">
        <v>276</v>
      </c>
      <c r="C423" s="13" t="s">
        <v>317</v>
      </c>
      <c r="D423" s="13">
        <v>75</v>
      </c>
      <c r="E423" s="14">
        <v>450</v>
      </c>
      <c r="F423" s="15">
        <v>0</v>
      </c>
      <c r="G423" s="15">
        <v>0</v>
      </c>
      <c r="H423" s="15">
        <v>0</v>
      </c>
      <c r="I423" s="15">
        <v>0</v>
      </c>
      <c r="J423" s="15">
        <v>0</v>
      </c>
      <c r="K423" s="15">
        <v>0</v>
      </c>
      <c r="L423" s="15">
        <v>0</v>
      </c>
      <c r="M423" s="15">
        <v>0</v>
      </c>
      <c r="N423" s="15">
        <v>0</v>
      </c>
      <c r="O423" s="15">
        <v>0</v>
      </c>
    </row>
    <row r="424" spans="1:15">
      <c r="A424" s="11" t="s">
        <v>739</v>
      </c>
      <c r="B424" s="12" t="s">
        <v>276</v>
      </c>
      <c r="C424" s="13" t="s">
        <v>317</v>
      </c>
      <c r="D424" s="13">
        <v>76</v>
      </c>
      <c r="E424" s="14">
        <v>450</v>
      </c>
      <c r="F424" s="15">
        <v>0</v>
      </c>
      <c r="G424" s="15">
        <v>0</v>
      </c>
      <c r="H424" s="15">
        <v>0</v>
      </c>
      <c r="I424" s="15">
        <v>0</v>
      </c>
      <c r="J424" s="15">
        <v>0</v>
      </c>
      <c r="K424" s="15">
        <v>0</v>
      </c>
      <c r="L424" s="15">
        <v>0</v>
      </c>
      <c r="M424" s="15">
        <v>0</v>
      </c>
      <c r="N424" s="15">
        <v>0</v>
      </c>
      <c r="O424" s="15">
        <v>0</v>
      </c>
    </row>
    <row r="425" spans="1:15">
      <c r="A425" s="11" t="s">
        <v>740</v>
      </c>
      <c r="B425" s="12" t="s">
        <v>276</v>
      </c>
      <c r="C425" s="13" t="s">
        <v>317</v>
      </c>
      <c r="D425" s="13">
        <v>77</v>
      </c>
      <c r="E425" s="14">
        <v>450</v>
      </c>
      <c r="F425" s="15">
        <v>0</v>
      </c>
      <c r="G425" s="15">
        <v>0</v>
      </c>
      <c r="H425" s="15">
        <v>0</v>
      </c>
      <c r="I425" s="15">
        <v>0</v>
      </c>
      <c r="J425" s="15">
        <v>0</v>
      </c>
      <c r="K425" s="15">
        <v>0</v>
      </c>
      <c r="L425" s="15">
        <v>0</v>
      </c>
      <c r="M425" s="15">
        <v>0</v>
      </c>
      <c r="N425" s="15">
        <v>0</v>
      </c>
      <c r="O425" s="15">
        <v>0</v>
      </c>
    </row>
    <row r="426" spans="1:15">
      <c r="A426" s="11" t="s">
        <v>741</v>
      </c>
      <c r="B426" s="12" t="s">
        <v>276</v>
      </c>
      <c r="C426" s="13" t="s">
        <v>317</v>
      </c>
      <c r="D426" s="13">
        <v>78</v>
      </c>
      <c r="E426" s="14">
        <v>450</v>
      </c>
      <c r="F426" s="15">
        <v>0</v>
      </c>
      <c r="G426" s="15">
        <v>0</v>
      </c>
      <c r="H426" s="15">
        <v>0</v>
      </c>
      <c r="I426" s="15">
        <v>0</v>
      </c>
      <c r="J426" s="15">
        <v>0</v>
      </c>
      <c r="K426" s="15">
        <v>0</v>
      </c>
      <c r="L426" s="15">
        <v>0</v>
      </c>
      <c r="M426" s="15">
        <v>0</v>
      </c>
      <c r="N426" s="15">
        <v>0</v>
      </c>
      <c r="O426" s="15">
        <v>0</v>
      </c>
    </row>
    <row r="427" spans="1:15">
      <c r="A427" s="11" t="s">
        <v>742</v>
      </c>
      <c r="B427" s="12" t="s">
        <v>276</v>
      </c>
      <c r="C427" s="13" t="s">
        <v>317</v>
      </c>
      <c r="D427" s="13">
        <v>79</v>
      </c>
      <c r="E427" s="14">
        <v>450</v>
      </c>
      <c r="F427" s="15">
        <v>0</v>
      </c>
      <c r="G427" s="15">
        <v>0</v>
      </c>
      <c r="H427" s="15">
        <v>0</v>
      </c>
      <c r="I427" s="15">
        <v>0</v>
      </c>
      <c r="J427" s="15">
        <v>0</v>
      </c>
      <c r="K427" s="15">
        <v>0</v>
      </c>
      <c r="L427" s="15">
        <v>0</v>
      </c>
      <c r="M427" s="15">
        <v>0</v>
      </c>
      <c r="N427" s="15">
        <v>0</v>
      </c>
      <c r="O427" s="15">
        <v>0</v>
      </c>
    </row>
    <row r="428" spans="1:15">
      <c r="A428" s="11" t="s">
        <v>743</v>
      </c>
      <c r="B428" s="12" t="s">
        <v>276</v>
      </c>
      <c r="C428" s="13" t="s">
        <v>317</v>
      </c>
      <c r="D428" s="13">
        <v>80</v>
      </c>
      <c r="E428" s="14">
        <v>450</v>
      </c>
      <c r="F428" s="15">
        <v>0</v>
      </c>
      <c r="G428" s="15">
        <v>0</v>
      </c>
      <c r="H428" s="15">
        <v>0</v>
      </c>
      <c r="I428" s="15">
        <v>0</v>
      </c>
      <c r="J428" s="15">
        <v>0</v>
      </c>
      <c r="K428" s="15">
        <v>0</v>
      </c>
      <c r="L428" s="15">
        <v>0</v>
      </c>
      <c r="M428" s="15">
        <v>0</v>
      </c>
      <c r="N428" s="15">
        <v>0</v>
      </c>
      <c r="O428" s="15">
        <v>0</v>
      </c>
    </row>
    <row r="429" spans="1:15">
      <c r="A429" s="11" t="s">
        <v>744</v>
      </c>
      <c r="B429" s="12" t="s">
        <v>276</v>
      </c>
      <c r="C429" s="13" t="s">
        <v>317</v>
      </c>
      <c r="D429" s="13">
        <v>81</v>
      </c>
      <c r="E429" s="14">
        <v>450</v>
      </c>
      <c r="F429" s="15">
        <v>0</v>
      </c>
      <c r="G429" s="15">
        <v>0</v>
      </c>
      <c r="H429" s="15">
        <v>0</v>
      </c>
      <c r="I429" s="15">
        <v>0</v>
      </c>
      <c r="J429" s="15">
        <v>0</v>
      </c>
      <c r="K429" s="15">
        <v>0</v>
      </c>
      <c r="L429" s="15">
        <v>0</v>
      </c>
      <c r="M429" s="15">
        <v>0</v>
      </c>
      <c r="N429" s="15">
        <v>0</v>
      </c>
      <c r="O429" s="15">
        <v>0</v>
      </c>
    </row>
    <row r="430" spans="1:15">
      <c r="A430" s="11" t="s">
        <v>745</v>
      </c>
      <c r="B430" s="12" t="s">
        <v>276</v>
      </c>
      <c r="C430" s="13" t="s">
        <v>317</v>
      </c>
      <c r="D430" s="13">
        <v>82</v>
      </c>
      <c r="E430" s="14">
        <v>450</v>
      </c>
      <c r="F430" s="15">
        <v>0</v>
      </c>
      <c r="G430" s="15">
        <v>0</v>
      </c>
      <c r="H430" s="15">
        <v>0</v>
      </c>
      <c r="I430" s="15">
        <v>0</v>
      </c>
      <c r="J430" s="15">
        <v>0</v>
      </c>
      <c r="K430" s="15">
        <v>0</v>
      </c>
      <c r="L430" s="15">
        <v>0</v>
      </c>
      <c r="M430" s="15">
        <v>0</v>
      </c>
      <c r="N430" s="15">
        <v>0</v>
      </c>
      <c r="O430" s="15">
        <v>0</v>
      </c>
    </row>
    <row r="431" spans="1:15">
      <c r="A431" s="11" t="s">
        <v>746</v>
      </c>
      <c r="B431" s="12" t="s">
        <v>276</v>
      </c>
      <c r="C431" s="13" t="s">
        <v>317</v>
      </c>
      <c r="D431" s="13">
        <v>83</v>
      </c>
      <c r="E431" s="14">
        <v>450</v>
      </c>
      <c r="F431" s="15">
        <v>0</v>
      </c>
      <c r="G431" s="15">
        <v>0</v>
      </c>
      <c r="H431" s="15">
        <v>0</v>
      </c>
      <c r="I431" s="15">
        <v>0</v>
      </c>
      <c r="J431" s="15">
        <v>0</v>
      </c>
      <c r="K431" s="15">
        <v>0</v>
      </c>
      <c r="L431" s="15">
        <v>0</v>
      </c>
      <c r="M431" s="15">
        <v>0</v>
      </c>
      <c r="N431" s="15">
        <v>0</v>
      </c>
      <c r="O431" s="15">
        <v>0</v>
      </c>
    </row>
    <row r="432" spans="1:15">
      <c r="A432" s="11" t="s">
        <v>747</v>
      </c>
      <c r="B432" s="12" t="s">
        <v>276</v>
      </c>
      <c r="C432" s="13" t="s">
        <v>317</v>
      </c>
      <c r="D432" s="13">
        <v>84</v>
      </c>
      <c r="E432" s="14">
        <v>450</v>
      </c>
      <c r="F432" s="15">
        <v>0</v>
      </c>
      <c r="G432" s="15">
        <v>0</v>
      </c>
      <c r="H432" s="15">
        <v>0</v>
      </c>
      <c r="I432" s="15">
        <v>0</v>
      </c>
      <c r="J432" s="15">
        <v>0</v>
      </c>
      <c r="K432" s="15">
        <v>0</v>
      </c>
      <c r="L432" s="15">
        <v>0</v>
      </c>
      <c r="M432" s="15">
        <v>0</v>
      </c>
      <c r="N432" s="15">
        <v>0</v>
      </c>
      <c r="O432" s="15">
        <v>0</v>
      </c>
    </row>
    <row r="433" spans="1:15">
      <c r="A433" s="11" t="s">
        <v>748</v>
      </c>
      <c r="B433" s="12" t="s">
        <v>276</v>
      </c>
      <c r="C433" s="13" t="s">
        <v>317</v>
      </c>
      <c r="D433" s="13">
        <v>85</v>
      </c>
      <c r="E433" s="14">
        <v>450</v>
      </c>
      <c r="F433" s="15">
        <v>0</v>
      </c>
      <c r="G433" s="15">
        <v>0</v>
      </c>
      <c r="H433" s="15">
        <v>0</v>
      </c>
      <c r="I433" s="15">
        <v>0</v>
      </c>
      <c r="J433" s="15">
        <v>0</v>
      </c>
      <c r="K433" s="15">
        <v>0</v>
      </c>
      <c r="L433" s="15">
        <v>0</v>
      </c>
      <c r="M433" s="15">
        <v>0</v>
      </c>
      <c r="N433" s="15">
        <v>0</v>
      </c>
      <c r="O433" s="15">
        <v>0</v>
      </c>
    </row>
    <row r="434" spans="1:15">
      <c r="A434" s="11" t="s">
        <v>749</v>
      </c>
      <c r="B434" s="12" t="s">
        <v>276</v>
      </c>
      <c r="C434" s="13" t="s">
        <v>404</v>
      </c>
      <c r="D434" s="13">
        <v>0</v>
      </c>
      <c r="E434" s="14">
        <v>450</v>
      </c>
      <c r="F434" s="15">
        <v>0</v>
      </c>
      <c r="G434" s="15">
        <v>0</v>
      </c>
      <c r="H434" s="15">
        <v>0</v>
      </c>
      <c r="I434" s="15">
        <v>0</v>
      </c>
      <c r="J434" s="15">
        <v>0</v>
      </c>
      <c r="K434" s="15">
        <v>0</v>
      </c>
      <c r="L434" s="15">
        <v>0</v>
      </c>
      <c r="M434" s="15">
        <v>0</v>
      </c>
      <c r="N434" s="15">
        <v>0</v>
      </c>
      <c r="O434" s="15">
        <v>0</v>
      </c>
    </row>
    <row r="435" spans="1:15">
      <c r="A435" s="11" t="s">
        <v>750</v>
      </c>
      <c r="B435" s="12" t="s">
        <v>276</v>
      </c>
      <c r="C435" s="13" t="s">
        <v>404</v>
      </c>
      <c r="D435" s="13">
        <v>1</v>
      </c>
      <c r="E435" s="14">
        <v>450</v>
      </c>
      <c r="F435" s="15">
        <v>0</v>
      </c>
      <c r="G435" s="15">
        <v>0</v>
      </c>
      <c r="H435" s="15">
        <v>0</v>
      </c>
      <c r="I435" s="15">
        <v>0</v>
      </c>
      <c r="J435" s="15">
        <v>0</v>
      </c>
      <c r="K435" s="15">
        <v>0</v>
      </c>
      <c r="L435" s="15">
        <v>0</v>
      </c>
      <c r="M435" s="15">
        <v>0</v>
      </c>
      <c r="N435" s="15">
        <v>0</v>
      </c>
      <c r="O435" s="15">
        <v>0</v>
      </c>
    </row>
    <row r="436" spans="1:15">
      <c r="A436" s="11" t="s">
        <v>751</v>
      </c>
      <c r="B436" s="12" t="s">
        <v>276</v>
      </c>
      <c r="C436" s="13" t="s">
        <v>404</v>
      </c>
      <c r="D436" s="13">
        <v>2</v>
      </c>
      <c r="E436" s="14">
        <v>450</v>
      </c>
      <c r="F436" s="15">
        <v>0</v>
      </c>
      <c r="G436" s="15">
        <v>0</v>
      </c>
      <c r="H436" s="15">
        <v>0</v>
      </c>
      <c r="I436" s="15">
        <v>0</v>
      </c>
      <c r="J436" s="15">
        <v>0</v>
      </c>
      <c r="K436" s="15">
        <v>0</v>
      </c>
      <c r="L436" s="15">
        <v>0</v>
      </c>
      <c r="M436" s="15">
        <v>0</v>
      </c>
      <c r="N436" s="15">
        <v>0</v>
      </c>
      <c r="O436" s="15">
        <v>0</v>
      </c>
    </row>
    <row r="437" spans="1:15">
      <c r="A437" s="11" t="s">
        <v>752</v>
      </c>
      <c r="B437" s="12" t="s">
        <v>276</v>
      </c>
      <c r="C437" s="13" t="s">
        <v>404</v>
      </c>
      <c r="D437" s="13">
        <v>3</v>
      </c>
      <c r="E437" s="14">
        <v>450</v>
      </c>
      <c r="F437" s="15">
        <v>0</v>
      </c>
      <c r="G437" s="15">
        <v>0</v>
      </c>
      <c r="H437" s="15">
        <v>0</v>
      </c>
      <c r="I437" s="15">
        <v>0</v>
      </c>
      <c r="J437" s="15">
        <v>0</v>
      </c>
      <c r="K437" s="15">
        <v>0</v>
      </c>
      <c r="L437" s="15">
        <v>0</v>
      </c>
      <c r="M437" s="15">
        <v>0</v>
      </c>
      <c r="N437" s="15">
        <v>0</v>
      </c>
      <c r="O437" s="15">
        <v>0</v>
      </c>
    </row>
    <row r="438" spans="1:15">
      <c r="A438" s="11" t="s">
        <v>753</v>
      </c>
      <c r="B438" s="12" t="s">
        <v>276</v>
      </c>
      <c r="C438" s="13" t="s">
        <v>404</v>
      </c>
      <c r="D438" s="13">
        <v>4</v>
      </c>
      <c r="E438" s="14">
        <v>450</v>
      </c>
      <c r="F438" s="15">
        <v>0</v>
      </c>
      <c r="G438" s="15">
        <v>0</v>
      </c>
      <c r="H438" s="15">
        <v>0</v>
      </c>
      <c r="I438" s="15">
        <v>0</v>
      </c>
      <c r="J438" s="15">
        <v>0</v>
      </c>
      <c r="K438" s="15">
        <v>0</v>
      </c>
      <c r="L438" s="15">
        <v>0</v>
      </c>
      <c r="M438" s="15">
        <v>0</v>
      </c>
      <c r="N438" s="15">
        <v>0</v>
      </c>
      <c r="O438" s="15">
        <v>0</v>
      </c>
    </row>
    <row r="439" spans="1:15">
      <c r="A439" s="11" t="s">
        <v>754</v>
      </c>
      <c r="B439" s="12" t="s">
        <v>276</v>
      </c>
      <c r="C439" s="13" t="s">
        <v>404</v>
      </c>
      <c r="D439" s="13">
        <v>5</v>
      </c>
      <c r="E439" s="14">
        <v>450</v>
      </c>
      <c r="F439" s="15">
        <v>0</v>
      </c>
      <c r="G439" s="15">
        <v>0</v>
      </c>
      <c r="H439" s="15">
        <v>0</v>
      </c>
      <c r="I439" s="15">
        <v>0</v>
      </c>
      <c r="J439" s="15">
        <v>0</v>
      </c>
      <c r="K439" s="15">
        <v>0</v>
      </c>
      <c r="L439" s="15">
        <v>0</v>
      </c>
      <c r="M439" s="15">
        <v>0</v>
      </c>
      <c r="N439" s="15">
        <v>0</v>
      </c>
      <c r="O439" s="15">
        <v>0</v>
      </c>
    </row>
    <row r="440" spans="1:15">
      <c r="A440" s="11" t="s">
        <v>755</v>
      </c>
      <c r="B440" s="12" t="s">
        <v>276</v>
      </c>
      <c r="C440" s="13" t="s">
        <v>404</v>
      </c>
      <c r="D440" s="13">
        <v>6</v>
      </c>
      <c r="E440" s="14">
        <v>450</v>
      </c>
      <c r="F440" s="15">
        <v>0</v>
      </c>
      <c r="G440" s="15">
        <v>0</v>
      </c>
      <c r="H440" s="15">
        <v>0</v>
      </c>
      <c r="I440" s="15">
        <v>0</v>
      </c>
      <c r="J440" s="15">
        <v>0</v>
      </c>
      <c r="K440" s="15">
        <v>0</v>
      </c>
      <c r="L440" s="15">
        <v>0</v>
      </c>
      <c r="M440" s="15">
        <v>0</v>
      </c>
      <c r="N440" s="15">
        <v>0</v>
      </c>
      <c r="O440" s="15">
        <v>0</v>
      </c>
    </row>
    <row r="441" spans="1:15">
      <c r="A441" s="11" t="s">
        <v>756</v>
      </c>
      <c r="B441" s="12" t="s">
        <v>276</v>
      </c>
      <c r="C441" s="13" t="s">
        <v>404</v>
      </c>
      <c r="D441" s="13">
        <v>7</v>
      </c>
      <c r="E441" s="14">
        <v>450</v>
      </c>
      <c r="F441" s="15">
        <v>0</v>
      </c>
      <c r="G441" s="15">
        <v>0</v>
      </c>
      <c r="H441" s="15">
        <v>0</v>
      </c>
      <c r="I441" s="15">
        <v>0</v>
      </c>
      <c r="J441" s="15">
        <v>0</v>
      </c>
      <c r="K441" s="15">
        <v>0</v>
      </c>
      <c r="L441" s="15">
        <v>0</v>
      </c>
      <c r="M441" s="15">
        <v>0</v>
      </c>
      <c r="N441" s="15">
        <v>0</v>
      </c>
      <c r="O441" s="15">
        <v>0</v>
      </c>
    </row>
    <row r="442" spans="1:15">
      <c r="A442" s="11" t="s">
        <v>757</v>
      </c>
      <c r="B442" s="12" t="s">
        <v>276</v>
      </c>
      <c r="C442" s="13" t="s">
        <v>404</v>
      </c>
      <c r="D442" s="13">
        <v>8</v>
      </c>
      <c r="E442" s="14">
        <v>450</v>
      </c>
      <c r="F442" s="15">
        <v>0</v>
      </c>
      <c r="G442" s="15">
        <v>0</v>
      </c>
      <c r="H442" s="15">
        <v>0</v>
      </c>
      <c r="I442" s="15">
        <v>0</v>
      </c>
      <c r="J442" s="15">
        <v>0</v>
      </c>
      <c r="K442" s="15">
        <v>0</v>
      </c>
      <c r="L442" s="15">
        <v>0</v>
      </c>
      <c r="M442" s="15">
        <v>0</v>
      </c>
      <c r="N442" s="15">
        <v>0</v>
      </c>
      <c r="O442" s="15">
        <v>0</v>
      </c>
    </row>
    <row r="443" spans="1:15">
      <c r="A443" s="11" t="s">
        <v>758</v>
      </c>
      <c r="B443" s="12" t="s">
        <v>276</v>
      </c>
      <c r="C443" s="13" t="s">
        <v>404</v>
      </c>
      <c r="D443" s="13">
        <v>9</v>
      </c>
      <c r="E443" s="14">
        <v>450</v>
      </c>
      <c r="F443" s="15">
        <v>0</v>
      </c>
      <c r="G443" s="15">
        <v>0</v>
      </c>
      <c r="H443" s="15">
        <v>0</v>
      </c>
      <c r="I443" s="15">
        <v>0</v>
      </c>
      <c r="J443" s="15">
        <v>0</v>
      </c>
      <c r="K443" s="15">
        <v>0</v>
      </c>
      <c r="L443" s="15">
        <v>0</v>
      </c>
      <c r="M443" s="15">
        <v>0</v>
      </c>
      <c r="N443" s="15">
        <v>0</v>
      </c>
      <c r="O443" s="15">
        <v>0</v>
      </c>
    </row>
    <row r="444" spans="1:15">
      <c r="A444" s="11" t="s">
        <v>759</v>
      </c>
      <c r="B444" s="12" t="s">
        <v>276</v>
      </c>
      <c r="C444" s="13" t="s">
        <v>404</v>
      </c>
      <c r="D444" s="13">
        <v>10</v>
      </c>
      <c r="E444" s="14">
        <v>450</v>
      </c>
      <c r="F444" s="15">
        <v>0</v>
      </c>
      <c r="G444" s="15">
        <v>0</v>
      </c>
      <c r="H444" s="15">
        <v>0</v>
      </c>
      <c r="I444" s="15">
        <v>0</v>
      </c>
      <c r="J444" s="15">
        <v>0</v>
      </c>
      <c r="K444" s="15">
        <v>0</v>
      </c>
      <c r="L444" s="15">
        <v>0</v>
      </c>
      <c r="M444" s="15">
        <v>0</v>
      </c>
      <c r="N444" s="15">
        <v>0</v>
      </c>
      <c r="O444" s="15">
        <v>0</v>
      </c>
    </row>
    <row r="445" spans="1:15">
      <c r="A445" s="11" t="s">
        <v>760</v>
      </c>
      <c r="B445" s="12" t="s">
        <v>276</v>
      </c>
      <c r="C445" s="13" t="s">
        <v>404</v>
      </c>
      <c r="D445" s="13">
        <v>11</v>
      </c>
      <c r="E445" s="14">
        <v>450</v>
      </c>
      <c r="F445" s="15">
        <v>0</v>
      </c>
      <c r="G445" s="15">
        <v>0</v>
      </c>
      <c r="H445" s="15">
        <v>0</v>
      </c>
      <c r="I445" s="15">
        <v>0</v>
      </c>
      <c r="J445" s="15">
        <v>0</v>
      </c>
      <c r="K445" s="15">
        <v>0</v>
      </c>
      <c r="L445" s="15">
        <v>0</v>
      </c>
      <c r="M445" s="15">
        <v>0</v>
      </c>
      <c r="N445" s="15">
        <v>0</v>
      </c>
      <c r="O445" s="15">
        <v>0</v>
      </c>
    </row>
    <row r="446" spans="1:15">
      <c r="A446" s="11" t="s">
        <v>761</v>
      </c>
      <c r="B446" s="12" t="s">
        <v>276</v>
      </c>
      <c r="C446" s="13" t="s">
        <v>404</v>
      </c>
      <c r="D446" s="13">
        <v>12</v>
      </c>
      <c r="E446" s="14">
        <v>450</v>
      </c>
      <c r="F446" s="15">
        <v>0</v>
      </c>
      <c r="G446" s="15">
        <v>0</v>
      </c>
      <c r="H446" s="15">
        <v>0</v>
      </c>
      <c r="I446" s="15">
        <v>0</v>
      </c>
      <c r="J446" s="15">
        <v>0</v>
      </c>
      <c r="K446" s="15">
        <v>0</v>
      </c>
      <c r="L446" s="15">
        <v>0</v>
      </c>
      <c r="M446" s="15">
        <v>0</v>
      </c>
      <c r="N446" s="15">
        <v>0</v>
      </c>
      <c r="O446" s="15">
        <v>0</v>
      </c>
    </row>
    <row r="447" spans="1:15">
      <c r="A447" s="11" t="s">
        <v>762</v>
      </c>
      <c r="B447" s="12" t="s">
        <v>276</v>
      </c>
      <c r="C447" s="13" t="s">
        <v>404</v>
      </c>
      <c r="D447" s="13">
        <v>13</v>
      </c>
      <c r="E447" s="14">
        <v>450</v>
      </c>
      <c r="F447" s="15">
        <v>0</v>
      </c>
      <c r="G447" s="15">
        <v>0</v>
      </c>
      <c r="H447" s="15">
        <v>0</v>
      </c>
      <c r="I447" s="15">
        <v>0</v>
      </c>
      <c r="J447" s="15">
        <v>0</v>
      </c>
      <c r="K447" s="15">
        <v>0</v>
      </c>
      <c r="L447" s="15">
        <v>0</v>
      </c>
      <c r="M447" s="15">
        <v>0</v>
      </c>
      <c r="N447" s="15">
        <v>0</v>
      </c>
      <c r="O447" s="15">
        <v>0</v>
      </c>
    </row>
    <row r="448" spans="1:15">
      <c r="A448" s="11" t="s">
        <v>763</v>
      </c>
      <c r="B448" s="12" t="s">
        <v>276</v>
      </c>
      <c r="C448" s="13" t="s">
        <v>404</v>
      </c>
      <c r="D448" s="13">
        <v>14</v>
      </c>
      <c r="E448" s="14">
        <v>450</v>
      </c>
      <c r="F448" s="15">
        <v>0</v>
      </c>
      <c r="G448" s="15">
        <v>0</v>
      </c>
      <c r="H448" s="15">
        <v>0</v>
      </c>
      <c r="I448" s="15">
        <v>0</v>
      </c>
      <c r="J448" s="15">
        <v>0</v>
      </c>
      <c r="K448" s="15">
        <v>0</v>
      </c>
      <c r="L448" s="15">
        <v>0</v>
      </c>
      <c r="M448" s="15">
        <v>0</v>
      </c>
      <c r="N448" s="15">
        <v>0</v>
      </c>
      <c r="O448" s="15">
        <v>0</v>
      </c>
    </row>
    <row r="449" spans="1:15">
      <c r="A449" s="11" t="s">
        <v>764</v>
      </c>
      <c r="B449" s="12" t="s">
        <v>276</v>
      </c>
      <c r="C449" s="13" t="s">
        <v>404</v>
      </c>
      <c r="D449" s="13">
        <v>15</v>
      </c>
      <c r="E449" s="14">
        <v>450</v>
      </c>
      <c r="F449" s="15">
        <v>0</v>
      </c>
      <c r="G449" s="15">
        <v>0</v>
      </c>
      <c r="H449" s="15">
        <v>0</v>
      </c>
      <c r="I449" s="15">
        <v>0</v>
      </c>
      <c r="J449" s="15">
        <v>0</v>
      </c>
      <c r="K449" s="15">
        <v>0</v>
      </c>
      <c r="L449" s="15">
        <v>0</v>
      </c>
      <c r="M449" s="15">
        <v>0</v>
      </c>
      <c r="N449" s="15">
        <v>0</v>
      </c>
      <c r="O449" s="15">
        <v>0</v>
      </c>
    </row>
    <row r="450" spans="1:15">
      <c r="A450" s="11" t="s">
        <v>765</v>
      </c>
      <c r="B450" s="12" t="s">
        <v>276</v>
      </c>
      <c r="C450" s="13" t="s">
        <v>404</v>
      </c>
      <c r="D450" s="13">
        <v>16</v>
      </c>
      <c r="E450" s="14">
        <v>450</v>
      </c>
      <c r="F450" s="15">
        <v>0</v>
      </c>
      <c r="G450" s="15">
        <v>0</v>
      </c>
      <c r="H450" s="15">
        <v>0</v>
      </c>
      <c r="I450" s="15">
        <v>0</v>
      </c>
      <c r="J450" s="15">
        <v>0</v>
      </c>
      <c r="K450" s="15">
        <v>0</v>
      </c>
      <c r="L450" s="15">
        <v>0</v>
      </c>
      <c r="M450" s="15">
        <v>0</v>
      </c>
      <c r="N450" s="15">
        <v>0</v>
      </c>
      <c r="O450" s="15">
        <v>0</v>
      </c>
    </row>
    <row r="451" spans="1:15">
      <c r="A451" s="11" t="s">
        <v>766</v>
      </c>
      <c r="B451" s="12" t="s">
        <v>276</v>
      </c>
      <c r="C451" s="13" t="s">
        <v>404</v>
      </c>
      <c r="D451" s="13">
        <v>17</v>
      </c>
      <c r="E451" s="14">
        <v>450</v>
      </c>
      <c r="F451" s="15">
        <v>0</v>
      </c>
      <c r="G451" s="15">
        <v>0</v>
      </c>
      <c r="H451" s="15">
        <v>0</v>
      </c>
      <c r="I451" s="15">
        <v>0</v>
      </c>
      <c r="J451" s="15">
        <v>0</v>
      </c>
      <c r="K451" s="15">
        <v>0</v>
      </c>
      <c r="L451" s="15">
        <v>0</v>
      </c>
      <c r="M451" s="15">
        <v>0</v>
      </c>
      <c r="N451" s="15">
        <v>0</v>
      </c>
      <c r="O451" s="15">
        <v>0</v>
      </c>
    </row>
    <row r="452" spans="1:15">
      <c r="A452" s="11" t="s">
        <v>767</v>
      </c>
      <c r="B452" s="12" t="s">
        <v>276</v>
      </c>
      <c r="C452" s="13" t="s">
        <v>404</v>
      </c>
      <c r="D452" s="13">
        <v>18</v>
      </c>
      <c r="E452" s="14">
        <v>450</v>
      </c>
      <c r="F452" s="15">
        <v>0</v>
      </c>
      <c r="G452" s="15">
        <v>0</v>
      </c>
      <c r="H452" s="15">
        <v>0</v>
      </c>
      <c r="I452" s="15">
        <v>0</v>
      </c>
      <c r="J452" s="15">
        <v>0</v>
      </c>
      <c r="K452" s="15">
        <v>0</v>
      </c>
      <c r="L452" s="15">
        <v>0</v>
      </c>
      <c r="M452" s="15">
        <v>0</v>
      </c>
      <c r="N452" s="15">
        <v>0</v>
      </c>
      <c r="O452" s="15">
        <v>0</v>
      </c>
    </row>
    <row r="453" spans="1:15">
      <c r="A453" s="11" t="s">
        <v>768</v>
      </c>
      <c r="B453" s="12" t="s">
        <v>276</v>
      </c>
      <c r="C453" s="13" t="s">
        <v>404</v>
      </c>
      <c r="D453" s="13">
        <v>19</v>
      </c>
      <c r="E453" s="14">
        <v>450</v>
      </c>
      <c r="F453" s="15">
        <v>0</v>
      </c>
      <c r="G453" s="15">
        <v>0</v>
      </c>
      <c r="H453" s="15">
        <v>0</v>
      </c>
      <c r="I453" s="15">
        <v>0</v>
      </c>
      <c r="J453" s="15">
        <v>0</v>
      </c>
      <c r="K453" s="15">
        <v>0</v>
      </c>
      <c r="L453" s="15">
        <v>0</v>
      </c>
      <c r="M453" s="15">
        <v>0</v>
      </c>
      <c r="N453" s="15">
        <v>0</v>
      </c>
      <c r="O453" s="15">
        <v>0</v>
      </c>
    </row>
    <row r="454" spans="1:15">
      <c r="A454" s="11" t="s">
        <v>769</v>
      </c>
      <c r="B454" s="12" t="s">
        <v>276</v>
      </c>
      <c r="C454" s="13" t="s">
        <v>404</v>
      </c>
      <c r="D454" s="13">
        <v>20</v>
      </c>
      <c r="E454" s="14">
        <v>450</v>
      </c>
      <c r="F454" s="15">
        <v>0</v>
      </c>
      <c r="G454" s="15">
        <v>0</v>
      </c>
      <c r="H454" s="15">
        <v>0</v>
      </c>
      <c r="I454" s="15">
        <v>0</v>
      </c>
      <c r="J454" s="15">
        <v>0</v>
      </c>
      <c r="K454" s="15">
        <v>0</v>
      </c>
      <c r="L454" s="15">
        <v>0</v>
      </c>
      <c r="M454" s="15">
        <v>0</v>
      </c>
      <c r="N454" s="15">
        <v>0</v>
      </c>
      <c r="O454" s="15">
        <v>0</v>
      </c>
    </row>
    <row r="455" spans="1:15">
      <c r="A455" s="11" t="s">
        <v>770</v>
      </c>
      <c r="B455" s="12" t="s">
        <v>276</v>
      </c>
      <c r="C455" s="13" t="s">
        <v>404</v>
      </c>
      <c r="D455" s="13">
        <v>21</v>
      </c>
      <c r="E455" s="14">
        <v>450</v>
      </c>
      <c r="F455" s="15">
        <v>0</v>
      </c>
      <c r="G455" s="15">
        <v>0</v>
      </c>
      <c r="H455" s="15">
        <v>0</v>
      </c>
      <c r="I455" s="15">
        <v>0</v>
      </c>
      <c r="J455" s="15">
        <v>0</v>
      </c>
      <c r="K455" s="15">
        <v>0</v>
      </c>
      <c r="L455" s="15">
        <v>0</v>
      </c>
      <c r="M455" s="15">
        <v>0</v>
      </c>
      <c r="N455" s="15">
        <v>0</v>
      </c>
      <c r="O455" s="15">
        <v>0</v>
      </c>
    </row>
    <row r="456" spans="1:15">
      <c r="A456" s="11" t="s">
        <v>771</v>
      </c>
      <c r="B456" s="12" t="s">
        <v>276</v>
      </c>
      <c r="C456" s="13" t="s">
        <v>404</v>
      </c>
      <c r="D456" s="13">
        <v>22</v>
      </c>
      <c r="E456" s="14">
        <v>450</v>
      </c>
      <c r="F456" s="15">
        <v>0</v>
      </c>
      <c r="G456" s="15">
        <v>0</v>
      </c>
      <c r="H456" s="15">
        <v>0</v>
      </c>
      <c r="I456" s="15">
        <v>0</v>
      </c>
      <c r="J456" s="15">
        <v>0</v>
      </c>
      <c r="K456" s="15">
        <v>0</v>
      </c>
      <c r="L456" s="15">
        <v>0</v>
      </c>
      <c r="M456" s="15">
        <v>0</v>
      </c>
      <c r="N456" s="15">
        <v>0</v>
      </c>
      <c r="O456" s="15">
        <v>0</v>
      </c>
    </row>
    <row r="457" spans="1:15">
      <c r="A457" s="11" t="s">
        <v>772</v>
      </c>
      <c r="B457" s="12" t="s">
        <v>276</v>
      </c>
      <c r="C457" s="13" t="s">
        <v>404</v>
      </c>
      <c r="D457" s="13">
        <v>23</v>
      </c>
      <c r="E457" s="14">
        <v>450</v>
      </c>
      <c r="F457" s="15">
        <v>0</v>
      </c>
      <c r="G457" s="15">
        <v>0</v>
      </c>
      <c r="H457" s="15">
        <v>0</v>
      </c>
      <c r="I457" s="15">
        <v>0</v>
      </c>
      <c r="J457" s="15">
        <v>0</v>
      </c>
      <c r="K457" s="15">
        <v>0</v>
      </c>
      <c r="L457" s="15">
        <v>0</v>
      </c>
      <c r="M457" s="15">
        <v>0</v>
      </c>
      <c r="N457" s="15">
        <v>0</v>
      </c>
      <c r="O457" s="15">
        <v>0</v>
      </c>
    </row>
    <row r="458" spans="1:15">
      <c r="A458" s="11" t="s">
        <v>773</v>
      </c>
      <c r="B458" s="12" t="s">
        <v>276</v>
      </c>
      <c r="C458" s="13" t="s">
        <v>404</v>
      </c>
      <c r="D458" s="13">
        <v>24</v>
      </c>
      <c r="E458" s="14">
        <v>450</v>
      </c>
      <c r="F458" s="15">
        <v>0</v>
      </c>
      <c r="G458" s="15">
        <v>0</v>
      </c>
      <c r="H458" s="15">
        <v>0</v>
      </c>
      <c r="I458" s="15">
        <v>0</v>
      </c>
      <c r="J458" s="15">
        <v>0</v>
      </c>
      <c r="K458" s="15">
        <v>0</v>
      </c>
      <c r="L458" s="15">
        <v>0</v>
      </c>
      <c r="M458" s="15">
        <v>0</v>
      </c>
      <c r="N458" s="15">
        <v>0</v>
      </c>
      <c r="O458" s="15">
        <v>0</v>
      </c>
    </row>
    <row r="459" spans="1:15">
      <c r="A459" s="18" t="s">
        <v>774</v>
      </c>
      <c r="B459" s="19" t="s">
        <v>276</v>
      </c>
      <c r="C459" s="20" t="s">
        <v>404</v>
      </c>
      <c r="D459" s="20">
        <v>25</v>
      </c>
      <c r="E459" s="14">
        <v>450</v>
      </c>
      <c r="F459" s="15">
        <v>0</v>
      </c>
      <c r="G459" s="15">
        <v>0</v>
      </c>
      <c r="H459" s="15">
        <v>0</v>
      </c>
      <c r="I459" s="15">
        <v>0</v>
      </c>
      <c r="J459" s="15">
        <v>0</v>
      </c>
      <c r="K459" s="15">
        <v>0</v>
      </c>
      <c r="L459" s="15">
        <v>0</v>
      </c>
      <c r="M459" s="15">
        <v>0</v>
      </c>
      <c r="N459" s="15">
        <v>0</v>
      </c>
      <c r="O459" s="15">
        <v>0</v>
      </c>
    </row>
    <row r="460" spans="1:15">
      <c r="A460" s="18" t="s">
        <v>775</v>
      </c>
      <c r="B460" s="19" t="s">
        <v>276</v>
      </c>
      <c r="C460" s="20" t="s">
        <v>404</v>
      </c>
      <c r="D460" s="20">
        <v>26</v>
      </c>
      <c r="E460" s="14">
        <v>450</v>
      </c>
      <c r="F460" s="15">
        <v>0</v>
      </c>
      <c r="G460" s="15">
        <v>0</v>
      </c>
      <c r="H460" s="15">
        <v>0</v>
      </c>
      <c r="I460" s="15">
        <v>0</v>
      </c>
      <c r="J460" s="15">
        <v>0</v>
      </c>
      <c r="K460" s="15">
        <v>0</v>
      </c>
      <c r="L460" s="15">
        <v>0</v>
      </c>
      <c r="M460" s="15">
        <v>0</v>
      </c>
      <c r="N460" s="15">
        <v>0</v>
      </c>
      <c r="O460" s="15">
        <v>0</v>
      </c>
    </row>
    <row r="461" spans="1:15">
      <c r="A461" s="18" t="s">
        <v>776</v>
      </c>
      <c r="B461" s="19" t="s">
        <v>276</v>
      </c>
      <c r="C461" s="20" t="s">
        <v>404</v>
      </c>
      <c r="D461" s="20">
        <v>27</v>
      </c>
      <c r="E461" s="14">
        <v>450</v>
      </c>
      <c r="F461" s="15">
        <v>0</v>
      </c>
      <c r="G461" s="15">
        <v>0</v>
      </c>
      <c r="H461" s="15">
        <v>0</v>
      </c>
      <c r="I461" s="15">
        <v>0</v>
      </c>
      <c r="J461" s="15">
        <v>0</v>
      </c>
      <c r="K461" s="15">
        <v>0</v>
      </c>
      <c r="L461" s="15">
        <v>0</v>
      </c>
      <c r="M461" s="15">
        <v>0</v>
      </c>
      <c r="N461" s="15">
        <v>0</v>
      </c>
      <c r="O461" s="15">
        <v>0</v>
      </c>
    </row>
    <row r="462" spans="1:15">
      <c r="A462" s="18" t="s">
        <v>777</v>
      </c>
      <c r="B462" s="19" t="s">
        <v>276</v>
      </c>
      <c r="C462" s="20" t="s">
        <v>404</v>
      </c>
      <c r="D462" s="20">
        <v>28</v>
      </c>
      <c r="E462" s="14">
        <v>450</v>
      </c>
      <c r="F462" s="15">
        <v>0</v>
      </c>
      <c r="G462" s="15">
        <v>0</v>
      </c>
      <c r="H462" s="15">
        <v>0</v>
      </c>
      <c r="I462" s="15">
        <v>0</v>
      </c>
      <c r="J462" s="15">
        <v>0</v>
      </c>
      <c r="K462" s="15">
        <v>0</v>
      </c>
      <c r="L462" s="15">
        <v>0</v>
      </c>
      <c r="M462" s="15">
        <v>0</v>
      </c>
      <c r="N462" s="15">
        <v>0</v>
      </c>
      <c r="O462" s="15">
        <v>0</v>
      </c>
    </row>
    <row r="463" spans="1:15">
      <c r="A463" s="18" t="s">
        <v>778</v>
      </c>
      <c r="B463" s="19" t="s">
        <v>276</v>
      </c>
      <c r="C463" s="20" t="s">
        <v>404</v>
      </c>
      <c r="D463" s="20">
        <v>29</v>
      </c>
      <c r="E463" s="14">
        <v>450</v>
      </c>
      <c r="F463" s="15">
        <v>0</v>
      </c>
      <c r="G463" s="15">
        <v>0</v>
      </c>
      <c r="H463" s="15">
        <v>0</v>
      </c>
      <c r="I463" s="15">
        <v>0</v>
      </c>
      <c r="J463" s="15">
        <v>0</v>
      </c>
      <c r="K463" s="15">
        <v>0</v>
      </c>
      <c r="L463" s="15">
        <v>0</v>
      </c>
      <c r="M463" s="15">
        <v>0</v>
      </c>
      <c r="N463" s="15">
        <v>0</v>
      </c>
      <c r="O463" s="15">
        <v>0</v>
      </c>
    </row>
    <row r="464" spans="1:15">
      <c r="A464" s="18" t="s">
        <v>779</v>
      </c>
      <c r="B464" s="19" t="s">
        <v>276</v>
      </c>
      <c r="C464" s="20" t="s">
        <v>404</v>
      </c>
      <c r="D464" s="20">
        <v>30</v>
      </c>
      <c r="E464" s="14">
        <v>450</v>
      </c>
      <c r="F464" s="15">
        <v>0</v>
      </c>
      <c r="G464" s="15">
        <v>0</v>
      </c>
      <c r="H464" s="15">
        <v>0</v>
      </c>
      <c r="I464" s="15">
        <v>0</v>
      </c>
      <c r="J464" s="15">
        <v>0</v>
      </c>
      <c r="K464" s="15">
        <v>0</v>
      </c>
      <c r="L464" s="15">
        <v>0</v>
      </c>
      <c r="M464" s="15">
        <v>0</v>
      </c>
      <c r="N464" s="15">
        <v>0</v>
      </c>
      <c r="O464" s="15">
        <v>0</v>
      </c>
    </row>
    <row r="465" spans="1:15">
      <c r="A465" s="18" t="s">
        <v>780</v>
      </c>
      <c r="B465" s="19" t="s">
        <v>276</v>
      </c>
      <c r="C465" s="20" t="s">
        <v>404</v>
      </c>
      <c r="D465" s="20">
        <v>31</v>
      </c>
      <c r="E465" s="14">
        <v>450</v>
      </c>
      <c r="F465" s="15">
        <v>0</v>
      </c>
      <c r="G465" s="15">
        <v>0</v>
      </c>
      <c r="H465" s="15">
        <v>0</v>
      </c>
      <c r="I465" s="15">
        <v>0</v>
      </c>
      <c r="J465" s="15">
        <v>0</v>
      </c>
      <c r="K465" s="15">
        <v>0</v>
      </c>
      <c r="L465" s="15">
        <v>0</v>
      </c>
      <c r="M465" s="15">
        <v>0</v>
      </c>
      <c r="N465" s="15">
        <v>0</v>
      </c>
      <c r="O465" s="15">
        <v>0</v>
      </c>
    </row>
    <row r="466" spans="1:15">
      <c r="A466" s="18" t="s">
        <v>781</v>
      </c>
      <c r="B466" s="19" t="s">
        <v>276</v>
      </c>
      <c r="C466" s="20" t="s">
        <v>404</v>
      </c>
      <c r="D466" s="20">
        <v>32</v>
      </c>
      <c r="E466" s="14">
        <v>450</v>
      </c>
      <c r="F466" s="15">
        <v>0</v>
      </c>
      <c r="G466" s="15">
        <v>0</v>
      </c>
      <c r="H466" s="15">
        <v>0</v>
      </c>
      <c r="I466" s="15">
        <v>0</v>
      </c>
      <c r="J466" s="15">
        <v>0</v>
      </c>
      <c r="K466" s="15">
        <v>0</v>
      </c>
      <c r="L466" s="15">
        <v>0</v>
      </c>
      <c r="M466" s="15">
        <v>0</v>
      </c>
      <c r="N466" s="15">
        <v>0</v>
      </c>
      <c r="O466" s="15">
        <v>0</v>
      </c>
    </row>
    <row r="467" spans="1:15">
      <c r="A467" s="18" t="s">
        <v>782</v>
      </c>
      <c r="B467" s="19" t="s">
        <v>276</v>
      </c>
      <c r="C467" s="20" t="s">
        <v>404</v>
      </c>
      <c r="D467" s="20">
        <v>33</v>
      </c>
      <c r="E467" s="14">
        <v>450</v>
      </c>
      <c r="F467" s="15">
        <v>0</v>
      </c>
      <c r="G467" s="15">
        <v>0</v>
      </c>
      <c r="H467" s="15">
        <v>0</v>
      </c>
      <c r="I467" s="15">
        <v>0</v>
      </c>
      <c r="J467" s="15">
        <v>0</v>
      </c>
      <c r="K467" s="15">
        <v>0</v>
      </c>
      <c r="L467" s="15">
        <v>0</v>
      </c>
      <c r="M467" s="15">
        <v>0</v>
      </c>
      <c r="N467" s="15">
        <v>0</v>
      </c>
      <c r="O467" s="15">
        <v>0</v>
      </c>
    </row>
    <row r="468" spans="1:15">
      <c r="A468" s="18" t="s">
        <v>783</v>
      </c>
      <c r="B468" s="19" t="s">
        <v>276</v>
      </c>
      <c r="C468" s="20" t="s">
        <v>404</v>
      </c>
      <c r="D468" s="20">
        <v>34</v>
      </c>
      <c r="E468" s="14">
        <v>450</v>
      </c>
      <c r="F468" s="15">
        <v>0</v>
      </c>
      <c r="G468" s="15">
        <v>0</v>
      </c>
      <c r="H468" s="15">
        <v>0</v>
      </c>
      <c r="I468" s="15">
        <v>0</v>
      </c>
      <c r="J468" s="15">
        <v>0</v>
      </c>
      <c r="K468" s="15">
        <v>0</v>
      </c>
      <c r="L468" s="15">
        <v>0</v>
      </c>
      <c r="M468" s="15">
        <v>0</v>
      </c>
      <c r="N468" s="15">
        <v>0</v>
      </c>
      <c r="O468" s="15">
        <v>0</v>
      </c>
    </row>
    <row r="469" spans="1:15">
      <c r="A469" s="18" t="s">
        <v>784</v>
      </c>
      <c r="B469" s="19" t="s">
        <v>276</v>
      </c>
      <c r="C469" s="20" t="s">
        <v>404</v>
      </c>
      <c r="D469" s="20">
        <v>35</v>
      </c>
      <c r="E469" s="14">
        <v>450</v>
      </c>
      <c r="F469" s="15">
        <v>0</v>
      </c>
      <c r="G469" s="15">
        <v>0</v>
      </c>
      <c r="H469" s="15">
        <v>0</v>
      </c>
      <c r="I469" s="15">
        <v>0</v>
      </c>
      <c r="J469" s="15">
        <v>0</v>
      </c>
      <c r="K469" s="15">
        <v>0</v>
      </c>
      <c r="L469" s="15">
        <v>0</v>
      </c>
      <c r="M469" s="15">
        <v>0</v>
      </c>
      <c r="N469" s="15">
        <v>0</v>
      </c>
      <c r="O469" s="15">
        <v>0</v>
      </c>
    </row>
    <row r="470" spans="1:15">
      <c r="A470" s="18" t="s">
        <v>785</v>
      </c>
      <c r="B470" s="19" t="s">
        <v>276</v>
      </c>
      <c r="C470" s="20" t="s">
        <v>404</v>
      </c>
      <c r="D470" s="20">
        <v>36</v>
      </c>
      <c r="E470" s="14">
        <v>450</v>
      </c>
      <c r="F470" s="15">
        <v>0</v>
      </c>
      <c r="G470" s="15">
        <v>0</v>
      </c>
      <c r="H470" s="15">
        <v>0</v>
      </c>
      <c r="I470" s="15">
        <v>0</v>
      </c>
      <c r="J470" s="15">
        <v>0</v>
      </c>
      <c r="K470" s="15">
        <v>0</v>
      </c>
      <c r="L470" s="15">
        <v>0</v>
      </c>
      <c r="M470" s="15">
        <v>0</v>
      </c>
      <c r="N470" s="15">
        <v>0</v>
      </c>
      <c r="O470" s="15">
        <v>0</v>
      </c>
    </row>
    <row r="471" spans="1:15">
      <c r="A471" s="18" t="s">
        <v>786</v>
      </c>
      <c r="B471" s="19" t="s">
        <v>276</v>
      </c>
      <c r="C471" s="20" t="s">
        <v>404</v>
      </c>
      <c r="D471" s="20">
        <v>37</v>
      </c>
      <c r="E471" s="14">
        <v>450</v>
      </c>
      <c r="F471" s="15">
        <v>0</v>
      </c>
      <c r="G471" s="15">
        <v>0</v>
      </c>
      <c r="H471" s="15">
        <v>0</v>
      </c>
      <c r="I471" s="15">
        <v>0</v>
      </c>
      <c r="J471" s="15">
        <v>0</v>
      </c>
      <c r="K471" s="15">
        <v>0</v>
      </c>
      <c r="L471" s="15">
        <v>0</v>
      </c>
      <c r="M471" s="15">
        <v>0</v>
      </c>
      <c r="N471" s="15">
        <v>0</v>
      </c>
      <c r="O471" s="15">
        <v>0</v>
      </c>
    </row>
    <row r="472" spans="1:15">
      <c r="A472" s="18" t="s">
        <v>787</v>
      </c>
      <c r="B472" s="19" t="s">
        <v>276</v>
      </c>
      <c r="C472" s="20" t="s">
        <v>404</v>
      </c>
      <c r="D472" s="20">
        <v>38</v>
      </c>
      <c r="E472" s="14">
        <v>450</v>
      </c>
      <c r="F472" s="15">
        <v>0</v>
      </c>
      <c r="G472" s="15">
        <v>0</v>
      </c>
      <c r="H472" s="15">
        <v>0</v>
      </c>
      <c r="I472" s="15">
        <v>0</v>
      </c>
      <c r="J472" s="15">
        <v>0</v>
      </c>
      <c r="K472" s="15">
        <v>0</v>
      </c>
      <c r="L472" s="15">
        <v>0</v>
      </c>
      <c r="M472" s="15">
        <v>0</v>
      </c>
      <c r="N472" s="15">
        <v>0</v>
      </c>
      <c r="O472" s="15">
        <v>0</v>
      </c>
    </row>
    <row r="473" spans="1:15">
      <c r="A473" s="18" t="s">
        <v>788</v>
      </c>
      <c r="B473" s="19" t="s">
        <v>276</v>
      </c>
      <c r="C473" s="20" t="s">
        <v>404</v>
      </c>
      <c r="D473" s="20">
        <v>39</v>
      </c>
      <c r="E473" s="14">
        <v>450</v>
      </c>
      <c r="F473" s="15">
        <v>0</v>
      </c>
      <c r="G473" s="15">
        <v>0</v>
      </c>
      <c r="H473" s="15">
        <v>0</v>
      </c>
      <c r="I473" s="15">
        <v>0</v>
      </c>
      <c r="J473" s="15">
        <v>0</v>
      </c>
      <c r="K473" s="15">
        <v>0</v>
      </c>
      <c r="L473" s="15">
        <v>0</v>
      </c>
      <c r="M473" s="15">
        <v>0</v>
      </c>
      <c r="N473" s="15">
        <v>0</v>
      </c>
      <c r="O473" s="15">
        <v>0</v>
      </c>
    </row>
    <row r="474" spans="1:15">
      <c r="A474" s="18" t="s">
        <v>789</v>
      </c>
      <c r="B474" s="19" t="s">
        <v>276</v>
      </c>
      <c r="C474" s="20" t="s">
        <v>404</v>
      </c>
      <c r="D474" s="20">
        <v>40</v>
      </c>
      <c r="E474" s="14">
        <v>450</v>
      </c>
      <c r="F474" s="15">
        <v>0</v>
      </c>
      <c r="G474" s="15">
        <v>0</v>
      </c>
      <c r="H474" s="15">
        <v>0</v>
      </c>
      <c r="I474" s="15">
        <v>0</v>
      </c>
      <c r="J474" s="15">
        <v>0</v>
      </c>
      <c r="K474" s="15">
        <v>0</v>
      </c>
      <c r="L474" s="15">
        <v>0</v>
      </c>
      <c r="M474" s="15">
        <v>0</v>
      </c>
      <c r="N474" s="15">
        <v>0</v>
      </c>
      <c r="O474" s="15">
        <v>0</v>
      </c>
    </row>
    <row r="475" spans="1:15">
      <c r="A475" s="18" t="s">
        <v>790</v>
      </c>
      <c r="B475" s="19" t="s">
        <v>276</v>
      </c>
      <c r="C475" s="20" t="s">
        <v>404</v>
      </c>
      <c r="D475" s="20">
        <v>41</v>
      </c>
      <c r="E475" s="14">
        <v>450</v>
      </c>
      <c r="F475" s="15">
        <v>0</v>
      </c>
      <c r="G475" s="15">
        <v>0</v>
      </c>
      <c r="H475" s="15">
        <v>0</v>
      </c>
      <c r="I475" s="15">
        <v>0</v>
      </c>
      <c r="J475" s="15">
        <v>0</v>
      </c>
      <c r="K475" s="15">
        <v>0</v>
      </c>
      <c r="L475" s="15">
        <v>0</v>
      </c>
      <c r="M475" s="15">
        <v>0</v>
      </c>
      <c r="N475" s="15">
        <v>0</v>
      </c>
      <c r="O475" s="15">
        <v>0</v>
      </c>
    </row>
    <row r="476" spans="1:15">
      <c r="A476" s="18" t="s">
        <v>791</v>
      </c>
      <c r="B476" s="19" t="s">
        <v>276</v>
      </c>
      <c r="C476" s="20" t="s">
        <v>404</v>
      </c>
      <c r="D476" s="20">
        <v>42</v>
      </c>
      <c r="E476" s="14">
        <v>450</v>
      </c>
      <c r="F476" s="15">
        <v>0</v>
      </c>
      <c r="G476" s="15">
        <v>0</v>
      </c>
      <c r="H476" s="15">
        <v>0</v>
      </c>
      <c r="I476" s="15">
        <v>0</v>
      </c>
      <c r="J476" s="15">
        <v>0</v>
      </c>
      <c r="K476" s="15">
        <v>0</v>
      </c>
      <c r="L476" s="15">
        <v>0</v>
      </c>
      <c r="M476" s="15">
        <v>0</v>
      </c>
      <c r="N476" s="15">
        <v>0</v>
      </c>
      <c r="O476" s="15">
        <v>0</v>
      </c>
    </row>
    <row r="477" spans="1:15">
      <c r="A477" s="18" t="s">
        <v>792</v>
      </c>
      <c r="B477" s="19" t="s">
        <v>276</v>
      </c>
      <c r="C477" s="20" t="s">
        <v>404</v>
      </c>
      <c r="D477" s="20">
        <v>43</v>
      </c>
      <c r="E477" s="14">
        <v>450</v>
      </c>
      <c r="F477" s="15">
        <v>0</v>
      </c>
      <c r="G477" s="15">
        <v>0</v>
      </c>
      <c r="H477" s="15">
        <v>0</v>
      </c>
      <c r="I477" s="15">
        <v>0</v>
      </c>
      <c r="J477" s="15">
        <v>0</v>
      </c>
      <c r="K477" s="15">
        <v>0</v>
      </c>
      <c r="L477" s="15">
        <v>0</v>
      </c>
      <c r="M477" s="15">
        <v>0</v>
      </c>
      <c r="N477" s="15">
        <v>0</v>
      </c>
      <c r="O477" s="15">
        <v>0</v>
      </c>
    </row>
    <row r="478" spans="1:15">
      <c r="A478" s="18" t="s">
        <v>793</v>
      </c>
      <c r="B478" s="19" t="s">
        <v>276</v>
      </c>
      <c r="C478" s="20" t="s">
        <v>404</v>
      </c>
      <c r="D478" s="20">
        <v>44</v>
      </c>
      <c r="E478" s="14">
        <v>450</v>
      </c>
      <c r="F478" s="15">
        <v>0</v>
      </c>
      <c r="G478" s="15">
        <v>0</v>
      </c>
      <c r="H478" s="15">
        <v>0</v>
      </c>
      <c r="I478" s="15">
        <v>0</v>
      </c>
      <c r="J478" s="15">
        <v>0</v>
      </c>
      <c r="K478" s="15">
        <v>0</v>
      </c>
      <c r="L478" s="15">
        <v>0</v>
      </c>
      <c r="M478" s="15">
        <v>0</v>
      </c>
      <c r="N478" s="15">
        <v>0</v>
      </c>
      <c r="O478" s="15">
        <v>0</v>
      </c>
    </row>
    <row r="479" spans="1:15">
      <c r="A479" s="18" t="s">
        <v>794</v>
      </c>
      <c r="B479" s="19" t="s">
        <v>276</v>
      </c>
      <c r="C479" s="20" t="s">
        <v>404</v>
      </c>
      <c r="D479" s="20">
        <v>45</v>
      </c>
      <c r="E479" s="14">
        <v>450</v>
      </c>
      <c r="F479" s="15">
        <v>0</v>
      </c>
      <c r="G479" s="15">
        <v>0</v>
      </c>
      <c r="H479" s="15">
        <v>0</v>
      </c>
      <c r="I479" s="15">
        <v>0</v>
      </c>
      <c r="J479" s="15">
        <v>0</v>
      </c>
      <c r="K479" s="15">
        <v>0</v>
      </c>
      <c r="L479" s="15">
        <v>0</v>
      </c>
      <c r="M479" s="15">
        <v>0</v>
      </c>
      <c r="N479" s="15">
        <v>0</v>
      </c>
      <c r="O479" s="15">
        <v>0</v>
      </c>
    </row>
    <row r="480" spans="1:15">
      <c r="A480" s="18" t="s">
        <v>795</v>
      </c>
      <c r="B480" s="19" t="s">
        <v>276</v>
      </c>
      <c r="C480" s="20" t="s">
        <v>404</v>
      </c>
      <c r="D480" s="20">
        <v>46</v>
      </c>
      <c r="E480" s="14">
        <v>450</v>
      </c>
      <c r="F480" s="15">
        <v>0</v>
      </c>
      <c r="G480" s="15">
        <v>0</v>
      </c>
      <c r="H480" s="15">
        <v>0</v>
      </c>
      <c r="I480" s="15">
        <v>0</v>
      </c>
      <c r="J480" s="15">
        <v>0</v>
      </c>
      <c r="K480" s="15">
        <v>0</v>
      </c>
      <c r="L480" s="15">
        <v>0</v>
      </c>
      <c r="M480" s="15">
        <v>0</v>
      </c>
      <c r="N480" s="15">
        <v>0</v>
      </c>
      <c r="O480" s="15">
        <v>0</v>
      </c>
    </row>
    <row r="481" spans="1:15">
      <c r="A481" s="18" t="s">
        <v>796</v>
      </c>
      <c r="B481" s="19" t="s">
        <v>276</v>
      </c>
      <c r="C481" s="20" t="s">
        <v>404</v>
      </c>
      <c r="D481" s="20">
        <v>47</v>
      </c>
      <c r="E481" s="14">
        <v>450</v>
      </c>
      <c r="F481" s="15">
        <v>0</v>
      </c>
      <c r="G481" s="15">
        <v>0</v>
      </c>
      <c r="H481" s="15">
        <v>0</v>
      </c>
      <c r="I481" s="15">
        <v>0</v>
      </c>
      <c r="J481" s="15">
        <v>0</v>
      </c>
      <c r="K481" s="15">
        <v>0</v>
      </c>
      <c r="L481" s="15">
        <v>0</v>
      </c>
      <c r="M481" s="15">
        <v>0</v>
      </c>
      <c r="N481" s="15">
        <v>0</v>
      </c>
      <c r="O481" s="15">
        <v>0</v>
      </c>
    </row>
    <row r="482" spans="1:15">
      <c r="A482" s="18" t="s">
        <v>797</v>
      </c>
      <c r="B482" s="19" t="s">
        <v>276</v>
      </c>
      <c r="C482" s="20" t="s">
        <v>404</v>
      </c>
      <c r="D482" s="20">
        <v>48</v>
      </c>
      <c r="E482" s="14">
        <v>450</v>
      </c>
      <c r="F482" s="15">
        <v>0</v>
      </c>
      <c r="G482" s="15">
        <v>0</v>
      </c>
      <c r="H482" s="15">
        <v>0</v>
      </c>
      <c r="I482" s="15">
        <v>0</v>
      </c>
      <c r="J482" s="15">
        <v>0</v>
      </c>
      <c r="K482" s="15">
        <v>0</v>
      </c>
      <c r="L482" s="15">
        <v>0</v>
      </c>
      <c r="M482" s="15">
        <v>0</v>
      </c>
      <c r="N482" s="15">
        <v>0</v>
      </c>
      <c r="O482" s="15">
        <v>0</v>
      </c>
    </row>
    <row r="483" spans="1:15">
      <c r="A483" s="18" t="s">
        <v>798</v>
      </c>
      <c r="B483" s="19" t="s">
        <v>276</v>
      </c>
      <c r="C483" s="20" t="s">
        <v>404</v>
      </c>
      <c r="D483" s="20">
        <v>49</v>
      </c>
      <c r="E483" s="14">
        <v>450</v>
      </c>
      <c r="F483" s="15">
        <v>0</v>
      </c>
      <c r="G483" s="15">
        <v>0</v>
      </c>
      <c r="H483" s="15">
        <v>0</v>
      </c>
      <c r="I483" s="15">
        <v>0</v>
      </c>
      <c r="J483" s="15">
        <v>0</v>
      </c>
      <c r="K483" s="15">
        <v>0</v>
      </c>
      <c r="L483" s="15">
        <v>0</v>
      </c>
      <c r="M483" s="15">
        <v>0</v>
      </c>
      <c r="N483" s="15">
        <v>0</v>
      </c>
      <c r="O483" s="15">
        <v>0</v>
      </c>
    </row>
    <row r="484" spans="1:15">
      <c r="A484" s="18" t="s">
        <v>799</v>
      </c>
      <c r="B484" s="19" t="s">
        <v>276</v>
      </c>
      <c r="C484" s="20" t="s">
        <v>404</v>
      </c>
      <c r="D484" s="20">
        <v>50</v>
      </c>
      <c r="E484" s="14">
        <v>450</v>
      </c>
      <c r="F484" s="15">
        <v>0</v>
      </c>
      <c r="G484" s="15">
        <v>0</v>
      </c>
      <c r="H484" s="15">
        <v>0</v>
      </c>
      <c r="I484" s="15">
        <v>0</v>
      </c>
      <c r="J484" s="15">
        <v>0</v>
      </c>
      <c r="K484" s="15">
        <v>0</v>
      </c>
      <c r="L484" s="15">
        <v>0</v>
      </c>
      <c r="M484" s="15">
        <v>0</v>
      </c>
      <c r="N484" s="15">
        <v>0</v>
      </c>
      <c r="O484" s="15">
        <v>0</v>
      </c>
    </row>
    <row r="485" spans="1:15">
      <c r="A485" s="18" t="s">
        <v>800</v>
      </c>
      <c r="B485" s="19" t="s">
        <v>276</v>
      </c>
      <c r="C485" s="20" t="s">
        <v>404</v>
      </c>
      <c r="D485" s="20">
        <v>51</v>
      </c>
      <c r="E485" s="14">
        <v>450</v>
      </c>
      <c r="F485" s="15">
        <v>0</v>
      </c>
      <c r="G485" s="15">
        <v>0</v>
      </c>
      <c r="H485" s="15">
        <v>0</v>
      </c>
      <c r="I485" s="15">
        <v>0</v>
      </c>
      <c r="J485" s="15">
        <v>0</v>
      </c>
      <c r="K485" s="15">
        <v>0</v>
      </c>
      <c r="L485" s="15">
        <v>0</v>
      </c>
      <c r="M485" s="15">
        <v>0</v>
      </c>
      <c r="N485" s="15">
        <v>0</v>
      </c>
      <c r="O485" s="15">
        <v>0</v>
      </c>
    </row>
    <row r="486" spans="1:15">
      <c r="A486" s="18" t="s">
        <v>801</v>
      </c>
      <c r="B486" s="19" t="s">
        <v>276</v>
      </c>
      <c r="C486" s="20" t="s">
        <v>404</v>
      </c>
      <c r="D486" s="20">
        <v>52</v>
      </c>
      <c r="E486" s="14">
        <v>450</v>
      </c>
      <c r="F486" s="15">
        <v>0</v>
      </c>
      <c r="G486" s="15">
        <v>0</v>
      </c>
      <c r="H486" s="15">
        <v>0</v>
      </c>
      <c r="I486" s="15">
        <v>0</v>
      </c>
      <c r="J486" s="15">
        <v>0</v>
      </c>
      <c r="K486" s="15">
        <v>0</v>
      </c>
      <c r="L486" s="15">
        <v>0</v>
      </c>
      <c r="M486" s="15">
        <v>0</v>
      </c>
      <c r="N486" s="15">
        <v>0</v>
      </c>
      <c r="O486" s="15">
        <v>0</v>
      </c>
    </row>
    <row r="487" spans="1:15">
      <c r="A487" s="18" t="s">
        <v>802</v>
      </c>
      <c r="B487" s="19" t="s">
        <v>276</v>
      </c>
      <c r="C487" s="20" t="s">
        <v>404</v>
      </c>
      <c r="D487" s="20">
        <v>53</v>
      </c>
      <c r="E487" s="14">
        <v>450</v>
      </c>
      <c r="F487" s="15">
        <v>0</v>
      </c>
      <c r="G487" s="15">
        <v>0</v>
      </c>
      <c r="H487" s="15">
        <v>0</v>
      </c>
      <c r="I487" s="15">
        <v>0</v>
      </c>
      <c r="J487" s="15">
        <v>0</v>
      </c>
      <c r="K487" s="15">
        <v>0</v>
      </c>
      <c r="L487" s="15">
        <v>0</v>
      </c>
      <c r="M487" s="15">
        <v>0</v>
      </c>
      <c r="N487" s="15">
        <v>0</v>
      </c>
      <c r="O487" s="15">
        <v>0</v>
      </c>
    </row>
    <row r="488" spans="1:15">
      <c r="A488" s="18" t="s">
        <v>803</v>
      </c>
      <c r="B488" s="19" t="s">
        <v>276</v>
      </c>
      <c r="C488" s="20" t="s">
        <v>404</v>
      </c>
      <c r="D488" s="20">
        <v>54</v>
      </c>
      <c r="E488" s="14">
        <v>450</v>
      </c>
      <c r="F488" s="15">
        <v>0</v>
      </c>
      <c r="G488" s="15">
        <v>0</v>
      </c>
      <c r="H488" s="15">
        <v>0</v>
      </c>
      <c r="I488" s="15">
        <v>0</v>
      </c>
      <c r="J488" s="15">
        <v>0</v>
      </c>
      <c r="K488" s="15">
        <v>0</v>
      </c>
      <c r="L488" s="15">
        <v>0</v>
      </c>
      <c r="M488" s="15">
        <v>0</v>
      </c>
      <c r="N488" s="15">
        <v>0</v>
      </c>
      <c r="O488" s="15">
        <v>0</v>
      </c>
    </row>
    <row r="489" spans="1:15">
      <c r="A489" s="18" t="s">
        <v>804</v>
      </c>
      <c r="B489" s="19" t="s">
        <v>276</v>
      </c>
      <c r="C489" s="20" t="s">
        <v>404</v>
      </c>
      <c r="D489" s="20">
        <v>55</v>
      </c>
      <c r="E489" s="14">
        <v>450</v>
      </c>
      <c r="F489" s="15">
        <v>0</v>
      </c>
      <c r="G489" s="15">
        <v>0</v>
      </c>
      <c r="H489" s="15">
        <v>0</v>
      </c>
      <c r="I489" s="15">
        <v>0</v>
      </c>
      <c r="J489" s="15">
        <v>0</v>
      </c>
      <c r="K489" s="15">
        <v>0</v>
      </c>
      <c r="L489" s="15">
        <v>0</v>
      </c>
      <c r="M489" s="15">
        <v>0</v>
      </c>
      <c r="N489" s="15">
        <v>0</v>
      </c>
      <c r="O489" s="15">
        <v>0</v>
      </c>
    </row>
    <row r="490" spans="1:15">
      <c r="A490" s="18" t="s">
        <v>805</v>
      </c>
      <c r="B490" s="19" t="s">
        <v>276</v>
      </c>
      <c r="C490" s="20" t="s">
        <v>404</v>
      </c>
      <c r="D490" s="20">
        <v>56</v>
      </c>
      <c r="E490" s="14">
        <v>450</v>
      </c>
      <c r="F490" s="15">
        <v>0</v>
      </c>
      <c r="G490" s="15">
        <v>0</v>
      </c>
      <c r="H490" s="15">
        <v>0</v>
      </c>
      <c r="I490" s="15">
        <v>0</v>
      </c>
      <c r="J490" s="15">
        <v>0</v>
      </c>
      <c r="K490" s="15">
        <v>0</v>
      </c>
      <c r="L490" s="15">
        <v>0</v>
      </c>
      <c r="M490" s="15">
        <v>0</v>
      </c>
      <c r="N490" s="15">
        <v>0</v>
      </c>
      <c r="O490" s="15">
        <v>0</v>
      </c>
    </row>
    <row r="491" spans="1:15">
      <c r="A491" s="18" t="s">
        <v>806</v>
      </c>
      <c r="B491" s="19" t="s">
        <v>276</v>
      </c>
      <c r="C491" s="20" t="s">
        <v>404</v>
      </c>
      <c r="D491" s="20">
        <v>57</v>
      </c>
      <c r="E491" s="14">
        <v>450</v>
      </c>
      <c r="F491" s="15">
        <v>0</v>
      </c>
      <c r="G491" s="15">
        <v>0</v>
      </c>
      <c r="H491" s="15">
        <v>0</v>
      </c>
      <c r="I491" s="15">
        <v>0</v>
      </c>
      <c r="J491" s="15">
        <v>0</v>
      </c>
      <c r="K491" s="15">
        <v>0</v>
      </c>
      <c r="L491" s="15">
        <v>0</v>
      </c>
      <c r="M491" s="15">
        <v>0</v>
      </c>
      <c r="N491" s="15">
        <v>0</v>
      </c>
      <c r="O491" s="15">
        <v>0</v>
      </c>
    </row>
    <row r="492" spans="1:15">
      <c r="A492" s="18" t="s">
        <v>807</v>
      </c>
      <c r="B492" s="19" t="s">
        <v>276</v>
      </c>
      <c r="C492" s="20" t="s">
        <v>404</v>
      </c>
      <c r="D492" s="20">
        <v>58</v>
      </c>
      <c r="E492" s="14">
        <v>450</v>
      </c>
      <c r="F492" s="15">
        <v>0</v>
      </c>
      <c r="G492" s="15">
        <v>0</v>
      </c>
      <c r="H492" s="15">
        <v>0</v>
      </c>
      <c r="I492" s="15">
        <v>0</v>
      </c>
      <c r="J492" s="15">
        <v>0</v>
      </c>
      <c r="K492" s="15">
        <v>0</v>
      </c>
      <c r="L492" s="15">
        <v>0</v>
      </c>
      <c r="M492" s="15">
        <v>0</v>
      </c>
      <c r="N492" s="15">
        <v>0</v>
      </c>
      <c r="O492" s="15">
        <v>0</v>
      </c>
    </row>
    <row r="493" spans="1:15">
      <c r="A493" s="18" t="s">
        <v>808</v>
      </c>
      <c r="B493" s="19" t="s">
        <v>276</v>
      </c>
      <c r="C493" s="20" t="s">
        <v>404</v>
      </c>
      <c r="D493" s="20">
        <v>59</v>
      </c>
      <c r="E493" s="14">
        <v>450</v>
      </c>
      <c r="F493" s="15">
        <v>0</v>
      </c>
      <c r="G493" s="15">
        <v>0</v>
      </c>
      <c r="H493" s="15">
        <v>0</v>
      </c>
      <c r="I493" s="15">
        <v>0</v>
      </c>
      <c r="J493" s="15">
        <v>0</v>
      </c>
      <c r="K493" s="15">
        <v>0</v>
      </c>
      <c r="L493" s="15">
        <v>0</v>
      </c>
      <c r="M493" s="15">
        <v>0</v>
      </c>
      <c r="N493" s="15">
        <v>0</v>
      </c>
      <c r="O493" s="15">
        <v>0</v>
      </c>
    </row>
    <row r="494" spans="1:15">
      <c r="A494" s="18" t="s">
        <v>809</v>
      </c>
      <c r="B494" s="19" t="s">
        <v>276</v>
      </c>
      <c r="C494" s="20" t="s">
        <v>404</v>
      </c>
      <c r="D494" s="20">
        <v>60</v>
      </c>
      <c r="E494" s="14">
        <v>450</v>
      </c>
      <c r="F494" s="15">
        <v>0</v>
      </c>
      <c r="G494" s="15">
        <v>0</v>
      </c>
      <c r="H494" s="15">
        <v>0</v>
      </c>
      <c r="I494" s="15">
        <v>0</v>
      </c>
      <c r="J494" s="15">
        <v>0</v>
      </c>
      <c r="K494" s="15">
        <v>0</v>
      </c>
      <c r="L494" s="15">
        <v>0</v>
      </c>
      <c r="M494" s="15">
        <v>0</v>
      </c>
      <c r="N494" s="15">
        <v>0</v>
      </c>
      <c r="O494" s="15">
        <v>0</v>
      </c>
    </row>
    <row r="495" spans="1:15">
      <c r="A495" s="18" t="s">
        <v>810</v>
      </c>
      <c r="B495" s="19" t="s">
        <v>276</v>
      </c>
      <c r="C495" s="20" t="s">
        <v>404</v>
      </c>
      <c r="D495" s="20">
        <v>61</v>
      </c>
      <c r="E495" s="14">
        <v>450</v>
      </c>
      <c r="F495" s="15">
        <v>0</v>
      </c>
      <c r="G495" s="15">
        <v>0</v>
      </c>
      <c r="H495" s="15">
        <v>0</v>
      </c>
      <c r="I495" s="15">
        <v>0</v>
      </c>
      <c r="J495" s="15">
        <v>0</v>
      </c>
      <c r="K495" s="15">
        <v>0</v>
      </c>
      <c r="L495" s="15">
        <v>0</v>
      </c>
      <c r="M495" s="15">
        <v>0</v>
      </c>
      <c r="N495" s="15">
        <v>0</v>
      </c>
      <c r="O495" s="15">
        <v>0</v>
      </c>
    </row>
    <row r="496" spans="1:15">
      <c r="A496" s="18" t="s">
        <v>811</v>
      </c>
      <c r="B496" s="19" t="s">
        <v>276</v>
      </c>
      <c r="C496" s="20" t="s">
        <v>404</v>
      </c>
      <c r="D496" s="20">
        <v>62</v>
      </c>
      <c r="E496" s="14">
        <v>450</v>
      </c>
      <c r="F496" s="15">
        <v>0</v>
      </c>
      <c r="G496" s="15">
        <v>0</v>
      </c>
      <c r="H496" s="15">
        <v>0</v>
      </c>
      <c r="I496" s="15">
        <v>0</v>
      </c>
      <c r="J496" s="15">
        <v>0</v>
      </c>
      <c r="K496" s="15">
        <v>0</v>
      </c>
      <c r="L496" s="15">
        <v>0</v>
      </c>
      <c r="M496" s="15">
        <v>0</v>
      </c>
      <c r="N496" s="15">
        <v>0</v>
      </c>
      <c r="O496" s="15">
        <v>0</v>
      </c>
    </row>
    <row r="497" spans="1:15">
      <c r="A497" s="18" t="s">
        <v>812</v>
      </c>
      <c r="B497" s="19" t="s">
        <v>276</v>
      </c>
      <c r="C497" s="20" t="s">
        <v>404</v>
      </c>
      <c r="D497" s="20">
        <v>63</v>
      </c>
      <c r="E497" s="14">
        <v>450</v>
      </c>
      <c r="F497" s="15">
        <v>0</v>
      </c>
      <c r="G497" s="15">
        <v>0</v>
      </c>
      <c r="H497" s="15">
        <v>0</v>
      </c>
      <c r="I497" s="15">
        <v>0</v>
      </c>
      <c r="J497" s="15">
        <v>0</v>
      </c>
      <c r="K497" s="15">
        <v>0</v>
      </c>
      <c r="L497" s="15">
        <v>0</v>
      </c>
      <c r="M497" s="15">
        <v>0</v>
      </c>
      <c r="N497" s="15">
        <v>0</v>
      </c>
      <c r="O497" s="15">
        <v>0</v>
      </c>
    </row>
    <row r="498" spans="1:15">
      <c r="A498" s="18" t="s">
        <v>813</v>
      </c>
      <c r="B498" s="19" t="s">
        <v>276</v>
      </c>
      <c r="C498" s="20" t="s">
        <v>404</v>
      </c>
      <c r="D498" s="20">
        <v>64</v>
      </c>
      <c r="E498" s="14">
        <v>450</v>
      </c>
      <c r="F498" s="15">
        <v>0</v>
      </c>
      <c r="G498" s="15">
        <v>0</v>
      </c>
      <c r="H498" s="15">
        <v>0</v>
      </c>
      <c r="I498" s="15">
        <v>0</v>
      </c>
      <c r="J498" s="15">
        <v>0</v>
      </c>
      <c r="K498" s="15">
        <v>0</v>
      </c>
      <c r="L498" s="15">
        <v>0</v>
      </c>
      <c r="M498" s="15">
        <v>0</v>
      </c>
      <c r="N498" s="15">
        <v>0</v>
      </c>
      <c r="O498" s="15">
        <v>0</v>
      </c>
    </row>
    <row r="499" spans="1:15">
      <c r="A499" s="18" t="s">
        <v>814</v>
      </c>
      <c r="B499" s="19" t="s">
        <v>276</v>
      </c>
      <c r="C499" s="20" t="s">
        <v>404</v>
      </c>
      <c r="D499" s="20">
        <v>65</v>
      </c>
      <c r="E499" s="14">
        <v>450</v>
      </c>
      <c r="F499" s="15">
        <v>0</v>
      </c>
      <c r="G499" s="15">
        <v>0</v>
      </c>
      <c r="H499" s="15">
        <v>0</v>
      </c>
      <c r="I499" s="15">
        <v>0</v>
      </c>
      <c r="J499" s="15">
        <v>0</v>
      </c>
      <c r="K499" s="15">
        <v>0</v>
      </c>
      <c r="L499" s="15">
        <v>0</v>
      </c>
      <c r="M499" s="15">
        <v>0</v>
      </c>
      <c r="N499" s="15">
        <v>0</v>
      </c>
      <c r="O499" s="15">
        <v>0</v>
      </c>
    </row>
    <row r="500" spans="1:15">
      <c r="A500" s="18" t="s">
        <v>815</v>
      </c>
      <c r="B500" s="19" t="s">
        <v>276</v>
      </c>
      <c r="C500" s="20" t="s">
        <v>404</v>
      </c>
      <c r="D500" s="20">
        <v>66</v>
      </c>
      <c r="E500" s="14">
        <v>450</v>
      </c>
      <c r="F500" s="15">
        <v>0</v>
      </c>
      <c r="G500" s="15">
        <v>0</v>
      </c>
      <c r="H500" s="15">
        <v>0</v>
      </c>
      <c r="I500" s="15">
        <v>0</v>
      </c>
      <c r="J500" s="15">
        <v>0</v>
      </c>
      <c r="K500" s="15">
        <v>0</v>
      </c>
      <c r="L500" s="15">
        <v>0</v>
      </c>
      <c r="M500" s="15">
        <v>0</v>
      </c>
      <c r="N500" s="15">
        <v>0</v>
      </c>
      <c r="O500" s="15">
        <v>0</v>
      </c>
    </row>
    <row r="501" spans="1:15">
      <c r="A501" s="18" t="s">
        <v>816</v>
      </c>
      <c r="B501" s="19" t="s">
        <v>276</v>
      </c>
      <c r="C501" s="20" t="s">
        <v>404</v>
      </c>
      <c r="D501" s="20">
        <v>67</v>
      </c>
      <c r="E501" s="14">
        <v>450</v>
      </c>
      <c r="F501" s="15">
        <v>0</v>
      </c>
      <c r="G501" s="15">
        <v>0</v>
      </c>
      <c r="H501" s="15">
        <v>0</v>
      </c>
      <c r="I501" s="15">
        <v>0</v>
      </c>
      <c r="J501" s="15">
        <v>0</v>
      </c>
      <c r="K501" s="15">
        <v>0</v>
      </c>
      <c r="L501" s="15">
        <v>0</v>
      </c>
      <c r="M501" s="15">
        <v>0</v>
      </c>
      <c r="N501" s="15">
        <v>0</v>
      </c>
      <c r="O501" s="15">
        <v>0</v>
      </c>
    </row>
    <row r="502" spans="1:15">
      <c r="A502" s="18" t="s">
        <v>817</v>
      </c>
      <c r="B502" s="19" t="s">
        <v>276</v>
      </c>
      <c r="C502" s="20" t="s">
        <v>404</v>
      </c>
      <c r="D502" s="20">
        <v>68</v>
      </c>
      <c r="E502" s="14">
        <v>450</v>
      </c>
      <c r="F502" s="15">
        <v>0</v>
      </c>
      <c r="G502" s="15">
        <v>0</v>
      </c>
      <c r="H502" s="15">
        <v>0</v>
      </c>
      <c r="I502" s="15">
        <v>0</v>
      </c>
      <c r="J502" s="15">
        <v>0</v>
      </c>
      <c r="K502" s="15">
        <v>0</v>
      </c>
      <c r="L502" s="15">
        <v>0</v>
      </c>
      <c r="M502" s="15">
        <v>0</v>
      </c>
      <c r="N502" s="15">
        <v>0</v>
      </c>
      <c r="O502" s="15">
        <v>0</v>
      </c>
    </row>
    <row r="503" spans="1:15">
      <c r="A503" s="18" t="s">
        <v>818</v>
      </c>
      <c r="B503" s="19" t="s">
        <v>276</v>
      </c>
      <c r="C503" s="20" t="s">
        <v>404</v>
      </c>
      <c r="D503" s="20">
        <v>69</v>
      </c>
      <c r="E503" s="14">
        <v>450</v>
      </c>
      <c r="F503" s="15">
        <v>0</v>
      </c>
      <c r="G503" s="15">
        <v>0</v>
      </c>
      <c r="H503" s="15">
        <v>0</v>
      </c>
      <c r="I503" s="15">
        <v>0</v>
      </c>
      <c r="J503" s="15">
        <v>0</v>
      </c>
      <c r="K503" s="15">
        <v>0</v>
      </c>
      <c r="L503" s="15">
        <v>0</v>
      </c>
      <c r="M503" s="15">
        <v>0</v>
      </c>
      <c r="N503" s="15">
        <v>0</v>
      </c>
      <c r="O503" s="15">
        <v>0</v>
      </c>
    </row>
    <row r="504" spans="1:15">
      <c r="A504" s="18" t="s">
        <v>819</v>
      </c>
      <c r="B504" s="19" t="s">
        <v>276</v>
      </c>
      <c r="C504" s="20" t="s">
        <v>404</v>
      </c>
      <c r="D504" s="20">
        <v>70</v>
      </c>
      <c r="E504" s="14">
        <v>450</v>
      </c>
      <c r="F504" s="15">
        <v>0</v>
      </c>
      <c r="G504" s="15">
        <v>0</v>
      </c>
      <c r="H504" s="15">
        <v>0</v>
      </c>
      <c r="I504" s="15">
        <v>0</v>
      </c>
      <c r="J504" s="15">
        <v>0</v>
      </c>
      <c r="K504" s="15">
        <v>0</v>
      </c>
      <c r="L504" s="15">
        <v>0</v>
      </c>
      <c r="M504" s="15">
        <v>0</v>
      </c>
      <c r="N504" s="15">
        <v>0</v>
      </c>
      <c r="O504" s="15">
        <v>0</v>
      </c>
    </row>
    <row r="505" spans="1:15">
      <c r="A505" s="18" t="s">
        <v>820</v>
      </c>
      <c r="B505" s="19" t="s">
        <v>276</v>
      </c>
      <c r="C505" s="20" t="s">
        <v>404</v>
      </c>
      <c r="D505" s="20">
        <v>71</v>
      </c>
      <c r="E505" s="14">
        <v>450</v>
      </c>
      <c r="F505" s="15">
        <v>0</v>
      </c>
      <c r="G505" s="15">
        <v>0</v>
      </c>
      <c r="H505" s="15">
        <v>0</v>
      </c>
      <c r="I505" s="15">
        <v>0</v>
      </c>
      <c r="J505" s="15">
        <v>0</v>
      </c>
      <c r="K505" s="15">
        <v>0</v>
      </c>
      <c r="L505" s="15">
        <v>0</v>
      </c>
      <c r="M505" s="15">
        <v>0</v>
      </c>
      <c r="N505" s="15">
        <v>0</v>
      </c>
      <c r="O505" s="15">
        <v>0</v>
      </c>
    </row>
    <row r="506" spans="1:15">
      <c r="A506" s="18" t="s">
        <v>821</v>
      </c>
      <c r="B506" s="19" t="s">
        <v>276</v>
      </c>
      <c r="C506" s="20" t="s">
        <v>404</v>
      </c>
      <c r="D506" s="20">
        <v>72</v>
      </c>
      <c r="E506" s="14">
        <v>450</v>
      </c>
      <c r="F506" s="15">
        <v>0</v>
      </c>
      <c r="G506" s="15">
        <v>0</v>
      </c>
      <c r="H506" s="15">
        <v>0</v>
      </c>
      <c r="I506" s="15">
        <v>0</v>
      </c>
      <c r="J506" s="15">
        <v>0</v>
      </c>
      <c r="K506" s="15">
        <v>0</v>
      </c>
      <c r="L506" s="15">
        <v>0</v>
      </c>
      <c r="M506" s="15">
        <v>0</v>
      </c>
      <c r="N506" s="15">
        <v>0</v>
      </c>
      <c r="O506" s="15">
        <v>0</v>
      </c>
    </row>
    <row r="507" spans="1:15">
      <c r="A507" s="18" t="s">
        <v>822</v>
      </c>
      <c r="B507" s="19" t="s">
        <v>276</v>
      </c>
      <c r="C507" s="20" t="s">
        <v>404</v>
      </c>
      <c r="D507" s="20">
        <v>73</v>
      </c>
      <c r="E507" s="14">
        <v>450</v>
      </c>
      <c r="F507" s="15">
        <v>0</v>
      </c>
      <c r="G507" s="15">
        <v>0</v>
      </c>
      <c r="H507" s="15">
        <v>0</v>
      </c>
      <c r="I507" s="15">
        <v>0</v>
      </c>
      <c r="J507" s="15">
        <v>0</v>
      </c>
      <c r="K507" s="15">
        <v>0</v>
      </c>
      <c r="L507" s="15">
        <v>0</v>
      </c>
      <c r="M507" s="15">
        <v>0</v>
      </c>
      <c r="N507" s="15">
        <v>0</v>
      </c>
      <c r="O507" s="15">
        <v>0</v>
      </c>
    </row>
    <row r="508" spans="1:15">
      <c r="A508" s="18" t="s">
        <v>823</v>
      </c>
      <c r="B508" s="19" t="s">
        <v>276</v>
      </c>
      <c r="C508" s="20" t="s">
        <v>404</v>
      </c>
      <c r="D508" s="20">
        <v>74</v>
      </c>
      <c r="E508" s="14">
        <v>450</v>
      </c>
      <c r="F508" s="15">
        <v>0</v>
      </c>
      <c r="G508" s="15">
        <v>0</v>
      </c>
      <c r="H508" s="15">
        <v>0</v>
      </c>
      <c r="I508" s="15">
        <v>0</v>
      </c>
      <c r="J508" s="15">
        <v>0</v>
      </c>
      <c r="K508" s="15">
        <v>0</v>
      </c>
      <c r="L508" s="15">
        <v>0</v>
      </c>
      <c r="M508" s="15">
        <v>0</v>
      </c>
      <c r="N508" s="15">
        <v>0</v>
      </c>
      <c r="O508" s="15">
        <v>0</v>
      </c>
    </row>
    <row r="509" spans="1:15">
      <c r="A509" s="18" t="s">
        <v>824</v>
      </c>
      <c r="B509" s="19" t="s">
        <v>276</v>
      </c>
      <c r="C509" s="20" t="s">
        <v>404</v>
      </c>
      <c r="D509" s="20">
        <v>75</v>
      </c>
      <c r="E509" s="14">
        <v>450</v>
      </c>
      <c r="F509" s="15">
        <v>0</v>
      </c>
      <c r="G509" s="15">
        <v>0</v>
      </c>
      <c r="H509" s="15">
        <v>0</v>
      </c>
      <c r="I509" s="15">
        <v>0</v>
      </c>
      <c r="J509" s="15">
        <v>0</v>
      </c>
      <c r="K509" s="15">
        <v>0</v>
      </c>
      <c r="L509" s="15">
        <v>0</v>
      </c>
      <c r="M509" s="15">
        <v>0</v>
      </c>
      <c r="N509" s="15">
        <v>0</v>
      </c>
      <c r="O509" s="15">
        <v>0</v>
      </c>
    </row>
    <row r="510" spans="1:15">
      <c r="A510" s="18" t="s">
        <v>825</v>
      </c>
      <c r="B510" s="19" t="s">
        <v>276</v>
      </c>
      <c r="C510" s="20" t="s">
        <v>404</v>
      </c>
      <c r="D510" s="20">
        <v>76</v>
      </c>
      <c r="E510" s="14">
        <v>450</v>
      </c>
      <c r="F510" s="15">
        <v>0</v>
      </c>
      <c r="G510" s="15">
        <v>0</v>
      </c>
      <c r="H510" s="15">
        <v>0</v>
      </c>
      <c r="I510" s="15">
        <v>0</v>
      </c>
      <c r="J510" s="15">
        <v>0</v>
      </c>
      <c r="K510" s="15">
        <v>0</v>
      </c>
      <c r="L510" s="15">
        <v>0</v>
      </c>
      <c r="M510" s="15">
        <v>0</v>
      </c>
      <c r="N510" s="15">
        <v>0</v>
      </c>
      <c r="O510" s="15">
        <v>0</v>
      </c>
    </row>
    <row r="511" spans="1:15">
      <c r="A511" s="18" t="s">
        <v>826</v>
      </c>
      <c r="B511" s="19" t="s">
        <v>276</v>
      </c>
      <c r="C511" s="20" t="s">
        <v>404</v>
      </c>
      <c r="D511" s="20">
        <v>77</v>
      </c>
      <c r="E511" s="14">
        <v>450</v>
      </c>
      <c r="F511" s="15">
        <v>0</v>
      </c>
      <c r="G511" s="15">
        <v>0</v>
      </c>
      <c r="H511" s="15">
        <v>0</v>
      </c>
      <c r="I511" s="15">
        <v>0</v>
      </c>
      <c r="J511" s="15">
        <v>0</v>
      </c>
      <c r="K511" s="15">
        <v>0</v>
      </c>
      <c r="L511" s="15">
        <v>0</v>
      </c>
      <c r="M511" s="15">
        <v>0</v>
      </c>
      <c r="N511" s="15">
        <v>0</v>
      </c>
      <c r="O511" s="15">
        <v>0</v>
      </c>
    </row>
    <row r="512" spans="1:15">
      <c r="A512" s="18" t="s">
        <v>827</v>
      </c>
      <c r="B512" s="19" t="s">
        <v>276</v>
      </c>
      <c r="C512" s="20" t="s">
        <v>404</v>
      </c>
      <c r="D512" s="20">
        <v>78</v>
      </c>
      <c r="E512" s="14">
        <v>450</v>
      </c>
      <c r="F512" s="15">
        <v>0</v>
      </c>
      <c r="G512" s="15">
        <v>0</v>
      </c>
      <c r="H512" s="15">
        <v>0</v>
      </c>
      <c r="I512" s="15">
        <v>0</v>
      </c>
      <c r="J512" s="15">
        <v>0</v>
      </c>
      <c r="K512" s="15">
        <v>0</v>
      </c>
      <c r="L512" s="15">
        <v>0</v>
      </c>
      <c r="M512" s="15">
        <v>0</v>
      </c>
      <c r="N512" s="15">
        <v>0</v>
      </c>
      <c r="O512" s="15">
        <v>0</v>
      </c>
    </row>
    <row r="513" spans="1:15">
      <c r="A513" s="18" t="s">
        <v>828</v>
      </c>
      <c r="B513" s="19" t="s">
        <v>276</v>
      </c>
      <c r="C513" s="20" t="s">
        <v>404</v>
      </c>
      <c r="D513" s="20">
        <v>79</v>
      </c>
      <c r="E513" s="14">
        <v>450</v>
      </c>
      <c r="F513" s="15">
        <v>0</v>
      </c>
      <c r="G513" s="15">
        <v>0</v>
      </c>
      <c r="H513" s="15">
        <v>0</v>
      </c>
      <c r="I513" s="15">
        <v>0</v>
      </c>
      <c r="J513" s="15">
        <v>0</v>
      </c>
      <c r="K513" s="15">
        <v>0</v>
      </c>
      <c r="L513" s="15">
        <v>0</v>
      </c>
      <c r="M513" s="15">
        <v>0</v>
      </c>
      <c r="N513" s="15">
        <v>0</v>
      </c>
      <c r="O513" s="15">
        <v>0</v>
      </c>
    </row>
    <row r="514" spans="1:15">
      <c r="A514" s="18" t="s">
        <v>829</v>
      </c>
      <c r="B514" s="19" t="s">
        <v>276</v>
      </c>
      <c r="C514" s="20" t="s">
        <v>404</v>
      </c>
      <c r="D514" s="20">
        <v>80</v>
      </c>
      <c r="E514" s="14">
        <v>450</v>
      </c>
      <c r="F514" s="15">
        <v>0</v>
      </c>
      <c r="G514" s="15">
        <v>0</v>
      </c>
      <c r="H514" s="15">
        <v>0</v>
      </c>
      <c r="I514" s="15">
        <v>0</v>
      </c>
      <c r="J514" s="15">
        <v>0</v>
      </c>
      <c r="K514" s="15">
        <v>0</v>
      </c>
      <c r="L514" s="15">
        <v>0</v>
      </c>
      <c r="M514" s="15">
        <v>0</v>
      </c>
      <c r="N514" s="15">
        <v>0</v>
      </c>
      <c r="O514" s="15">
        <v>0</v>
      </c>
    </row>
    <row r="515" spans="1:15">
      <c r="A515" s="18" t="s">
        <v>830</v>
      </c>
      <c r="B515" s="19" t="s">
        <v>276</v>
      </c>
      <c r="C515" s="20" t="s">
        <v>404</v>
      </c>
      <c r="D515" s="20">
        <v>81</v>
      </c>
      <c r="E515" s="14">
        <v>450</v>
      </c>
      <c r="F515" s="15">
        <v>0</v>
      </c>
      <c r="G515" s="15">
        <v>0</v>
      </c>
      <c r="H515" s="15">
        <v>0</v>
      </c>
      <c r="I515" s="15">
        <v>0</v>
      </c>
      <c r="J515" s="15">
        <v>0</v>
      </c>
      <c r="K515" s="15">
        <v>0</v>
      </c>
      <c r="L515" s="15">
        <v>0</v>
      </c>
      <c r="M515" s="15">
        <v>0</v>
      </c>
      <c r="N515" s="15">
        <v>0</v>
      </c>
      <c r="O515" s="15">
        <v>0</v>
      </c>
    </row>
    <row r="516" spans="1:15">
      <c r="A516" s="18" t="s">
        <v>831</v>
      </c>
      <c r="B516" s="19" t="s">
        <v>276</v>
      </c>
      <c r="C516" s="20" t="s">
        <v>404</v>
      </c>
      <c r="D516" s="20">
        <v>82</v>
      </c>
      <c r="E516" s="14">
        <v>450</v>
      </c>
      <c r="F516" s="15">
        <v>0</v>
      </c>
      <c r="G516" s="15">
        <v>0</v>
      </c>
      <c r="H516" s="15">
        <v>0</v>
      </c>
      <c r="I516" s="15">
        <v>0</v>
      </c>
      <c r="J516" s="15">
        <v>0</v>
      </c>
      <c r="K516" s="15">
        <v>0</v>
      </c>
      <c r="L516" s="15">
        <v>0</v>
      </c>
      <c r="M516" s="15">
        <v>0</v>
      </c>
      <c r="N516" s="15">
        <v>0</v>
      </c>
      <c r="O516" s="15">
        <v>0</v>
      </c>
    </row>
    <row r="517" spans="1:15">
      <c r="A517" s="18" t="s">
        <v>832</v>
      </c>
      <c r="B517" s="19" t="s">
        <v>276</v>
      </c>
      <c r="C517" s="20" t="s">
        <v>404</v>
      </c>
      <c r="D517" s="20">
        <v>83</v>
      </c>
      <c r="E517" s="14">
        <v>450</v>
      </c>
      <c r="F517" s="15">
        <v>0</v>
      </c>
      <c r="G517" s="15">
        <v>0</v>
      </c>
      <c r="H517" s="15">
        <v>0</v>
      </c>
      <c r="I517" s="15">
        <v>0</v>
      </c>
      <c r="J517" s="15">
        <v>0</v>
      </c>
      <c r="K517" s="15">
        <v>0</v>
      </c>
      <c r="L517" s="15">
        <v>0</v>
      </c>
      <c r="M517" s="15">
        <v>0</v>
      </c>
      <c r="N517" s="15">
        <v>0</v>
      </c>
      <c r="O517" s="15">
        <v>0</v>
      </c>
    </row>
    <row r="518" spans="1:15">
      <c r="A518" s="18" t="s">
        <v>833</v>
      </c>
      <c r="B518" s="19" t="s">
        <v>276</v>
      </c>
      <c r="C518" s="20" t="s">
        <v>404</v>
      </c>
      <c r="D518" s="20">
        <v>84</v>
      </c>
      <c r="E518" s="14">
        <v>450</v>
      </c>
      <c r="F518" s="15">
        <v>0</v>
      </c>
      <c r="G518" s="15">
        <v>0</v>
      </c>
      <c r="H518" s="15">
        <v>0</v>
      </c>
      <c r="I518" s="15">
        <v>0</v>
      </c>
      <c r="J518" s="15">
        <v>0</v>
      </c>
      <c r="K518" s="15">
        <v>0</v>
      </c>
      <c r="L518" s="15">
        <v>0</v>
      </c>
      <c r="M518" s="15">
        <v>0</v>
      </c>
      <c r="N518" s="15">
        <v>0</v>
      </c>
      <c r="O518" s="15">
        <v>0</v>
      </c>
    </row>
    <row r="519" spans="1:15">
      <c r="A519" s="18" t="s">
        <v>834</v>
      </c>
      <c r="B519" s="19" t="s">
        <v>276</v>
      </c>
      <c r="C519" s="20" t="s">
        <v>404</v>
      </c>
      <c r="D519" s="20">
        <v>85</v>
      </c>
      <c r="E519" s="14">
        <v>450</v>
      </c>
      <c r="F519" s="15">
        <v>0</v>
      </c>
      <c r="G519" s="15">
        <v>0</v>
      </c>
      <c r="H519" s="15">
        <v>0</v>
      </c>
      <c r="I519" s="15">
        <v>0</v>
      </c>
      <c r="J519" s="15">
        <v>0</v>
      </c>
      <c r="K519" s="15">
        <v>0</v>
      </c>
      <c r="L519" s="15">
        <v>0</v>
      </c>
      <c r="M519" s="15">
        <v>0</v>
      </c>
      <c r="N519" s="15">
        <v>0</v>
      </c>
      <c r="O519" s="15">
        <v>0</v>
      </c>
    </row>
    <row r="520" spans="1:15">
      <c r="A520" s="18" t="s">
        <v>835</v>
      </c>
      <c r="B520" s="19" t="s">
        <v>836</v>
      </c>
      <c r="C520" s="20" t="s">
        <v>317</v>
      </c>
      <c r="D520" s="20">
        <v>0</v>
      </c>
      <c r="E520" s="14">
        <v>450</v>
      </c>
      <c r="F520" s="15">
        <v>0</v>
      </c>
      <c r="G520" s="15">
        <v>0</v>
      </c>
      <c r="H520" s="15">
        <v>0</v>
      </c>
      <c r="I520" s="15">
        <v>0</v>
      </c>
      <c r="J520" s="15">
        <v>0</v>
      </c>
      <c r="K520" s="15">
        <v>0</v>
      </c>
      <c r="L520" s="15">
        <v>0</v>
      </c>
      <c r="M520" s="15">
        <v>0</v>
      </c>
      <c r="N520" s="15">
        <v>0</v>
      </c>
      <c r="O520" s="15">
        <v>0</v>
      </c>
    </row>
    <row r="521" spans="1:15">
      <c r="A521" s="18" t="s">
        <v>837</v>
      </c>
      <c r="B521" s="19" t="s">
        <v>836</v>
      </c>
      <c r="C521" s="20" t="s">
        <v>317</v>
      </c>
      <c r="D521" s="20">
        <v>1</v>
      </c>
      <c r="E521" s="14">
        <v>450</v>
      </c>
      <c r="F521" s="15">
        <v>0</v>
      </c>
      <c r="G521" s="15">
        <v>0</v>
      </c>
      <c r="H521" s="15">
        <v>0</v>
      </c>
      <c r="I521" s="15">
        <v>0</v>
      </c>
      <c r="J521" s="15">
        <v>0</v>
      </c>
      <c r="K521" s="15">
        <v>0</v>
      </c>
      <c r="L521" s="15">
        <v>0</v>
      </c>
      <c r="M521" s="15">
        <v>0</v>
      </c>
      <c r="N521" s="15">
        <v>0</v>
      </c>
      <c r="O521" s="15">
        <v>0</v>
      </c>
    </row>
    <row r="522" spans="1:15">
      <c r="A522" s="18" t="s">
        <v>838</v>
      </c>
      <c r="B522" s="19" t="s">
        <v>836</v>
      </c>
      <c r="C522" s="20" t="s">
        <v>317</v>
      </c>
      <c r="D522" s="20">
        <v>2</v>
      </c>
      <c r="E522" s="14">
        <v>450</v>
      </c>
      <c r="F522" s="15">
        <v>0</v>
      </c>
      <c r="G522" s="15">
        <v>0</v>
      </c>
      <c r="H522" s="15">
        <v>0</v>
      </c>
      <c r="I522" s="15">
        <v>0</v>
      </c>
      <c r="J522" s="15">
        <v>0</v>
      </c>
      <c r="K522" s="15">
        <v>0</v>
      </c>
      <c r="L522" s="15">
        <v>0</v>
      </c>
      <c r="M522" s="15">
        <v>0</v>
      </c>
      <c r="N522" s="15">
        <v>0</v>
      </c>
      <c r="O522" s="15">
        <v>0</v>
      </c>
    </row>
    <row r="523" spans="1:15">
      <c r="A523" s="18" t="s">
        <v>839</v>
      </c>
      <c r="B523" s="19" t="s">
        <v>836</v>
      </c>
      <c r="C523" s="20" t="s">
        <v>317</v>
      </c>
      <c r="D523" s="20">
        <v>3</v>
      </c>
      <c r="E523" s="14">
        <v>450</v>
      </c>
      <c r="F523" s="15">
        <v>0</v>
      </c>
      <c r="G523" s="15">
        <v>0</v>
      </c>
      <c r="H523" s="15">
        <v>0</v>
      </c>
      <c r="I523" s="15">
        <v>0</v>
      </c>
      <c r="J523" s="15">
        <v>0</v>
      </c>
      <c r="K523" s="15">
        <v>0</v>
      </c>
      <c r="L523" s="15">
        <v>0</v>
      </c>
      <c r="M523" s="15">
        <v>0</v>
      </c>
      <c r="N523" s="15">
        <v>0</v>
      </c>
      <c r="O523" s="15">
        <v>0</v>
      </c>
    </row>
    <row r="524" spans="1:15">
      <c r="A524" s="18" t="s">
        <v>840</v>
      </c>
      <c r="B524" s="19" t="s">
        <v>836</v>
      </c>
      <c r="C524" s="20" t="s">
        <v>317</v>
      </c>
      <c r="D524" s="20">
        <v>4</v>
      </c>
      <c r="E524" s="14">
        <v>450</v>
      </c>
      <c r="F524" s="15">
        <v>0</v>
      </c>
      <c r="G524" s="15">
        <v>0</v>
      </c>
      <c r="H524" s="15">
        <v>0</v>
      </c>
      <c r="I524" s="15">
        <v>0</v>
      </c>
      <c r="J524" s="15">
        <v>0</v>
      </c>
      <c r="K524" s="15">
        <v>0</v>
      </c>
      <c r="L524" s="15">
        <v>0</v>
      </c>
      <c r="M524" s="15">
        <v>0</v>
      </c>
      <c r="N524" s="15">
        <v>0</v>
      </c>
      <c r="O524" s="15">
        <v>0</v>
      </c>
    </row>
    <row r="525" spans="1:15">
      <c r="A525" s="18" t="s">
        <v>841</v>
      </c>
      <c r="B525" s="19" t="s">
        <v>836</v>
      </c>
      <c r="C525" s="20" t="s">
        <v>317</v>
      </c>
      <c r="D525" s="20">
        <v>5</v>
      </c>
      <c r="E525" s="14">
        <v>450</v>
      </c>
      <c r="F525" s="15">
        <v>0</v>
      </c>
      <c r="G525" s="15">
        <v>0</v>
      </c>
      <c r="H525" s="15">
        <v>0</v>
      </c>
      <c r="I525" s="15">
        <v>0</v>
      </c>
      <c r="J525" s="15">
        <v>0</v>
      </c>
      <c r="K525" s="15">
        <v>0</v>
      </c>
      <c r="L525" s="15">
        <v>0</v>
      </c>
      <c r="M525" s="15">
        <v>0</v>
      </c>
      <c r="N525" s="15">
        <v>0</v>
      </c>
      <c r="O525" s="15">
        <v>0</v>
      </c>
    </row>
    <row r="526" spans="1:15">
      <c r="A526" s="18" t="s">
        <v>842</v>
      </c>
      <c r="B526" s="19" t="s">
        <v>836</v>
      </c>
      <c r="C526" s="20" t="s">
        <v>317</v>
      </c>
      <c r="D526" s="20">
        <v>6</v>
      </c>
      <c r="E526" s="14">
        <v>450</v>
      </c>
      <c r="F526" s="15">
        <v>0</v>
      </c>
      <c r="G526" s="15">
        <v>0</v>
      </c>
      <c r="H526" s="15">
        <v>0</v>
      </c>
      <c r="I526" s="15">
        <v>0</v>
      </c>
      <c r="J526" s="15">
        <v>0</v>
      </c>
      <c r="K526" s="15">
        <v>0</v>
      </c>
      <c r="L526" s="15">
        <v>0</v>
      </c>
      <c r="M526" s="15">
        <v>0</v>
      </c>
      <c r="N526" s="15">
        <v>0</v>
      </c>
      <c r="O526" s="15">
        <v>0</v>
      </c>
    </row>
    <row r="527" spans="1:15">
      <c r="A527" s="18" t="s">
        <v>843</v>
      </c>
      <c r="B527" s="19" t="s">
        <v>836</v>
      </c>
      <c r="C527" s="20" t="s">
        <v>317</v>
      </c>
      <c r="D527" s="20">
        <v>7</v>
      </c>
      <c r="E527" s="14">
        <v>450</v>
      </c>
      <c r="F527" s="15">
        <v>0</v>
      </c>
      <c r="G527" s="15">
        <v>0</v>
      </c>
      <c r="H527" s="15">
        <v>0</v>
      </c>
      <c r="I527" s="15">
        <v>0</v>
      </c>
      <c r="J527" s="15">
        <v>0</v>
      </c>
      <c r="K527" s="15">
        <v>0</v>
      </c>
      <c r="L527" s="15">
        <v>0</v>
      </c>
      <c r="M527" s="15">
        <v>0</v>
      </c>
      <c r="N527" s="15">
        <v>0</v>
      </c>
      <c r="O527" s="15">
        <v>0</v>
      </c>
    </row>
    <row r="528" spans="1:15">
      <c r="A528" s="18" t="s">
        <v>844</v>
      </c>
      <c r="B528" s="19" t="s">
        <v>836</v>
      </c>
      <c r="C528" s="20" t="s">
        <v>317</v>
      </c>
      <c r="D528" s="20">
        <v>8</v>
      </c>
      <c r="E528" s="14">
        <v>450</v>
      </c>
      <c r="F528" s="15">
        <v>0</v>
      </c>
      <c r="G528" s="15">
        <v>0</v>
      </c>
      <c r="H528" s="15">
        <v>0</v>
      </c>
      <c r="I528" s="15">
        <v>0</v>
      </c>
      <c r="J528" s="15">
        <v>0</v>
      </c>
      <c r="K528" s="15">
        <v>0</v>
      </c>
      <c r="L528" s="15">
        <v>0</v>
      </c>
      <c r="M528" s="15">
        <v>0</v>
      </c>
      <c r="N528" s="15">
        <v>0</v>
      </c>
      <c r="O528" s="15">
        <v>0</v>
      </c>
    </row>
    <row r="529" spans="1:15">
      <c r="A529" s="18" t="s">
        <v>845</v>
      </c>
      <c r="B529" s="19" t="s">
        <v>836</v>
      </c>
      <c r="C529" s="20" t="s">
        <v>317</v>
      </c>
      <c r="D529" s="20">
        <v>9</v>
      </c>
      <c r="E529" s="14">
        <v>450</v>
      </c>
      <c r="F529" s="15">
        <v>0</v>
      </c>
      <c r="G529" s="15">
        <v>0</v>
      </c>
      <c r="H529" s="15">
        <v>0</v>
      </c>
      <c r="I529" s="15">
        <v>0</v>
      </c>
      <c r="J529" s="15">
        <v>0</v>
      </c>
      <c r="K529" s="15">
        <v>0</v>
      </c>
      <c r="L529" s="15">
        <v>0</v>
      </c>
      <c r="M529" s="15">
        <v>0</v>
      </c>
      <c r="N529" s="15">
        <v>0</v>
      </c>
      <c r="O529" s="15">
        <v>0</v>
      </c>
    </row>
    <row r="530" spans="1:15">
      <c r="A530" s="18" t="s">
        <v>846</v>
      </c>
      <c r="B530" s="19" t="s">
        <v>836</v>
      </c>
      <c r="C530" s="20" t="s">
        <v>317</v>
      </c>
      <c r="D530" s="20">
        <v>10</v>
      </c>
      <c r="E530" s="14">
        <v>450</v>
      </c>
      <c r="F530" s="15">
        <v>0</v>
      </c>
      <c r="G530" s="15">
        <v>0</v>
      </c>
      <c r="H530" s="15">
        <v>0</v>
      </c>
      <c r="I530" s="15">
        <v>0</v>
      </c>
      <c r="J530" s="15">
        <v>0</v>
      </c>
      <c r="K530" s="15">
        <v>0</v>
      </c>
      <c r="L530" s="15">
        <v>0</v>
      </c>
      <c r="M530" s="15">
        <v>0</v>
      </c>
      <c r="N530" s="15">
        <v>0</v>
      </c>
      <c r="O530" s="15">
        <v>0</v>
      </c>
    </row>
    <row r="531" spans="1:15">
      <c r="A531" s="18" t="s">
        <v>847</v>
      </c>
      <c r="B531" s="19" t="s">
        <v>836</v>
      </c>
      <c r="C531" s="20" t="s">
        <v>317</v>
      </c>
      <c r="D531" s="20">
        <v>11</v>
      </c>
      <c r="E531" s="14">
        <v>450</v>
      </c>
      <c r="F531" s="15">
        <v>0</v>
      </c>
      <c r="G531" s="15">
        <v>0</v>
      </c>
      <c r="H531" s="15">
        <v>0</v>
      </c>
      <c r="I531" s="15">
        <v>0</v>
      </c>
      <c r="J531" s="15">
        <v>0</v>
      </c>
      <c r="K531" s="15">
        <v>0</v>
      </c>
      <c r="L531" s="15">
        <v>0</v>
      </c>
      <c r="M531" s="15">
        <v>0</v>
      </c>
      <c r="N531" s="15">
        <v>0</v>
      </c>
      <c r="O531" s="15">
        <v>0</v>
      </c>
    </row>
    <row r="532" spans="1:15">
      <c r="A532" s="18" t="s">
        <v>848</v>
      </c>
      <c r="B532" s="19" t="s">
        <v>836</v>
      </c>
      <c r="C532" s="20" t="s">
        <v>317</v>
      </c>
      <c r="D532" s="20">
        <v>12</v>
      </c>
      <c r="E532" s="14">
        <v>450</v>
      </c>
      <c r="F532" s="15">
        <v>0</v>
      </c>
      <c r="G532" s="15">
        <v>0</v>
      </c>
      <c r="H532" s="15">
        <v>0</v>
      </c>
      <c r="I532" s="15">
        <v>0</v>
      </c>
      <c r="J532" s="15">
        <v>0</v>
      </c>
      <c r="K532" s="15">
        <v>0</v>
      </c>
      <c r="L532" s="15">
        <v>0</v>
      </c>
      <c r="M532" s="15">
        <v>0</v>
      </c>
      <c r="N532" s="15">
        <v>0</v>
      </c>
      <c r="O532" s="15">
        <v>0</v>
      </c>
    </row>
    <row r="533" spans="1:15">
      <c r="A533" s="18" t="s">
        <v>849</v>
      </c>
      <c r="B533" s="19" t="s">
        <v>836</v>
      </c>
      <c r="C533" s="20" t="s">
        <v>317</v>
      </c>
      <c r="D533" s="20">
        <v>13</v>
      </c>
      <c r="E533" s="14">
        <v>450</v>
      </c>
      <c r="F533" s="15">
        <v>0</v>
      </c>
      <c r="G533" s="15">
        <v>0</v>
      </c>
      <c r="H533" s="15">
        <v>0</v>
      </c>
      <c r="I533" s="15">
        <v>0</v>
      </c>
      <c r="J533" s="15">
        <v>0</v>
      </c>
      <c r="K533" s="15">
        <v>0</v>
      </c>
      <c r="L533" s="15">
        <v>0</v>
      </c>
      <c r="M533" s="15">
        <v>0</v>
      </c>
      <c r="N533" s="15">
        <v>0</v>
      </c>
      <c r="O533" s="15">
        <v>0</v>
      </c>
    </row>
    <row r="534" spans="1:15">
      <c r="A534" s="18" t="s">
        <v>850</v>
      </c>
      <c r="B534" s="19" t="s">
        <v>836</v>
      </c>
      <c r="C534" s="20" t="s">
        <v>317</v>
      </c>
      <c r="D534" s="20">
        <v>14</v>
      </c>
      <c r="E534" s="14">
        <v>450</v>
      </c>
      <c r="F534" s="15">
        <v>0</v>
      </c>
      <c r="G534" s="15">
        <v>0</v>
      </c>
      <c r="H534" s="15">
        <v>0</v>
      </c>
      <c r="I534" s="15">
        <v>0</v>
      </c>
      <c r="J534" s="15">
        <v>0</v>
      </c>
      <c r="K534" s="15">
        <v>0</v>
      </c>
      <c r="L534" s="15">
        <v>0</v>
      </c>
      <c r="M534" s="15">
        <v>0</v>
      </c>
      <c r="N534" s="15">
        <v>0</v>
      </c>
      <c r="O534" s="15">
        <v>0</v>
      </c>
    </row>
    <row r="535" spans="1:15">
      <c r="A535" s="18" t="s">
        <v>851</v>
      </c>
      <c r="B535" s="19" t="s">
        <v>836</v>
      </c>
      <c r="C535" s="20" t="s">
        <v>317</v>
      </c>
      <c r="D535" s="20">
        <v>15</v>
      </c>
      <c r="E535" s="14">
        <v>450</v>
      </c>
      <c r="F535" s="15">
        <v>0</v>
      </c>
      <c r="G535" s="15">
        <v>0</v>
      </c>
      <c r="H535" s="15">
        <v>0</v>
      </c>
      <c r="I535" s="15">
        <v>0</v>
      </c>
      <c r="J535" s="15">
        <v>0</v>
      </c>
      <c r="K535" s="15">
        <v>0</v>
      </c>
      <c r="L535" s="15">
        <v>0</v>
      </c>
      <c r="M535" s="15">
        <v>0</v>
      </c>
      <c r="N535" s="15">
        <v>0</v>
      </c>
      <c r="O535" s="15">
        <v>0</v>
      </c>
    </row>
    <row r="536" spans="1:15">
      <c r="A536" s="18" t="s">
        <v>852</v>
      </c>
      <c r="B536" s="19" t="s">
        <v>836</v>
      </c>
      <c r="C536" s="20" t="s">
        <v>317</v>
      </c>
      <c r="D536" s="20">
        <v>16</v>
      </c>
      <c r="E536" s="14">
        <v>450</v>
      </c>
      <c r="F536" s="15">
        <v>0</v>
      </c>
      <c r="G536" s="15">
        <v>0</v>
      </c>
      <c r="H536" s="15">
        <v>0</v>
      </c>
      <c r="I536" s="15">
        <v>0</v>
      </c>
      <c r="J536" s="15">
        <v>0</v>
      </c>
      <c r="K536" s="15">
        <v>0</v>
      </c>
      <c r="L536" s="15">
        <v>0</v>
      </c>
      <c r="M536" s="15">
        <v>0</v>
      </c>
      <c r="N536" s="15">
        <v>0</v>
      </c>
      <c r="O536" s="15">
        <v>0</v>
      </c>
    </row>
    <row r="537" spans="1:15">
      <c r="A537" s="18" t="s">
        <v>853</v>
      </c>
      <c r="B537" s="19" t="s">
        <v>836</v>
      </c>
      <c r="C537" s="20" t="s">
        <v>317</v>
      </c>
      <c r="D537" s="20">
        <v>17</v>
      </c>
      <c r="E537" s="14">
        <v>450</v>
      </c>
      <c r="F537" s="15">
        <v>0</v>
      </c>
      <c r="G537" s="15">
        <v>0</v>
      </c>
      <c r="H537" s="15">
        <v>0</v>
      </c>
      <c r="I537" s="15">
        <v>0</v>
      </c>
      <c r="J537" s="15">
        <v>0</v>
      </c>
      <c r="K537" s="15">
        <v>0</v>
      </c>
      <c r="L537" s="15">
        <v>0</v>
      </c>
      <c r="M537" s="15">
        <v>0</v>
      </c>
      <c r="N537" s="15">
        <v>0</v>
      </c>
      <c r="O537" s="15">
        <v>0</v>
      </c>
    </row>
    <row r="538" spans="1:15">
      <c r="A538" s="18" t="s">
        <v>854</v>
      </c>
      <c r="B538" s="19" t="s">
        <v>836</v>
      </c>
      <c r="C538" s="20" t="s">
        <v>317</v>
      </c>
      <c r="D538" s="20">
        <v>18</v>
      </c>
      <c r="E538" s="14">
        <v>450</v>
      </c>
      <c r="F538" s="15">
        <v>0</v>
      </c>
      <c r="G538" s="15">
        <v>0</v>
      </c>
      <c r="H538" s="15">
        <v>0</v>
      </c>
      <c r="I538" s="15">
        <v>0</v>
      </c>
      <c r="J538" s="15">
        <v>0</v>
      </c>
      <c r="K538" s="15">
        <v>0</v>
      </c>
      <c r="L538" s="15">
        <v>0</v>
      </c>
      <c r="M538" s="15">
        <v>0</v>
      </c>
      <c r="N538" s="15">
        <v>0</v>
      </c>
      <c r="O538" s="15">
        <v>0</v>
      </c>
    </row>
    <row r="539" spans="1:15">
      <c r="A539" s="18" t="s">
        <v>855</v>
      </c>
      <c r="B539" s="19" t="s">
        <v>836</v>
      </c>
      <c r="C539" s="20" t="s">
        <v>317</v>
      </c>
      <c r="D539" s="20">
        <v>19</v>
      </c>
      <c r="E539" s="14">
        <v>450</v>
      </c>
      <c r="F539" s="15">
        <v>0</v>
      </c>
      <c r="G539" s="15">
        <v>0</v>
      </c>
      <c r="H539" s="15">
        <v>0</v>
      </c>
      <c r="I539" s="15">
        <v>0</v>
      </c>
      <c r="J539" s="15">
        <v>0</v>
      </c>
      <c r="K539" s="15">
        <v>0</v>
      </c>
      <c r="L539" s="15">
        <v>0</v>
      </c>
      <c r="M539" s="15">
        <v>0</v>
      </c>
      <c r="N539" s="15">
        <v>0</v>
      </c>
      <c r="O539" s="15">
        <v>0</v>
      </c>
    </row>
    <row r="540" spans="1:15">
      <c r="A540" s="18" t="s">
        <v>856</v>
      </c>
      <c r="B540" s="19" t="s">
        <v>836</v>
      </c>
      <c r="C540" s="20" t="s">
        <v>317</v>
      </c>
      <c r="D540" s="20">
        <v>20</v>
      </c>
      <c r="E540" s="14">
        <v>450</v>
      </c>
      <c r="F540" s="15">
        <v>0</v>
      </c>
      <c r="G540" s="15">
        <v>0</v>
      </c>
      <c r="H540" s="15">
        <v>0</v>
      </c>
      <c r="I540" s="15">
        <v>0</v>
      </c>
      <c r="J540" s="15">
        <v>0</v>
      </c>
      <c r="K540" s="15">
        <v>0</v>
      </c>
      <c r="L540" s="15">
        <v>0</v>
      </c>
      <c r="M540" s="15">
        <v>0</v>
      </c>
      <c r="N540" s="15">
        <v>0</v>
      </c>
      <c r="O540" s="15">
        <v>0</v>
      </c>
    </row>
    <row r="541" spans="1:15">
      <c r="A541" s="18" t="s">
        <v>857</v>
      </c>
      <c r="B541" s="19" t="s">
        <v>836</v>
      </c>
      <c r="C541" s="20" t="s">
        <v>317</v>
      </c>
      <c r="D541" s="20">
        <v>21</v>
      </c>
      <c r="E541" s="14">
        <v>450</v>
      </c>
      <c r="F541" s="15">
        <v>0</v>
      </c>
      <c r="G541" s="15">
        <v>0</v>
      </c>
      <c r="H541" s="15">
        <v>0</v>
      </c>
      <c r="I541" s="15">
        <v>0</v>
      </c>
      <c r="J541" s="15">
        <v>0</v>
      </c>
      <c r="K541" s="15">
        <v>0</v>
      </c>
      <c r="L541" s="15">
        <v>0</v>
      </c>
      <c r="M541" s="15">
        <v>0</v>
      </c>
      <c r="N541" s="15">
        <v>0</v>
      </c>
      <c r="O541" s="15">
        <v>0</v>
      </c>
    </row>
    <row r="542" spans="1:15">
      <c r="A542" s="18" t="s">
        <v>858</v>
      </c>
      <c r="B542" s="19" t="s">
        <v>836</v>
      </c>
      <c r="C542" s="20" t="s">
        <v>317</v>
      </c>
      <c r="D542" s="20">
        <v>22</v>
      </c>
      <c r="E542" s="14">
        <v>450</v>
      </c>
      <c r="F542" s="15">
        <v>0</v>
      </c>
      <c r="G542" s="15">
        <v>0</v>
      </c>
      <c r="H542" s="15">
        <v>0</v>
      </c>
      <c r="I542" s="15">
        <v>0</v>
      </c>
      <c r="J542" s="15">
        <v>0</v>
      </c>
      <c r="K542" s="15">
        <v>0</v>
      </c>
      <c r="L542" s="15">
        <v>0</v>
      </c>
      <c r="M542" s="15">
        <v>0</v>
      </c>
      <c r="N542" s="15">
        <v>0</v>
      </c>
      <c r="O542" s="15">
        <v>0</v>
      </c>
    </row>
    <row r="543" spans="1:15">
      <c r="A543" s="18" t="s">
        <v>859</v>
      </c>
      <c r="B543" s="19" t="s">
        <v>836</v>
      </c>
      <c r="C543" s="20" t="s">
        <v>317</v>
      </c>
      <c r="D543" s="20">
        <v>23</v>
      </c>
      <c r="E543" s="14">
        <v>450</v>
      </c>
      <c r="F543" s="15">
        <v>0</v>
      </c>
      <c r="G543" s="15">
        <v>0</v>
      </c>
      <c r="H543" s="15">
        <v>0</v>
      </c>
      <c r="I543" s="15">
        <v>0</v>
      </c>
      <c r="J543" s="15">
        <v>0</v>
      </c>
      <c r="K543" s="15">
        <v>0</v>
      </c>
      <c r="L543" s="15">
        <v>0</v>
      </c>
      <c r="M543" s="15">
        <v>0</v>
      </c>
      <c r="N543" s="15">
        <v>0</v>
      </c>
      <c r="O543" s="15">
        <v>0</v>
      </c>
    </row>
    <row r="544" spans="1:15">
      <c r="A544" s="18" t="s">
        <v>860</v>
      </c>
      <c r="B544" s="19" t="s">
        <v>836</v>
      </c>
      <c r="C544" s="20" t="s">
        <v>317</v>
      </c>
      <c r="D544" s="20">
        <v>24</v>
      </c>
      <c r="E544" s="14">
        <v>450</v>
      </c>
      <c r="F544" s="15">
        <v>0</v>
      </c>
      <c r="G544" s="15">
        <v>0</v>
      </c>
      <c r="H544" s="15">
        <v>0</v>
      </c>
      <c r="I544" s="15">
        <v>0</v>
      </c>
      <c r="J544" s="15">
        <v>0</v>
      </c>
      <c r="K544" s="15">
        <v>0</v>
      </c>
      <c r="L544" s="15">
        <v>0</v>
      </c>
      <c r="M544" s="15">
        <v>0</v>
      </c>
      <c r="N544" s="15">
        <v>0</v>
      </c>
      <c r="O544" s="15">
        <v>0</v>
      </c>
    </row>
    <row r="545" spans="1:15">
      <c r="A545" s="18" t="s">
        <v>861</v>
      </c>
      <c r="B545" s="19" t="s">
        <v>836</v>
      </c>
      <c r="C545" s="20" t="s">
        <v>317</v>
      </c>
      <c r="D545" s="20">
        <v>25</v>
      </c>
      <c r="E545" s="14">
        <v>450</v>
      </c>
      <c r="F545" s="15">
        <v>0</v>
      </c>
      <c r="G545" s="15">
        <v>0</v>
      </c>
      <c r="H545" s="15">
        <v>0</v>
      </c>
      <c r="I545" s="15">
        <v>0</v>
      </c>
      <c r="J545" s="15">
        <v>0</v>
      </c>
      <c r="K545" s="15">
        <v>0</v>
      </c>
      <c r="L545" s="15">
        <v>0</v>
      </c>
      <c r="M545" s="15">
        <v>0</v>
      </c>
      <c r="N545" s="15">
        <v>0</v>
      </c>
      <c r="O545" s="15">
        <v>0</v>
      </c>
    </row>
    <row r="546" spans="1:15">
      <c r="A546" s="18" t="s">
        <v>862</v>
      </c>
      <c r="B546" s="19" t="s">
        <v>836</v>
      </c>
      <c r="C546" s="20" t="s">
        <v>317</v>
      </c>
      <c r="D546" s="20">
        <v>26</v>
      </c>
      <c r="E546" s="14">
        <v>450</v>
      </c>
      <c r="F546" s="15">
        <v>0</v>
      </c>
      <c r="G546" s="15">
        <v>0</v>
      </c>
      <c r="H546" s="15">
        <v>0</v>
      </c>
      <c r="I546" s="15">
        <v>0</v>
      </c>
      <c r="J546" s="15">
        <v>0</v>
      </c>
      <c r="K546" s="15">
        <v>0</v>
      </c>
      <c r="L546" s="15">
        <v>0</v>
      </c>
      <c r="M546" s="15">
        <v>0</v>
      </c>
      <c r="N546" s="15">
        <v>0</v>
      </c>
      <c r="O546" s="15">
        <v>0</v>
      </c>
    </row>
    <row r="547" spans="1:15">
      <c r="A547" s="18" t="s">
        <v>863</v>
      </c>
      <c r="B547" s="19" t="s">
        <v>836</v>
      </c>
      <c r="C547" s="20" t="s">
        <v>317</v>
      </c>
      <c r="D547" s="20">
        <v>27</v>
      </c>
      <c r="E547" s="14">
        <v>450</v>
      </c>
      <c r="F547" s="15">
        <v>0</v>
      </c>
      <c r="G547" s="15">
        <v>0</v>
      </c>
      <c r="H547" s="15">
        <v>0</v>
      </c>
      <c r="I547" s="15">
        <v>0</v>
      </c>
      <c r="J547" s="15">
        <v>0</v>
      </c>
      <c r="K547" s="15">
        <v>0</v>
      </c>
      <c r="L547" s="15">
        <v>0</v>
      </c>
      <c r="M547" s="15">
        <v>0</v>
      </c>
      <c r="N547" s="15">
        <v>0</v>
      </c>
      <c r="O547" s="15">
        <v>0</v>
      </c>
    </row>
    <row r="548" spans="1:15">
      <c r="A548" s="18" t="s">
        <v>864</v>
      </c>
      <c r="B548" s="19" t="s">
        <v>836</v>
      </c>
      <c r="C548" s="20" t="s">
        <v>317</v>
      </c>
      <c r="D548" s="20">
        <v>28</v>
      </c>
      <c r="E548" s="14">
        <v>450</v>
      </c>
      <c r="F548" s="15">
        <v>0</v>
      </c>
      <c r="G548" s="15">
        <v>0</v>
      </c>
      <c r="H548" s="15">
        <v>0</v>
      </c>
      <c r="I548" s="15">
        <v>0</v>
      </c>
      <c r="J548" s="15">
        <v>0</v>
      </c>
      <c r="K548" s="15">
        <v>0</v>
      </c>
      <c r="L548" s="15">
        <v>0</v>
      </c>
      <c r="M548" s="15">
        <v>0</v>
      </c>
      <c r="N548" s="15">
        <v>0</v>
      </c>
      <c r="O548" s="15">
        <v>0</v>
      </c>
    </row>
    <row r="549" spans="1:15">
      <c r="A549" s="18" t="s">
        <v>865</v>
      </c>
      <c r="B549" s="19" t="s">
        <v>836</v>
      </c>
      <c r="C549" s="20" t="s">
        <v>317</v>
      </c>
      <c r="D549" s="20">
        <v>29</v>
      </c>
      <c r="E549" s="14">
        <v>450</v>
      </c>
      <c r="F549" s="15">
        <v>0</v>
      </c>
      <c r="G549" s="15">
        <v>0</v>
      </c>
      <c r="H549" s="15">
        <v>0</v>
      </c>
      <c r="I549" s="15">
        <v>0</v>
      </c>
      <c r="J549" s="15">
        <v>0</v>
      </c>
      <c r="K549" s="15">
        <v>0</v>
      </c>
      <c r="L549" s="15">
        <v>0</v>
      </c>
      <c r="M549" s="15">
        <v>0</v>
      </c>
      <c r="N549" s="15">
        <v>0</v>
      </c>
      <c r="O549" s="15">
        <v>0</v>
      </c>
    </row>
    <row r="550" spans="1:15">
      <c r="A550" s="18" t="s">
        <v>866</v>
      </c>
      <c r="B550" s="19" t="s">
        <v>836</v>
      </c>
      <c r="C550" s="20" t="s">
        <v>317</v>
      </c>
      <c r="D550" s="20">
        <v>30</v>
      </c>
      <c r="E550" s="14">
        <v>450</v>
      </c>
      <c r="F550" s="15">
        <v>0</v>
      </c>
      <c r="G550" s="15">
        <v>0</v>
      </c>
      <c r="H550" s="15">
        <v>0</v>
      </c>
      <c r="I550" s="15">
        <v>0</v>
      </c>
      <c r="J550" s="15">
        <v>0</v>
      </c>
      <c r="K550" s="15">
        <v>0</v>
      </c>
      <c r="L550" s="15">
        <v>0</v>
      </c>
      <c r="M550" s="15">
        <v>0</v>
      </c>
      <c r="N550" s="15">
        <v>0</v>
      </c>
      <c r="O550" s="15">
        <v>0</v>
      </c>
    </row>
    <row r="551" spans="1:15">
      <c r="A551" s="18" t="s">
        <v>867</v>
      </c>
      <c r="B551" s="19" t="s">
        <v>836</v>
      </c>
      <c r="C551" s="20" t="s">
        <v>317</v>
      </c>
      <c r="D551" s="20">
        <v>31</v>
      </c>
      <c r="E551" s="14">
        <v>450</v>
      </c>
      <c r="F551" s="15">
        <v>0</v>
      </c>
      <c r="G551" s="15">
        <v>0</v>
      </c>
      <c r="H551" s="15">
        <v>0</v>
      </c>
      <c r="I551" s="15">
        <v>0</v>
      </c>
      <c r="J551" s="15">
        <v>0</v>
      </c>
      <c r="K551" s="15">
        <v>0</v>
      </c>
      <c r="L551" s="15">
        <v>0</v>
      </c>
      <c r="M551" s="15">
        <v>0</v>
      </c>
      <c r="N551" s="15">
        <v>0</v>
      </c>
      <c r="O551" s="15">
        <v>0</v>
      </c>
    </row>
    <row r="552" spans="1:15">
      <c r="A552" s="18" t="s">
        <v>868</v>
      </c>
      <c r="B552" s="19" t="s">
        <v>836</v>
      </c>
      <c r="C552" s="20" t="s">
        <v>317</v>
      </c>
      <c r="D552" s="20">
        <v>32</v>
      </c>
      <c r="E552" s="14">
        <v>450</v>
      </c>
      <c r="F552" s="15">
        <v>0</v>
      </c>
      <c r="G552" s="15">
        <v>0</v>
      </c>
      <c r="H552" s="15">
        <v>0</v>
      </c>
      <c r="I552" s="15">
        <v>0</v>
      </c>
      <c r="J552" s="15">
        <v>0</v>
      </c>
      <c r="K552" s="15">
        <v>0</v>
      </c>
      <c r="L552" s="15">
        <v>0</v>
      </c>
      <c r="M552" s="15">
        <v>0</v>
      </c>
      <c r="N552" s="15">
        <v>0</v>
      </c>
      <c r="O552" s="15">
        <v>0</v>
      </c>
    </row>
    <row r="553" spans="1:15">
      <c r="A553" s="18" t="s">
        <v>869</v>
      </c>
      <c r="B553" s="19" t="s">
        <v>836</v>
      </c>
      <c r="C553" s="20" t="s">
        <v>317</v>
      </c>
      <c r="D553" s="20">
        <v>33</v>
      </c>
      <c r="E553" s="14">
        <v>450</v>
      </c>
      <c r="F553" s="15">
        <v>0</v>
      </c>
      <c r="G553" s="15">
        <v>0</v>
      </c>
      <c r="H553" s="15">
        <v>0</v>
      </c>
      <c r="I553" s="15">
        <v>0</v>
      </c>
      <c r="J553" s="15">
        <v>0</v>
      </c>
      <c r="K553" s="15">
        <v>0</v>
      </c>
      <c r="L553" s="15">
        <v>0</v>
      </c>
      <c r="M553" s="15">
        <v>0</v>
      </c>
      <c r="N553" s="15">
        <v>0</v>
      </c>
      <c r="O553" s="15">
        <v>0</v>
      </c>
    </row>
    <row r="554" spans="1:15">
      <c r="A554" s="18" t="s">
        <v>870</v>
      </c>
      <c r="B554" s="19" t="s">
        <v>836</v>
      </c>
      <c r="C554" s="20" t="s">
        <v>317</v>
      </c>
      <c r="D554" s="20">
        <v>34</v>
      </c>
      <c r="E554" s="14">
        <v>450</v>
      </c>
      <c r="F554" s="15">
        <v>0</v>
      </c>
      <c r="G554" s="15">
        <v>0</v>
      </c>
      <c r="H554" s="15">
        <v>0</v>
      </c>
      <c r="I554" s="15">
        <v>0</v>
      </c>
      <c r="J554" s="15">
        <v>0</v>
      </c>
      <c r="K554" s="15">
        <v>0</v>
      </c>
      <c r="L554" s="15">
        <v>0</v>
      </c>
      <c r="M554" s="15">
        <v>0</v>
      </c>
      <c r="N554" s="15">
        <v>0</v>
      </c>
      <c r="O554" s="15">
        <v>0</v>
      </c>
    </row>
    <row r="555" spans="1:15">
      <c r="A555" s="18" t="s">
        <v>871</v>
      </c>
      <c r="B555" s="19" t="s">
        <v>836</v>
      </c>
      <c r="C555" s="20" t="s">
        <v>317</v>
      </c>
      <c r="D555" s="20">
        <v>35</v>
      </c>
      <c r="E555" s="14">
        <v>450</v>
      </c>
      <c r="F555" s="15">
        <v>0</v>
      </c>
      <c r="G555" s="15">
        <v>0</v>
      </c>
      <c r="H555" s="15">
        <v>0</v>
      </c>
      <c r="I555" s="15">
        <v>0</v>
      </c>
      <c r="J555" s="15">
        <v>0</v>
      </c>
      <c r="K555" s="15">
        <v>0</v>
      </c>
      <c r="L555" s="15">
        <v>0</v>
      </c>
      <c r="M555" s="15">
        <v>0</v>
      </c>
      <c r="N555" s="15">
        <v>0</v>
      </c>
      <c r="O555" s="15">
        <v>0</v>
      </c>
    </row>
    <row r="556" spans="1:15">
      <c r="A556" s="18" t="s">
        <v>872</v>
      </c>
      <c r="B556" s="19" t="s">
        <v>836</v>
      </c>
      <c r="C556" s="20" t="s">
        <v>317</v>
      </c>
      <c r="D556" s="20">
        <v>36</v>
      </c>
      <c r="E556" s="14">
        <v>450</v>
      </c>
      <c r="F556" s="15">
        <v>0</v>
      </c>
      <c r="G556" s="15">
        <v>0</v>
      </c>
      <c r="H556" s="15">
        <v>0</v>
      </c>
      <c r="I556" s="15">
        <v>0</v>
      </c>
      <c r="J556" s="15">
        <v>0</v>
      </c>
      <c r="K556" s="15">
        <v>0</v>
      </c>
      <c r="L556" s="15">
        <v>0</v>
      </c>
      <c r="M556" s="15">
        <v>0</v>
      </c>
      <c r="N556" s="15">
        <v>0</v>
      </c>
      <c r="O556" s="15">
        <v>0</v>
      </c>
    </row>
    <row r="557" spans="1:15">
      <c r="A557" s="18" t="s">
        <v>873</v>
      </c>
      <c r="B557" s="19" t="s">
        <v>836</v>
      </c>
      <c r="C557" s="20" t="s">
        <v>317</v>
      </c>
      <c r="D557" s="20">
        <v>37</v>
      </c>
      <c r="E557" s="14">
        <v>450</v>
      </c>
      <c r="F557" s="15">
        <v>0</v>
      </c>
      <c r="G557" s="15">
        <v>0</v>
      </c>
      <c r="H557" s="15">
        <v>0</v>
      </c>
      <c r="I557" s="15">
        <v>0</v>
      </c>
      <c r="J557" s="15">
        <v>0</v>
      </c>
      <c r="K557" s="15">
        <v>0</v>
      </c>
      <c r="L557" s="15">
        <v>0</v>
      </c>
      <c r="M557" s="15">
        <v>0</v>
      </c>
      <c r="N557" s="15">
        <v>0</v>
      </c>
      <c r="O557" s="15">
        <v>0</v>
      </c>
    </row>
    <row r="558" spans="1:15">
      <c r="A558" s="18" t="s">
        <v>874</v>
      </c>
      <c r="B558" s="19" t="s">
        <v>836</v>
      </c>
      <c r="C558" s="20" t="s">
        <v>317</v>
      </c>
      <c r="D558" s="20">
        <v>38</v>
      </c>
      <c r="E558" s="14">
        <v>450</v>
      </c>
      <c r="F558" s="15">
        <v>0</v>
      </c>
      <c r="G558" s="15">
        <v>0</v>
      </c>
      <c r="H558" s="15">
        <v>0</v>
      </c>
      <c r="I558" s="15">
        <v>0</v>
      </c>
      <c r="J558" s="15">
        <v>0</v>
      </c>
      <c r="K558" s="15">
        <v>0</v>
      </c>
      <c r="L558" s="15">
        <v>0</v>
      </c>
      <c r="M558" s="15">
        <v>0</v>
      </c>
      <c r="N558" s="15">
        <v>0</v>
      </c>
      <c r="O558" s="15">
        <v>0</v>
      </c>
    </row>
    <row r="559" spans="1:15">
      <c r="A559" s="18" t="s">
        <v>875</v>
      </c>
      <c r="B559" s="19" t="s">
        <v>836</v>
      </c>
      <c r="C559" s="20" t="s">
        <v>317</v>
      </c>
      <c r="D559" s="20">
        <v>39</v>
      </c>
      <c r="E559" s="14">
        <v>450</v>
      </c>
      <c r="F559" s="15">
        <v>0</v>
      </c>
      <c r="G559" s="15">
        <v>0</v>
      </c>
      <c r="H559" s="15">
        <v>0</v>
      </c>
      <c r="I559" s="15">
        <v>0</v>
      </c>
      <c r="J559" s="15">
        <v>0</v>
      </c>
      <c r="K559" s="15">
        <v>0</v>
      </c>
      <c r="L559" s="15">
        <v>0</v>
      </c>
      <c r="M559" s="15">
        <v>0</v>
      </c>
      <c r="N559" s="15">
        <v>0</v>
      </c>
      <c r="O559" s="15">
        <v>0</v>
      </c>
    </row>
    <row r="560" spans="1:15">
      <c r="A560" s="18" t="s">
        <v>876</v>
      </c>
      <c r="B560" s="19" t="s">
        <v>836</v>
      </c>
      <c r="C560" s="20" t="s">
        <v>317</v>
      </c>
      <c r="D560" s="20">
        <v>40</v>
      </c>
      <c r="E560" s="14">
        <v>450</v>
      </c>
      <c r="F560" s="15">
        <v>0</v>
      </c>
      <c r="G560" s="15">
        <v>0</v>
      </c>
      <c r="H560" s="15">
        <v>0</v>
      </c>
      <c r="I560" s="15">
        <v>0</v>
      </c>
      <c r="J560" s="15">
        <v>0</v>
      </c>
      <c r="K560" s="15">
        <v>0</v>
      </c>
      <c r="L560" s="15">
        <v>0</v>
      </c>
      <c r="M560" s="15">
        <v>0</v>
      </c>
      <c r="N560" s="15">
        <v>0</v>
      </c>
      <c r="O560" s="15">
        <v>0</v>
      </c>
    </row>
    <row r="561" spans="1:15">
      <c r="A561" s="18" t="s">
        <v>877</v>
      </c>
      <c r="B561" s="19" t="s">
        <v>836</v>
      </c>
      <c r="C561" s="20" t="s">
        <v>317</v>
      </c>
      <c r="D561" s="20">
        <v>41</v>
      </c>
      <c r="E561" s="14">
        <v>450</v>
      </c>
      <c r="F561" s="15">
        <v>0</v>
      </c>
      <c r="G561" s="15">
        <v>0</v>
      </c>
      <c r="H561" s="15">
        <v>0</v>
      </c>
      <c r="I561" s="15">
        <v>0</v>
      </c>
      <c r="J561" s="15">
        <v>0</v>
      </c>
      <c r="K561" s="15">
        <v>0</v>
      </c>
      <c r="L561" s="15">
        <v>0</v>
      </c>
      <c r="M561" s="15">
        <v>0</v>
      </c>
      <c r="N561" s="15">
        <v>0</v>
      </c>
      <c r="O561" s="15">
        <v>0</v>
      </c>
    </row>
    <row r="562" spans="1:15">
      <c r="A562" s="18" t="s">
        <v>878</v>
      </c>
      <c r="B562" s="19" t="s">
        <v>836</v>
      </c>
      <c r="C562" s="20" t="s">
        <v>317</v>
      </c>
      <c r="D562" s="20">
        <v>42</v>
      </c>
      <c r="E562" s="14">
        <v>450</v>
      </c>
      <c r="F562" s="15">
        <v>0</v>
      </c>
      <c r="G562" s="15">
        <v>0</v>
      </c>
      <c r="H562" s="15">
        <v>0</v>
      </c>
      <c r="I562" s="15">
        <v>0</v>
      </c>
      <c r="J562" s="15">
        <v>0</v>
      </c>
      <c r="K562" s="15">
        <v>0</v>
      </c>
      <c r="L562" s="15">
        <v>0</v>
      </c>
      <c r="M562" s="15">
        <v>0</v>
      </c>
      <c r="N562" s="15">
        <v>0</v>
      </c>
      <c r="O562" s="15">
        <v>0</v>
      </c>
    </row>
    <row r="563" spans="1:15">
      <c r="A563" s="18" t="s">
        <v>879</v>
      </c>
      <c r="B563" s="19" t="s">
        <v>836</v>
      </c>
      <c r="C563" s="20" t="s">
        <v>317</v>
      </c>
      <c r="D563" s="20">
        <v>43</v>
      </c>
      <c r="E563" s="14">
        <v>450</v>
      </c>
      <c r="F563" s="15">
        <v>0</v>
      </c>
      <c r="G563" s="15">
        <v>0</v>
      </c>
      <c r="H563" s="15">
        <v>0</v>
      </c>
      <c r="I563" s="15">
        <v>0</v>
      </c>
      <c r="J563" s="15">
        <v>0</v>
      </c>
      <c r="K563" s="15">
        <v>0</v>
      </c>
      <c r="L563" s="15">
        <v>0</v>
      </c>
      <c r="M563" s="15">
        <v>0</v>
      </c>
      <c r="N563" s="15">
        <v>0</v>
      </c>
      <c r="O563" s="15">
        <v>0</v>
      </c>
    </row>
    <row r="564" spans="1:15">
      <c r="A564" s="18" t="s">
        <v>880</v>
      </c>
      <c r="B564" s="19" t="s">
        <v>836</v>
      </c>
      <c r="C564" s="20" t="s">
        <v>317</v>
      </c>
      <c r="D564" s="20">
        <v>44</v>
      </c>
      <c r="E564" s="14">
        <v>450</v>
      </c>
      <c r="F564" s="15">
        <v>0</v>
      </c>
      <c r="G564" s="15">
        <v>0</v>
      </c>
      <c r="H564" s="15">
        <v>0</v>
      </c>
      <c r="I564" s="15">
        <v>0</v>
      </c>
      <c r="J564" s="15">
        <v>0</v>
      </c>
      <c r="K564" s="15">
        <v>0</v>
      </c>
      <c r="L564" s="15">
        <v>0</v>
      </c>
      <c r="M564" s="15">
        <v>0</v>
      </c>
      <c r="N564" s="15">
        <v>0</v>
      </c>
      <c r="O564" s="15">
        <v>0</v>
      </c>
    </row>
    <row r="565" spans="1:15">
      <c r="A565" s="18" t="s">
        <v>881</v>
      </c>
      <c r="B565" s="19" t="s">
        <v>836</v>
      </c>
      <c r="C565" s="20" t="s">
        <v>317</v>
      </c>
      <c r="D565" s="20">
        <v>45</v>
      </c>
      <c r="E565" s="14">
        <v>450</v>
      </c>
      <c r="F565" s="15">
        <v>0</v>
      </c>
      <c r="G565" s="15">
        <v>0</v>
      </c>
      <c r="H565" s="15">
        <v>0</v>
      </c>
      <c r="I565" s="15">
        <v>0</v>
      </c>
      <c r="J565" s="15">
        <v>0</v>
      </c>
      <c r="K565" s="15">
        <v>0</v>
      </c>
      <c r="L565" s="15">
        <v>0</v>
      </c>
      <c r="M565" s="15">
        <v>0</v>
      </c>
      <c r="N565" s="15">
        <v>0</v>
      </c>
      <c r="O565" s="15">
        <v>0</v>
      </c>
    </row>
    <row r="566" spans="1:15">
      <c r="A566" s="18" t="s">
        <v>882</v>
      </c>
      <c r="B566" s="19" t="s">
        <v>836</v>
      </c>
      <c r="C566" s="20" t="s">
        <v>317</v>
      </c>
      <c r="D566" s="20">
        <v>46</v>
      </c>
      <c r="E566" s="14">
        <v>450</v>
      </c>
      <c r="F566" s="15">
        <v>0</v>
      </c>
      <c r="G566" s="15">
        <v>0</v>
      </c>
      <c r="H566" s="15">
        <v>0</v>
      </c>
      <c r="I566" s="15">
        <v>0</v>
      </c>
      <c r="J566" s="15">
        <v>0</v>
      </c>
      <c r="K566" s="15">
        <v>0</v>
      </c>
      <c r="L566" s="15">
        <v>0</v>
      </c>
      <c r="M566" s="15">
        <v>0</v>
      </c>
      <c r="N566" s="15">
        <v>0</v>
      </c>
      <c r="O566" s="15">
        <v>0</v>
      </c>
    </row>
    <row r="567" spans="1:15">
      <c r="A567" s="18" t="s">
        <v>883</v>
      </c>
      <c r="B567" s="19" t="s">
        <v>836</v>
      </c>
      <c r="C567" s="20" t="s">
        <v>317</v>
      </c>
      <c r="D567" s="20">
        <v>47</v>
      </c>
      <c r="E567" s="14">
        <v>450</v>
      </c>
      <c r="F567" s="15">
        <v>0</v>
      </c>
      <c r="G567" s="15">
        <v>0</v>
      </c>
      <c r="H567" s="15">
        <v>0</v>
      </c>
      <c r="I567" s="15">
        <v>0</v>
      </c>
      <c r="J567" s="15">
        <v>0</v>
      </c>
      <c r="K567" s="15">
        <v>0</v>
      </c>
      <c r="L567" s="15">
        <v>0</v>
      </c>
      <c r="M567" s="15">
        <v>0</v>
      </c>
      <c r="N567" s="15">
        <v>0</v>
      </c>
      <c r="O567" s="15">
        <v>0</v>
      </c>
    </row>
    <row r="568" spans="1:15">
      <c r="A568" s="18" t="s">
        <v>884</v>
      </c>
      <c r="B568" s="19" t="s">
        <v>836</v>
      </c>
      <c r="C568" s="20" t="s">
        <v>317</v>
      </c>
      <c r="D568" s="20">
        <v>48</v>
      </c>
      <c r="E568" s="14">
        <v>450</v>
      </c>
      <c r="F568" s="15">
        <v>0</v>
      </c>
      <c r="G568" s="15">
        <v>0</v>
      </c>
      <c r="H568" s="15">
        <v>0</v>
      </c>
      <c r="I568" s="15">
        <v>0</v>
      </c>
      <c r="J568" s="15">
        <v>0</v>
      </c>
      <c r="K568" s="15">
        <v>0</v>
      </c>
      <c r="L568" s="15">
        <v>0</v>
      </c>
      <c r="M568" s="15">
        <v>0</v>
      </c>
      <c r="N568" s="15">
        <v>0</v>
      </c>
      <c r="O568" s="15">
        <v>0</v>
      </c>
    </row>
    <row r="569" spans="1:15">
      <c r="A569" s="18" t="s">
        <v>885</v>
      </c>
      <c r="B569" s="19" t="s">
        <v>836</v>
      </c>
      <c r="C569" s="20" t="s">
        <v>317</v>
      </c>
      <c r="D569" s="20">
        <v>49</v>
      </c>
      <c r="E569" s="14">
        <v>450</v>
      </c>
      <c r="F569" s="15">
        <v>0</v>
      </c>
      <c r="G569" s="15">
        <v>0</v>
      </c>
      <c r="H569" s="15">
        <v>0</v>
      </c>
      <c r="I569" s="15">
        <v>0</v>
      </c>
      <c r="J569" s="15">
        <v>0</v>
      </c>
      <c r="K569" s="15">
        <v>0</v>
      </c>
      <c r="L569" s="15">
        <v>0</v>
      </c>
      <c r="M569" s="15">
        <v>0</v>
      </c>
      <c r="N569" s="15">
        <v>0</v>
      </c>
      <c r="O569" s="15">
        <v>0</v>
      </c>
    </row>
    <row r="570" spans="1:15">
      <c r="A570" s="18" t="s">
        <v>886</v>
      </c>
      <c r="B570" s="19" t="s">
        <v>836</v>
      </c>
      <c r="C570" s="20" t="s">
        <v>317</v>
      </c>
      <c r="D570" s="20">
        <v>50</v>
      </c>
      <c r="E570" s="14">
        <v>450</v>
      </c>
      <c r="F570" s="15">
        <v>0</v>
      </c>
      <c r="G570" s="15">
        <v>0</v>
      </c>
      <c r="H570" s="15">
        <v>0</v>
      </c>
      <c r="I570" s="15">
        <v>0</v>
      </c>
      <c r="J570" s="15">
        <v>0</v>
      </c>
      <c r="K570" s="15">
        <v>0</v>
      </c>
      <c r="L570" s="15">
        <v>0</v>
      </c>
      <c r="M570" s="15">
        <v>0</v>
      </c>
      <c r="N570" s="15">
        <v>0</v>
      </c>
      <c r="O570" s="15">
        <v>0</v>
      </c>
    </row>
    <row r="571" spans="1:15">
      <c r="A571" s="18" t="s">
        <v>887</v>
      </c>
      <c r="B571" s="19" t="s">
        <v>836</v>
      </c>
      <c r="C571" s="20" t="s">
        <v>317</v>
      </c>
      <c r="D571" s="20">
        <v>51</v>
      </c>
      <c r="E571" s="14">
        <v>450</v>
      </c>
      <c r="F571" s="15">
        <v>0</v>
      </c>
      <c r="G571" s="15">
        <v>0</v>
      </c>
      <c r="H571" s="15">
        <v>0</v>
      </c>
      <c r="I571" s="15">
        <v>0</v>
      </c>
      <c r="J571" s="15">
        <v>0</v>
      </c>
      <c r="K571" s="15">
        <v>0</v>
      </c>
      <c r="L571" s="15">
        <v>0</v>
      </c>
      <c r="M571" s="15">
        <v>0</v>
      </c>
      <c r="N571" s="15">
        <v>0</v>
      </c>
      <c r="O571" s="15">
        <v>0</v>
      </c>
    </row>
    <row r="572" spans="1:15">
      <c r="A572" s="18" t="s">
        <v>888</v>
      </c>
      <c r="B572" s="19" t="s">
        <v>836</v>
      </c>
      <c r="C572" s="20" t="s">
        <v>317</v>
      </c>
      <c r="D572" s="20">
        <v>52</v>
      </c>
      <c r="E572" s="14">
        <v>450</v>
      </c>
      <c r="F572" s="15">
        <v>0</v>
      </c>
      <c r="G572" s="15">
        <v>0</v>
      </c>
      <c r="H572" s="15">
        <v>0</v>
      </c>
      <c r="I572" s="15">
        <v>0</v>
      </c>
      <c r="J572" s="15">
        <v>0</v>
      </c>
      <c r="K572" s="15">
        <v>0</v>
      </c>
      <c r="L572" s="15">
        <v>0</v>
      </c>
      <c r="M572" s="15">
        <v>0</v>
      </c>
      <c r="N572" s="15">
        <v>0</v>
      </c>
      <c r="O572" s="15">
        <v>0</v>
      </c>
    </row>
    <row r="573" spans="1:15">
      <c r="A573" s="18" t="s">
        <v>889</v>
      </c>
      <c r="B573" s="19" t="s">
        <v>836</v>
      </c>
      <c r="C573" s="20" t="s">
        <v>317</v>
      </c>
      <c r="D573" s="20">
        <v>53</v>
      </c>
      <c r="E573" s="14">
        <v>450</v>
      </c>
      <c r="F573" s="15">
        <v>0</v>
      </c>
      <c r="G573" s="15">
        <v>0</v>
      </c>
      <c r="H573" s="15">
        <v>0</v>
      </c>
      <c r="I573" s="15">
        <v>0</v>
      </c>
      <c r="J573" s="15">
        <v>0</v>
      </c>
      <c r="K573" s="15">
        <v>0</v>
      </c>
      <c r="L573" s="15">
        <v>0</v>
      </c>
      <c r="M573" s="15">
        <v>0</v>
      </c>
      <c r="N573" s="15">
        <v>0</v>
      </c>
      <c r="O573" s="15">
        <v>0</v>
      </c>
    </row>
    <row r="574" spans="1:15">
      <c r="A574" s="18" t="s">
        <v>890</v>
      </c>
      <c r="B574" s="19" t="s">
        <v>836</v>
      </c>
      <c r="C574" s="20" t="s">
        <v>317</v>
      </c>
      <c r="D574" s="20">
        <v>54</v>
      </c>
      <c r="E574" s="14">
        <v>450</v>
      </c>
      <c r="F574" s="15">
        <v>0</v>
      </c>
      <c r="G574" s="15">
        <v>0</v>
      </c>
      <c r="H574" s="15">
        <v>0</v>
      </c>
      <c r="I574" s="15">
        <v>0</v>
      </c>
      <c r="J574" s="15">
        <v>0</v>
      </c>
      <c r="K574" s="15">
        <v>0</v>
      </c>
      <c r="L574" s="15">
        <v>0</v>
      </c>
      <c r="M574" s="15">
        <v>0</v>
      </c>
      <c r="N574" s="15">
        <v>0</v>
      </c>
      <c r="O574" s="15">
        <v>0</v>
      </c>
    </row>
    <row r="575" spans="1:15">
      <c r="A575" s="18" t="s">
        <v>891</v>
      </c>
      <c r="B575" s="19" t="s">
        <v>836</v>
      </c>
      <c r="C575" s="20" t="s">
        <v>317</v>
      </c>
      <c r="D575" s="20">
        <v>55</v>
      </c>
      <c r="E575" s="14">
        <v>450</v>
      </c>
      <c r="F575" s="15">
        <v>0</v>
      </c>
      <c r="G575" s="15">
        <v>0</v>
      </c>
      <c r="H575" s="15">
        <v>0</v>
      </c>
      <c r="I575" s="15">
        <v>0</v>
      </c>
      <c r="J575" s="15">
        <v>0</v>
      </c>
      <c r="K575" s="15">
        <v>0</v>
      </c>
      <c r="L575" s="15">
        <v>0</v>
      </c>
      <c r="M575" s="15">
        <v>0</v>
      </c>
      <c r="N575" s="15">
        <v>0</v>
      </c>
      <c r="O575" s="15">
        <v>0</v>
      </c>
    </row>
    <row r="576" spans="1:15">
      <c r="A576" s="18" t="s">
        <v>892</v>
      </c>
      <c r="B576" s="19" t="s">
        <v>836</v>
      </c>
      <c r="C576" s="20" t="s">
        <v>317</v>
      </c>
      <c r="D576" s="20">
        <v>56</v>
      </c>
      <c r="E576" s="14">
        <v>450</v>
      </c>
      <c r="F576" s="15">
        <v>0</v>
      </c>
      <c r="G576" s="15">
        <v>0</v>
      </c>
      <c r="H576" s="15">
        <v>0</v>
      </c>
      <c r="I576" s="15">
        <v>0</v>
      </c>
      <c r="J576" s="15">
        <v>0</v>
      </c>
      <c r="K576" s="15">
        <v>0</v>
      </c>
      <c r="L576" s="15">
        <v>0</v>
      </c>
      <c r="M576" s="15">
        <v>0</v>
      </c>
      <c r="N576" s="15">
        <v>0</v>
      </c>
      <c r="O576" s="15">
        <v>0</v>
      </c>
    </row>
    <row r="577" spans="1:15">
      <c r="A577" s="18" t="s">
        <v>893</v>
      </c>
      <c r="B577" s="19" t="s">
        <v>836</v>
      </c>
      <c r="C577" s="20" t="s">
        <v>317</v>
      </c>
      <c r="D577" s="20">
        <v>57</v>
      </c>
      <c r="E577" s="14">
        <v>450</v>
      </c>
      <c r="F577" s="15">
        <v>0</v>
      </c>
      <c r="G577" s="15">
        <v>0</v>
      </c>
      <c r="H577" s="15">
        <v>0</v>
      </c>
      <c r="I577" s="15">
        <v>0</v>
      </c>
      <c r="J577" s="15">
        <v>0</v>
      </c>
      <c r="K577" s="15">
        <v>0</v>
      </c>
      <c r="L577" s="15">
        <v>0</v>
      </c>
      <c r="M577" s="15">
        <v>0</v>
      </c>
      <c r="N577" s="15">
        <v>0</v>
      </c>
      <c r="O577" s="15">
        <v>0</v>
      </c>
    </row>
    <row r="578" spans="1:15">
      <c r="A578" s="18" t="s">
        <v>894</v>
      </c>
      <c r="B578" s="19" t="s">
        <v>836</v>
      </c>
      <c r="C578" s="20" t="s">
        <v>317</v>
      </c>
      <c r="D578" s="20">
        <v>58</v>
      </c>
      <c r="E578" s="14">
        <v>450</v>
      </c>
      <c r="F578" s="15">
        <v>0</v>
      </c>
      <c r="G578" s="15">
        <v>0</v>
      </c>
      <c r="H578" s="15">
        <v>0</v>
      </c>
      <c r="I578" s="15">
        <v>0</v>
      </c>
      <c r="J578" s="15">
        <v>0</v>
      </c>
      <c r="K578" s="15">
        <v>0</v>
      </c>
      <c r="L578" s="15">
        <v>0</v>
      </c>
      <c r="M578" s="15">
        <v>0</v>
      </c>
      <c r="N578" s="15">
        <v>0</v>
      </c>
      <c r="O578" s="15">
        <v>0</v>
      </c>
    </row>
    <row r="579" spans="1:15">
      <c r="A579" s="18" t="s">
        <v>895</v>
      </c>
      <c r="B579" s="19" t="s">
        <v>836</v>
      </c>
      <c r="C579" s="20" t="s">
        <v>317</v>
      </c>
      <c r="D579" s="20">
        <v>59</v>
      </c>
      <c r="E579" s="14">
        <v>450</v>
      </c>
      <c r="F579" s="15">
        <v>0</v>
      </c>
      <c r="G579" s="15">
        <v>0</v>
      </c>
      <c r="H579" s="15">
        <v>0</v>
      </c>
      <c r="I579" s="15">
        <v>0</v>
      </c>
      <c r="J579" s="15">
        <v>0</v>
      </c>
      <c r="K579" s="15">
        <v>0</v>
      </c>
      <c r="L579" s="15">
        <v>0</v>
      </c>
      <c r="M579" s="15">
        <v>0</v>
      </c>
      <c r="N579" s="15">
        <v>0</v>
      </c>
      <c r="O579" s="15">
        <v>0</v>
      </c>
    </row>
    <row r="580" spans="1:15">
      <c r="A580" s="18" t="s">
        <v>896</v>
      </c>
      <c r="B580" s="19" t="s">
        <v>836</v>
      </c>
      <c r="C580" s="20" t="s">
        <v>317</v>
      </c>
      <c r="D580" s="20">
        <v>60</v>
      </c>
      <c r="E580" s="14">
        <v>450</v>
      </c>
      <c r="F580" s="15">
        <v>0</v>
      </c>
      <c r="G580" s="15">
        <v>0</v>
      </c>
      <c r="H580" s="15">
        <v>0</v>
      </c>
      <c r="I580" s="15">
        <v>0</v>
      </c>
      <c r="J580" s="15">
        <v>0</v>
      </c>
      <c r="K580" s="15">
        <v>0</v>
      </c>
      <c r="L580" s="15">
        <v>0</v>
      </c>
      <c r="M580" s="15">
        <v>0</v>
      </c>
      <c r="N580" s="15">
        <v>0</v>
      </c>
      <c r="O580" s="15">
        <v>0</v>
      </c>
    </row>
    <row r="581" spans="1:15">
      <c r="A581" s="18" t="s">
        <v>897</v>
      </c>
      <c r="B581" s="19" t="s">
        <v>836</v>
      </c>
      <c r="C581" s="20" t="s">
        <v>317</v>
      </c>
      <c r="D581" s="20">
        <v>61</v>
      </c>
      <c r="E581" s="14">
        <v>450</v>
      </c>
      <c r="F581" s="15">
        <v>0</v>
      </c>
      <c r="G581" s="15">
        <v>0</v>
      </c>
      <c r="H581" s="15">
        <v>0</v>
      </c>
      <c r="I581" s="15">
        <v>0</v>
      </c>
      <c r="J581" s="15">
        <v>0</v>
      </c>
      <c r="K581" s="15">
        <v>0</v>
      </c>
      <c r="L581" s="15">
        <v>0</v>
      </c>
      <c r="M581" s="15">
        <v>0</v>
      </c>
      <c r="N581" s="15">
        <v>0</v>
      </c>
      <c r="O581" s="15">
        <v>0</v>
      </c>
    </row>
    <row r="582" spans="1:15">
      <c r="A582" s="18" t="s">
        <v>898</v>
      </c>
      <c r="B582" s="19" t="s">
        <v>836</v>
      </c>
      <c r="C582" s="20" t="s">
        <v>317</v>
      </c>
      <c r="D582" s="20">
        <v>62</v>
      </c>
      <c r="E582" s="14">
        <v>450</v>
      </c>
      <c r="F582" s="15">
        <v>0</v>
      </c>
      <c r="G582" s="15">
        <v>0</v>
      </c>
      <c r="H582" s="15">
        <v>0</v>
      </c>
      <c r="I582" s="15">
        <v>0</v>
      </c>
      <c r="J582" s="15">
        <v>0</v>
      </c>
      <c r="K582" s="15">
        <v>0</v>
      </c>
      <c r="L582" s="15">
        <v>0</v>
      </c>
      <c r="M582" s="15">
        <v>0</v>
      </c>
      <c r="N582" s="15">
        <v>0</v>
      </c>
      <c r="O582" s="15">
        <v>0</v>
      </c>
    </row>
    <row r="583" spans="1:15">
      <c r="A583" s="18" t="s">
        <v>899</v>
      </c>
      <c r="B583" s="19" t="s">
        <v>836</v>
      </c>
      <c r="C583" s="20" t="s">
        <v>317</v>
      </c>
      <c r="D583" s="20">
        <v>63</v>
      </c>
      <c r="E583" s="14">
        <v>450</v>
      </c>
      <c r="F583" s="15">
        <v>0</v>
      </c>
      <c r="G583" s="15">
        <v>0</v>
      </c>
      <c r="H583" s="15">
        <v>0</v>
      </c>
      <c r="I583" s="15">
        <v>0</v>
      </c>
      <c r="J583" s="15">
        <v>0</v>
      </c>
      <c r="K583" s="15">
        <v>0</v>
      </c>
      <c r="L583" s="15">
        <v>0</v>
      </c>
      <c r="M583" s="15">
        <v>0</v>
      </c>
      <c r="N583" s="15">
        <v>0</v>
      </c>
      <c r="O583" s="15">
        <v>0</v>
      </c>
    </row>
    <row r="584" spans="1:15">
      <c r="A584" s="18" t="s">
        <v>900</v>
      </c>
      <c r="B584" s="19" t="s">
        <v>836</v>
      </c>
      <c r="C584" s="20" t="s">
        <v>317</v>
      </c>
      <c r="D584" s="20">
        <v>64</v>
      </c>
      <c r="E584" s="14">
        <v>450</v>
      </c>
      <c r="F584" s="15">
        <v>0</v>
      </c>
      <c r="G584" s="15">
        <v>0</v>
      </c>
      <c r="H584" s="15">
        <v>0</v>
      </c>
      <c r="I584" s="15">
        <v>0</v>
      </c>
      <c r="J584" s="15">
        <v>0</v>
      </c>
      <c r="K584" s="15">
        <v>0</v>
      </c>
      <c r="L584" s="15">
        <v>0</v>
      </c>
      <c r="M584" s="15">
        <v>0</v>
      </c>
      <c r="N584" s="15">
        <v>0</v>
      </c>
      <c r="O584" s="15">
        <v>0</v>
      </c>
    </row>
    <row r="585" spans="1:15">
      <c r="A585" s="18" t="s">
        <v>901</v>
      </c>
      <c r="B585" s="19" t="s">
        <v>836</v>
      </c>
      <c r="C585" s="20" t="s">
        <v>317</v>
      </c>
      <c r="D585" s="20">
        <v>65</v>
      </c>
      <c r="E585" s="14">
        <v>450</v>
      </c>
      <c r="F585" s="15">
        <v>0</v>
      </c>
      <c r="G585" s="15">
        <v>0</v>
      </c>
      <c r="H585" s="15">
        <v>0</v>
      </c>
      <c r="I585" s="15">
        <v>0</v>
      </c>
      <c r="J585" s="15">
        <v>0</v>
      </c>
      <c r="K585" s="15">
        <v>0</v>
      </c>
      <c r="L585" s="15">
        <v>0</v>
      </c>
      <c r="M585" s="15">
        <v>0</v>
      </c>
      <c r="N585" s="15">
        <v>0</v>
      </c>
      <c r="O585" s="15">
        <v>0</v>
      </c>
    </row>
    <row r="586" spans="1:15">
      <c r="A586" s="18" t="s">
        <v>902</v>
      </c>
      <c r="B586" s="19" t="s">
        <v>836</v>
      </c>
      <c r="C586" s="20" t="s">
        <v>317</v>
      </c>
      <c r="D586" s="20">
        <v>66</v>
      </c>
      <c r="E586" s="14">
        <v>450</v>
      </c>
      <c r="F586" s="15">
        <v>0</v>
      </c>
      <c r="G586" s="15">
        <v>0</v>
      </c>
      <c r="H586" s="15">
        <v>0</v>
      </c>
      <c r="I586" s="15">
        <v>0</v>
      </c>
      <c r="J586" s="15">
        <v>0</v>
      </c>
      <c r="K586" s="15">
        <v>0</v>
      </c>
      <c r="L586" s="15">
        <v>0</v>
      </c>
      <c r="M586" s="15">
        <v>0</v>
      </c>
      <c r="N586" s="15">
        <v>0</v>
      </c>
      <c r="O586" s="15">
        <v>0</v>
      </c>
    </row>
    <row r="587" spans="1:15">
      <c r="A587" s="18" t="s">
        <v>903</v>
      </c>
      <c r="B587" s="19" t="s">
        <v>836</v>
      </c>
      <c r="C587" s="20" t="s">
        <v>317</v>
      </c>
      <c r="D587" s="20">
        <v>67</v>
      </c>
      <c r="E587" s="14">
        <v>450</v>
      </c>
      <c r="F587" s="15">
        <v>0</v>
      </c>
      <c r="G587" s="15">
        <v>0</v>
      </c>
      <c r="H587" s="15">
        <v>0</v>
      </c>
      <c r="I587" s="15">
        <v>0</v>
      </c>
      <c r="J587" s="15">
        <v>0</v>
      </c>
      <c r="K587" s="15">
        <v>0</v>
      </c>
      <c r="L587" s="15">
        <v>0</v>
      </c>
      <c r="M587" s="15">
        <v>0</v>
      </c>
      <c r="N587" s="15">
        <v>0</v>
      </c>
      <c r="O587" s="15">
        <v>0</v>
      </c>
    </row>
    <row r="588" spans="1:15">
      <c r="A588" s="18" t="s">
        <v>904</v>
      </c>
      <c r="B588" s="19" t="s">
        <v>836</v>
      </c>
      <c r="C588" s="20" t="s">
        <v>317</v>
      </c>
      <c r="D588" s="20">
        <v>68</v>
      </c>
      <c r="E588" s="14">
        <v>450</v>
      </c>
      <c r="F588" s="15">
        <v>0</v>
      </c>
      <c r="G588" s="15">
        <v>0</v>
      </c>
      <c r="H588" s="15">
        <v>0</v>
      </c>
      <c r="I588" s="15">
        <v>0</v>
      </c>
      <c r="J588" s="15">
        <v>0</v>
      </c>
      <c r="K588" s="15">
        <v>0</v>
      </c>
      <c r="L588" s="15">
        <v>0</v>
      </c>
      <c r="M588" s="15">
        <v>0</v>
      </c>
      <c r="N588" s="15">
        <v>0</v>
      </c>
      <c r="O588" s="15">
        <v>0</v>
      </c>
    </row>
    <row r="589" spans="1:15">
      <c r="A589" s="18" t="s">
        <v>905</v>
      </c>
      <c r="B589" s="19" t="s">
        <v>836</v>
      </c>
      <c r="C589" s="20" t="s">
        <v>317</v>
      </c>
      <c r="D589" s="20">
        <v>69</v>
      </c>
      <c r="E589" s="14">
        <v>450</v>
      </c>
      <c r="F589" s="15">
        <v>0</v>
      </c>
      <c r="G589" s="15">
        <v>0</v>
      </c>
      <c r="H589" s="15">
        <v>0</v>
      </c>
      <c r="I589" s="15">
        <v>0</v>
      </c>
      <c r="J589" s="15">
        <v>0</v>
      </c>
      <c r="K589" s="15">
        <v>0</v>
      </c>
      <c r="L589" s="15">
        <v>0</v>
      </c>
      <c r="M589" s="15">
        <v>0</v>
      </c>
      <c r="N589" s="15">
        <v>0</v>
      </c>
      <c r="O589" s="15">
        <v>0</v>
      </c>
    </row>
    <row r="590" spans="1:15">
      <c r="A590" s="18" t="s">
        <v>906</v>
      </c>
      <c r="B590" s="19" t="s">
        <v>836</v>
      </c>
      <c r="C590" s="20" t="s">
        <v>317</v>
      </c>
      <c r="D590" s="20">
        <v>70</v>
      </c>
      <c r="E590" s="14">
        <v>450</v>
      </c>
      <c r="F590" s="15">
        <v>0</v>
      </c>
      <c r="G590" s="15">
        <v>0</v>
      </c>
      <c r="H590" s="15">
        <v>0</v>
      </c>
      <c r="I590" s="15">
        <v>0</v>
      </c>
      <c r="J590" s="15">
        <v>0</v>
      </c>
      <c r="K590" s="15">
        <v>0</v>
      </c>
      <c r="L590" s="15">
        <v>0</v>
      </c>
      <c r="M590" s="15">
        <v>0</v>
      </c>
      <c r="N590" s="15">
        <v>0</v>
      </c>
      <c r="O590" s="15">
        <v>0</v>
      </c>
    </row>
    <row r="591" spans="1:15">
      <c r="A591" s="18" t="s">
        <v>907</v>
      </c>
      <c r="B591" s="19" t="s">
        <v>836</v>
      </c>
      <c r="C591" s="20" t="s">
        <v>317</v>
      </c>
      <c r="D591" s="20">
        <v>71</v>
      </c>
      <c r="E591" s="14">
        <v>450</v>
      </c>
      <c r="F591" s="15">
        <v>0</v>
      </c>
      <c r="G591" s="15">
        <v>0</v>
      </c>
      <c r="H591" s="15">
        <v>0</v>
      </c>
      <c r="I591" s="15">
        <v>0</v>
      </c>
      <c r="J591" s="15">
        <v>0</v>
      </c>
      <c r="K591" s="15">
        <v>0</v>
      </c>
      <c r="L591" s="15">
        <v>0</v>
      </c>
      <c r="M591" s="15">
        <v>0</v>
      </c>
      <c r="N591" s="15">
        <v>0</v>
      </c>
      <c r="O591" s="15">
        <v>0</v>
      </c>
    </row>
    <row r="592" spans="1:15">
      <c r="A592" s="18" t="s">
        <v>908</v>
      </c>
      <c r="B592" s="19" t="s">
        <v>836</v>
      </c>
      <c r="C592" s="20" t="s">
        <v>317</v>
      </c>
      <c r="D592" s="20">
        <v>72</v>
      </c>
      <c r="E592" s="14">
        <v>450</v>
      </c>
      <c r="F592" s="15">
        <v>0</v>
      </c>
      <c r="G592" s="15">
        <v>0</v>
      </c>
      <c r="H592" s="15">
        <v>0</v>
      </c>
      <c r="I592" s="15">
        <v>0</v>
      </c>
      <c r="J592" s="15">
        <v>0</v>
      </c>
      <c r="K592" s="15">
        <v>0</v>
      </c>
      <c r="L592" s="15">
        <v>0</v>
      </c>
      <c r="M592" s="15">
        <v>0</v>
      </c>
      <c r="N592" s="15">
        <v>0</v>
      </c>
      <c r="O592" s="15">
        <v>0</v>
      </c>
    </row>
    <row r="593" spans="1:15">
      <c r="A593" s="18" t="s">
        <v>909</v>
      </c>
      <c r="B593" s="19" t="s">
        <v>836</v>
      </c>
      <c r="C593" s="20" t="s">
        <v>317</v>
      </c>
      <c r="D593" s="20">
        <v>73</v>
      </c>
      <c r="E593" s="14">
        <v>450</v>
      </c>
      <c r="F593" s="15">
        <v>0</v>
      </c>
      <c r="G593" s="15">
        <v>0</v>
      </c>
      <c r="H593" s="15">
        <v>0</v>
      </c>
      <c r="I593" s="15">
        <v>0</v>
      </c>
      <c r="J593" s="15">
        <v>0</v>
      </c>
      <c r="K593" s="15">
        <v>0</v>
      </c>
      <c r="L593" s="15">
        <v>0</v>
      </c>
      <c r="M593" s="15">
        <v>0</v>
      </c>
      <c r="N593" s="15">
        <v>0</v>
      </c>
      <c r="O593" s="15">
        <v>0</v>
      </c>
    </row>
    <row r="594" spans="1:15">
      <c r="A594" s="18" t="s">
        <v>910</v>
      </c>
      <c r="B594" s="19" t="s">
        <v>836</v>
      </c>
      <c r="C594" s="20" t="s">
        <v>317</v>
      </c>
      <c r="D594" s="20">
        <v>74</v>
      </c>
      <c r="E594" s="14">
        <v>450</v>
      </c>
      <c r="F594" s="15">
        <v>0</v>
      </c>
      <c r="G594" s="15">
        <v>0</v>
      </c>
      <c r="H594" s="15">
        <v>0</v>
      </c>
      <c r="I594" s="15">
        <v>0</v>
      </c>
      <c r="J594" s="15">
        <v>0</v>
      </c>
      <c r="K594" s="15">
        <v>0</v>
      </c>
      <c r="L594" s="15">
        <v>0</v>
      </c>
      <c r="M594" s="15">
        <v>0</v>
      </c>
      <c r="N594" s="15">
        <v>0</v>
      </c>
      <c r="O594" s="15">
        <v>0</v>
      </c>
    </row>
    <row r="595" spans="1:15">
      <c r="A595" s="18" t="s">
        <v>911</v>
      </c>
      <c r="B595" s="19" t="s">
        <v>836</v>
      </c>
      <c r="C595" s="20" t="s">
        <v>317</v>
      </c>
      <c r="D595" s="20">
        <v>75</v>
      </c>
      <c r="E595" s="14">
        <v>450</v>
      </c>
      <c r="F595" s="15">
        <v>0</v>
      </c>
      <c r="G595" s="15">
        <v>0</v>
      </c>
      <c r="H595" s="15">
        <v>0</v>
      </c>
      <c r="I595" s="15">
        <v>0</v>
      </c>
      <c r="J595" s="15">
        <v>0</v>
      </c>
      <c r="K595" s="15">
        <v>0</v>
      </c>
      <c r="L595" s="15">
        <v>0</v>
      </c>
      <c r="M595" s="15">
        <v>0</v>
      </c>
      <c r="N595" s="15">
        <v>0</v>
      </c>
      <c r="O595" s="15">
        <v>0</v>
      </c>
    </row>
    <row r="596" spans="1:15">
      <c r="A596" s="18" t="s">
        <v>912</v>
      </c>
      <c r="B596" s="19" t="s">
        <v>836</v>
      </c>
      <c r="C596" s="20" t="s">
        <v>317</v>
      </c>
      <c r="D596" s="20">
        <v>76</v>
      </c>
      <c r="E596" s="14">
        <v>450</v>
      </c>
      <c r="F596" s="15">
        <v>0</v>
      </c>
      <c r="G596" s="15">
        <v>0</v>
      </c>
      <c r="H596" s="15">
        <v>0</v>
      </c>
      <c r="I596" s="15">
        <v>0</v>
      </c>
      <c r="J596" s="15">
        <v>0</v>
      </c>
      <c r="K596" s="15">
        <v>0</v>
      </c>
      <c r="L596" s="15">
        <v>0</v>
      </c>
      <c r="M596" s="15">
        <v>0</v>
      </c>
      <c r="N596" s="15">
        <v>0</v>
      </c>
      <c r="O596" s="15">
        <v>0</v>
      </c>
    </row>
    <row r="597" spans="1:15">
      <c r="A597" s="18" t="s">
        <v>913</v>
      </c>
      <c r="B597" s="19" t="s">
        <v>836</v>
      </c>
      <c r="C597" s="20" t="s">
        <v>317</v>
      </c>
      <c r="D597" s="20">
        <v>77</v>
      </c>
      <c r="E597" s="14">
        <v>450</v>
      </c>
      <c r="F597" s="15">
        <v>0</v>
      </c>
      <c r="G597" s="15">
        <v>0</v>
      </c>
      <c r="H597" s="15">
        <v>0</v>
      </c>
      <c r="I597" s="15">
        <v>0</v>
      </c>
      <c r="J597" s="15">
        <v>0</v>
      </c>
      <c r="K597" s="15">
        <v>0</v>
      </c>
      <c r="L597" s="15">
        <v>0</v>
      </c>
      <c r="M597" s="15">
        <v>0</v>
      </c>
      <c r="N597" s="15">
        <v>0</v>
      </c>
      <c r="O597" s="15">
        <v>0</v>
      </c>
    </row>
    <row r="598" spans="1:15">
      <c r="A598" s="18" t="s">
        <v>914</v>
      </c>
      <c r="B598" s="19" t="s">
        <v>836</v>
      </c>
      <c r="C598" s="20" t="s">
        <v>317</v>
      </c>
      <c r="D598" s="20">
        <v>78</v>
      </c>
      <c r="E598" s="14">
        <v>450</v>
      </c>
      <c r="F598" s="15">
        <v>0</v>
      </c>
      <c r="G598" s="15">
        <v>0</v>
      </c>
      <c r="H598" s="15">
        <v>0</v>
      </c>
      <c r="I598" s="15">
        <v>0</v>
      </c>
      <c r="J598" s="15">
        <v>0</v>
      </c>
      <c r="K598" s="15">
        <v>0</v>
      </c>
      <c r="L598" s="15">
        <v>0</v>
      </c>
      <c r="M598" s="15">
        <v>0</v>
      </c>
      <c r="N598" s="15">
        <v>0</v>
      </c>
      <c r="O598" s="15">
        <v>0</v>
      </c>
    </row>
    <row r="599" spans="1:15">
      <c r="A599" s="18" t="s">
        <v>915</v>
      </c>
      <c r="B599" s="19" t="s">
        <v>836</v>
      </c>
      <c r="C599" s="20" t="s">
        <v>317</v>
      </c>
      <c r="D599" s="20">
        <v>79</v>
      </c>
      <c r="E599" s="14">
        <v>450</v>
      </c>
      <c r="F599" s="15">
        <v>0</v>
      </c>
      <c r="G599" s="15">
        <v>0</v>
      </c>
      <c r="H599" s="15">
        <v>0</v>
      </c>
      <c r="I599" s="15">
        <v>0</v>
      </c>
      <c r="J599" s="15">
        <v>0</v>
      </c>
      <c r="K599" s="15">
        <v>0</v>
      </c>
      <c r="L599" s="15">
        <v>0</v>
      </c>
      <c r="M599" s="15">
        <v>0</v>
      </c>
      <c r="N599" s="15">
        <v>0</v>
      </c>
      <c r="O599" s="15">
        <v>0</v>
      </c>
    </row>
    <row r="600" spans="1:15">
      <c r="A600" s="18" t="s">
        <v>916</v>
      </c>
      <c r="B600" s="19" t="s">
        <v>836</v>
      </c>
      <c r="C600" s="20" t="s">
        <v>317</v>
      </c>
      <c r="D600" s="20">
        <v>80</v>
      </c>
      <c r="E600" s="14">
        <v>450</v>
      </c>
      <c r="F600" s="15">
        <v>0</v>
      </c>
      <c r="G600" s="15">
        <v>0</v>
      </c>
      <c r="H600" s="15">
        <v>0</v>
      </c>
      <c r="I600" s="15">
        <v>0</v>
      </c>
      <c r="J600" s="15">
        <v>0</v>
      </c>
      <c r="K600" s="15">
        <v>0</v>
      </c>
      <c r="L600" s="15">
        <v>0</v>
      </c>
      <c r="M600" s="15">
        <v>0</v>
      </c>
      <c r="N600" s="15">
        <v>0</v>
      </c>
      <c r="O600" s="15">
        <v>0</v>
      </c>
    </row>
    <row r="601" spans="1:15">
      <c r="A601" s="18" t="s">
        <v>917</v>
      </c>
      <c r="B601" s="19" t="s">
        <v>836</v>
      </c>
      <c r="C601" s="20" t="s">
        <v>317</v>
      </c>
      <c r="D601" s="20">
        <v>81</v>
      </c>
      <c r="E601" s="14">
        <v>450</v>
      </c>
      <c r="F601" s="15">
        <v>0</v>
      </c>
      <c r="G601" s="15">
        <v>0</v>
      </c>
      <c r="H601" s="15">
        <v>0</v>
      </c>
      <c r="I601" s="15">
        <v>0</v>
      </c>
      <c r="J601" s="15">
        <v>0</v>
      </c>
      <c r="K601" s="15">
        <v>0</v>
      </c>
      <c r="L601" s="15">
        <v>0</v>
      </c>
      <c r="M601" s="15">
        <v>0</v>
      </c>
      <c r="N601" s="15">
        <v>0</v>
      </c>
      <c r="O601" s="15">
        <v>0</v>
      </c>
    </row>
    <row r="602" spans="1:15">
      <c r="A602" s="18" t="s">
        <v>918</v>
      </c>
      <c r="B602" s="19" t="s">
        <v>836</v>
      </c>
      <c r="C602" s="20" t="s">
        <v>317</v>
      </c>
      <c r="D602" s="20">
        <v>82</v>
      </c>
      <c r="E602" s="14">
        <v>450</v>
      </c>
      <c r="F602" s="15">
        <v>0</v>
      </c>
      <c r="G602" s="15">
        <v>0</v>
      </c>
      <c r="H602" s="15">
        <v>0</v>
      </c>
      <c r="I602" s="15">
        <v>0</v>
      </c>
      <c r="J602" s="15">
        <v>0</v>
      </c>
      <c r="K602" s="15">
        <v>0</v>
      </c>
      <c r="L602" s="15">
        <v>0</v>
      </c>
      <c r="M602" s="15">
        <v>0</v>
      </c>
      <c r="N602" s="15">
        <v>0</v>
      </c>
      <c r="O602" s="15">
        <v>0</v>
      </c>
    </row>
    <row r="603" spans="1:15">
      <c r="A603" s="18" t="s">
        <v>919</v>
      </c>
      <c r="B603" s="19" t="s">
        <v>836</v>
      </c>
      <c r="C603" s="20" t="s">
        <v>317</v>
      </c>
      <c r="D603" s="20">
        <v>83</v>
      </c>
      <c r="E603" s="14">
        <v>450</v>
      </c>
      <c r="F603" s="15">
        <v>0</v>
      </c>
      <c r="G603" s="15">
        <v>0</v>
      </c>
      <c r="H603" s="15">
        <v>0</v>
      </c>
      <c r="I603" s="15">
        <v>0</v>
      </c>
      <c r="J603" s="15">
        <v>0</v>
      </c>
      <c r="K603" s="15">
        <v>0</v>
      </c>
      <c r="L603" s="15">
        <v>0</v>
      </c>
      <c r="M603" s="15">
        <v>0</v>
      </c>
      <c r="N603" s="15">
        <v>0</v>
      </c>
      <c r="O603" s="15">
        <v>0</v>
      </c>
    </row>
    <row r="604" spans="1:15">
      <c r="A604" s="18" t="s">
        <v>920</v>
      </c>
      <c r="B604" s="19" t="s">
        <v>836</v>
      </c>
      <c r="C604" s="20" t="s">
        <v>317</v>
      </c>
      <c r="D604" s="20">
        <v>84</v>
      </c>
      <c r="E604" s="14">
        <v>450</v>
      </c>
      <c r="F604" s="15">
        <v>0</v>
      </c>
      <c r="G604" s="15">
        <v>0</v>
      </c>
      <c r="H604" s="15">
        <v>0</v>
      </c>
      <c r="I604" s="15">
        <v>0</v>
      </c>
      <c r="J604" s="15">
        <v>0</v>
      </c>
      <c r="K604" s="15">
        <v>0</v>
      </c>
      <c r="L604" s="15">
        <v>0</v>
      </c>
      <c r="M604" s="15">
        <v>0</v>
      </c>
      <c r="N604" s="15">
        <v>0</v>
      </c>
      <c r="O604" s="15">
        <v>0</v>
      </c>
    </row>
    <row r="605" spans="1:15">
      <c r="A605" s="18" t="s">
        <v>921</v>
      </c>
      <c r="B605" s="19" t="s">
        <v>836</v>
      </c>
      <c r="C605" s="20" t="s">
        <v>317</v>
      </c>
      <c r="D605" s="20">
        <v>85</v>
      </c>
      <c r="E605" s="14">
        <v>450</v>
      </c>
      <c r="F605" s="15">
        <v>0</v>
      </c>
      <c r="G605" s="15">
        <v>0</v>
      </c>
      <c r="H605" s="15">
        <v>0</v>
      </c>
      <c r="I605" s="15">
        <v>0</v>
      </c>
      <c r="J605" s="15">
        <v>0</v>
      </c>
      <c r="K605" s="15">
        <v>0</v>
      </c>
      <c r="L605" s="15">
        <v>0</v>
      </c>
      <c r="M605" s="15">
        <v>0</v>
      </c>
      <c r="N605" s="15">
        <v>0</v>
      </c>
      <c r="O605" s="15">
        <v>0</v>
      </c>
    </row>
    <row r="606" spans="1:15">
      <c r="A606" s="18" t="s">
        <v>922</v>
      </c>
      <c r="B606" s="19" t="s">
        <v>836</v>
      </c>
      <c r="C606" s="20" t="s">
        <v>404</v>
      </c>
      <c r="D606" s="20">
        <v>0</v>
      </c>
      <c r="E606" s="14">
        <v>450</v>
      </c>
      <c r="F606" s="15">
        <v>0</v>
      </c>
      <c r="G606" s="15">
        <v>0</v>
      </c>
      <c r="H606" s="15">
        <v>0</v>
      </c>
      <c r="I606" s="15">
        <v>0</v>
      </c>
      <c r="J606" s="15">
        <v>0</v>
      </c>
      <c r="K606" s="15">
        <v>0</v>
      </c>
      <c r="L606" s="15">
        <v>0</v>
      </c>
      <c r="M606" s="15">
        <v>0</v>
      </c>
      <c r="N606" s="15">
        <v>0</v>
      </c>
      <c r="O606" s="15">
        <v>0</v>
      </c>
    </row>
    <row r="607" spans="1:15">
      <c r="A607" s="18" t="s">
        <v>923</v>
      </c>
      <c r="B607" s="19" t="s">
        <v>836</v>
      </c>
      <c r="C607" s="20" t="s">
        <v>404</v>
      </c>
      <c r="D607" s="20">
        <v>1</v>
      </c>
      <c r="E607" s="14">
        <v>450</v>
      </c>
      <c r="F607" s="15">
        <v>0</v>
      </c>
      <c r="G607" s="15">
        <v>0</v>
      </c>
      <c r="H607" s="15">
        <v>0</v>
      </c>
      <c r="I607" s="15">
        <v>0</v>
      </c>
      <c r="J607" s="15">
        <v>0</v>
      </c>
      <c r="K607" s="15">
        <v>0</v>
      </c>
      <c r="L607" s="15">
        <v>0</v>
      </c>
      <c r="M607" s="15">
        <v>0</v>
      </c>
      <c r="N607" s="15">
        <v>0</v>
      </c>
      <c r="O607" s="15">
        <v>0</v>
      </c>
    </row>
    <row r="608" spans="1:15">
      <c r="A608" s="18" t="s">
        <v>924</v>
      </c>
      <c r="B608" s="19" t="s">
        <v>836</v>
      </c>
      <c r="C608" s="20" t="s">
        <v>404</v>
      </c>
      <c r="D608" s="20">
        <v>2</v>
      </c>
      <c r="E608" s="14">
        <v>450</v>
      </c>
      <c r="F608" s="15">
        <v>0</v>
      </c>
      <c r="G608" s="15">
        <v>0</v>
      </c>
      <c r="H608" s="15">
        <v>0</v>
      </c>
      <c r="I608" s="15">
        <v>0</v>
      </c>
      <c r="J608" s="15">
        <v>0</v>
      </c>
      <c r="K608" s="15">
        <v>0</v>
      </c>
      <c r="L608" s="15">
        <v>0</v>
      </c>
      <c r="M608" s="15">
        <v>0</v>
      </c>
      <c r="N608" s="15">
        <v>0</v>
      </c>
      <c r="O608" s="15">
        <v>0</v>
      </c>
    </row>
    <row r="609" spans="1:15">
      <c r="A609" s="18" t="s">
        <v>925</v>
      </c>
      <c r="B609" s="19" t="s">
        <v>836</v>
      </c>
      <c r="C609" s="20" t="s">
        <v>404</v>
      </c>
      <c r="D609" s="20">
        <v>3</v>
      </c>
      <c r="E609" s="14">
        <v>450</v>
      </c>
      <c r="F609" s="15">
        <v>0</v>
      </c>
      <c r="G609" s="15">
        <v>0</v>
      </c>
      <c r="H609" s="15">
        <v>0</v>
      </c>
      <c r="I609" s="15">
        <v>0</v>
      </c>
      <c r="J609" s="15">
        <v>0</v>
      </c>
      <c r="K609" s="15">
        <v>0</v>
      </c>
      <c r="L609" s="15">
        <v>0</v>
      </c>
      <c r="M609" s="15">
        <v>0</v>
      </c>
      <c r="N609" s="15">
        <v>0</v>
      </c>
      <c r="O609" s="15">
        <v>0</v>
      </c>
    </row>
    <row r="610" spans="1:15">
      <c r="A610" s="18" t="s">
        <v>926</v>
      </c>
      <c r="B610" s="19" t="s">
        <v>836</v>
      </c>
      <c r="C610" s="20" t="s">
        <v>404</v>
      </c>
      <c r="D610" s="20">
        <v>4</v>
      </c>
      <c r="E610" s="14">
        <v>450</v>
      </c>
      <c r="F610" s="15">
        <v>0</v>
      </c>
      <c r="G610" s="15">
        <v>0</v>
      </c>
      <c r="H610" s="15">
        <v>0</v>
      </c>
      <c r="I610" s="15">
        <v>0</v>
      </c>
      <c r="J610" s="15">
        <v>0</v>
      </c>
      <c r="K610" s="15">
        <v>0</v>
      </c>
      <c r="L610" s="15">
        <v>0</v>
      </c>
      <c r="M610" s="15">
        <v>0</v>
      </c>
      <c r="N610" s="15">
        <v>0</v>
      </c>
      <c r="O610" s="15">
        <v>0</v>
      </c>
    </row>
    <row r="611" spans="1:15">
      <c r="A611" s="11" t="s">
        <v>927</v>
      </c>
      <c r="B611" s="12" t="s">
        <v>836</v>
      </c>
      <c r="C611" s="13" t="s">
        <v>404</v>
      </c>
      <c r="D611" s="13">
        <v>5</v>
      </c>
      <c r="E611" s="14">
        <v>450</v>
      </c>
      <c r="F611" s="15">
        <v>0</v>
      </c>
      <c r="G611" s="15">
        <v>0</v>
      </c>
      <c r="H611" s="15">
        <v>0</v>
      </c>
      <c r="I611" s="15">
        <v>0</v>
      </c>
      <c r="J611" s="15">
        <v>0</v>
      </c>
      <c r="K611" s="15">
        <v>0</v>
      </c>
      <c r="L611" s="15">
        <v>0</v>
      </c>
      <c r="M611" s="15">
        <v>0</v>
      </c>
      <c r="N611" s="15">
        <v>0</v>
      </c>
      <c r="O611" s="15">
        <v>0</v>
      </c>
    </row>
    <row r="612" spans="1:15">
      <c r="A612" s="11" t="s">
        <v>928</v>
      </c>
      <c r="B612" s="12" t="s">
        <v>836</v>
      </c>
      <c r="C612" s="13" t="s">
        <v>404</v>
      </c>
      <c r="D612" s="13">
        <v>6</v>
      </c>
      <c r="E612" s="14">
        <v>450</v>
      </c>
      <c r="F612" s="15">
        <v>0</v>
      </c>
      <c r="G612" s="15">
        <v>0</v>
      </c>
      <c r="H612" s="15">
        <v>0</v>
      </c>
      <c r="I612" s="15">
        <v>0</v>
      </c>
      <c r="J612" s="15">
        <v>0</v>
      </c>
      <c r="K612" s="15">
        <v>0</v>
      </c>
      <c r="L612" s="15">
        <v>0</v>
      </c>
      <c r="M612" s="15">
        <v>0</v>
      </c>
      <c r="N612" s="15">
        <v>0</v>
      </c>
      <c r="O612" s="15">
        <v>0</v>
      </c>
    </row>
    <row r="613" spans="1:15">
      <c r="A613" s="11" t="s">
        <v>929</v>
      </c>
      <c r="B613" s="12" t="s">
        <v>836</v>
      </c>
      <c r="C613" s="13" t="s">
        <v>404</v>
      </c>
      <c r="D613" s="13">
        <v>7</v>
      </c>
      <c r="E613" s="14">
        <v>450</v>
      </c>
      <c r="F613" s="15">
        <v>0</v>
      </c>
      <c r="G613" s="15">
        <v>0</v>
      </c>
      <c r="H613" s="15">
        <v>0</v>
      </c>
      <c r="I613" s="15">
        <v>0</v>
      </c>
      <c r="J613" s="15">
        <v>0</v>
      </c>
      <c r="K613" s="15">
        <v>0</v>
      </c>
      <c r="L613" s="15">
        <v>0</v>
      </c>
      <c r="M613" s="15">
        <v>0</v>
      </c>
      <c r="N613" s="15">
        <v>0</v>
      </c>
      <c r="O613" s="15">
        <v>0</v>
      </c>
    </row>
    <row r="614" spans="1:15">
      <c r="A614" s="11" t="s">
        <v>930</v>
      </c>
      <c r="B614" s="12" t="s">
        <v>836</v>
      </c>
      <c r="C614" s="13" t="s">
        <v>404</v>
      </c>
      <c r="D614" s="13">
        <v>8</v>
      </c>
      <c r="E614" s="14">
        <v>450</v>
      </c>
      <c r="F614" s="15">
        <v>0</v>
      </c>
      <c r="G614" s="15">
        <v>0</v>
      </c>
      <c r="H614" s="15">
        <v>0</v>
      </c>
      <c r="I614" s="15">
        <v>0</v>
      </c>
      <c r="J614" s="15">
        <v>0</v>
      </c>
      <c r="K614" s="15">
        <v>0</v>
      </c>
      <c r="L614" s="15">
        <v>0</v>
      </c>
      <c r="M614" s="15">
        <v>0</v>
      </c>
      <c r="N614" s="15">
        <v>0</v>
      </c>
      <c r="O614" s="15">
        <v>0</v>
      </c>
    </row>
    <row r="615" spans="1:15">
      <c r="A615" s="11" t="s">
        <v>931</v>
      </c>
      <c r="B615" s="12" t="s">
        <v>836</v>
      </c>
      <c r="C615" s="13" t="s">
        <v>404</v>
      </c>
      <c r="D615" s="13">
        <v>9</v>
      </c>
      <c r="E615" s="14">
        <v>450</v>
      </c>
      <c r="F615" s="15">
        <v>0</v>
      </c>
      <c r="G615" s="15">
        <v>0</v>
      </c>
      <c r="H615" s="15">
        <v>0</v>
      </c>
      <c r="I615" s="15">
        <v>0</v>
      </c>
      <c r="J615" s="15">
        <v>0</v>
      </c>
      <c r="K615" s="15">
        <v>0</v>
      </c>
      <c r="L615" s="15">
        <v>0</v>
      </c>
      <c r="M615" s="15">
        <v>0</v>
      </c>
      <c r="N615" s="15">
        <v>0</v>
      </c>
      <c r="O615" s="15">
        <v>0</v>
      </c>
    </row>
    <row r="616" spans="1:15">
      <c r="A616" s="11" t="s">
        <v>932</v>
      </c>
      <c r="B616" s="12" t="s">
        <v>836</v>
      </c>
      <c r="C616" s="13" t="s">
        <v>404</v>
      </c>
      <c r="D616" s="13">
        <v>10</v>
      </c>
      <c r="E616" s="14">
        <v>450</v>
      </c>
      <c r="F616" s="15">
        <v>0</v>
      </c>
      <c r="G616" s="15">
        <v>0</v>
      </c>
      <c r="H616" s="15">
        <v>0</v>
      </c>
      <c r="I616" s="15">
        <v>0</v>
      </c>
      <c r="J616" s="15">
        <v>0</v>
      </c>
      <c r="K616" s="15">
        <v>0</v>
      </c>
      <c r="L616" s="15">
        <v>0</v>
      </c>
      <c r="M616" s="15">
        <v>0</v>
      </c>
      <c r="N616" s="15">
        <v>0</v>
      </c>
      <c r="O616" s="15">
        <v>0</v>
      </c>
    </row>
    <row r="617" spans="1:15">
      <c r="A617" s="11" t="s">
        <v>933</v>
      </c>
      <c r="B617" s="12" t="s">
        <v>836</v>
      </c>
      <c r="C617" s="13" t="s">
        <v>404</v>
      </c>
      <c r="D617" s="13">
        <v>11</v>
      </c>
      <c r="E617" s="14">
        <v>450</v>
      </c>
      <c r="F617" s="15">
        <v>0</v>
      </c>
      <c r="G617" s="15">
        <v>0</v>
      </c>
      <c r="H617" s="15">
        <v>0</v>
      </c>
      <c r="I617" s="15">
        <v>0</v>
      </c>
      <c r="J617" s="15">
        <v>0</v>
      </c>
      <c r="K617" s="15">
        <v>0</v>
      </c>
      <c r="L617" s="15">
        <v>0</v>
      </c>
      <c r="M617" s="15">
        <v>0</v>
      </c>
      <c r="N617" s="15">
        <v>0</v>
      </c>
      <c r="O617" s="15">
        <v>0</v>
      </c>
    </row>
    <row r="618" spans="1:15">
      <c r="A618" s="11" t="s">
        <v>934</v>
      </c>
      <c r="B618" s="12" t="s">
        <v>836</v>
      </c>
      <c r="C618" s="13" t="s">
        <v>404</v>
      </c>
      <c r="D618" s="13">
        <v>12</v>
      </c>
      <c r="E618" s="14">
        <v>450</v>
      </c>
      <c r="F618" s="15">
        <v>0</v>
      </c>
      <c r="G618" s="15">
        <v>0</v>
      </c>
      <c r="H618" s="15">
        <v>0</v>
      </c>
      <c r="I618" s="15">
        <v>0</v>
      </c>
      <c r="J618" s="15">
        <v>0</v>
      </c>
      <c r="K618" s="15">
        <v>0</v>
      </c>
      <c r="L618" s="15">
        <v>0</v>
      </c>
      <c r="M618" s="15">
        <v>0</v>
      </c>
      <c r="N618" s="15">
        <v>0</v>
      </c>
      <c r="O618" s="15">
        <v>0</v>
      </c>
    </row>
    <row r="619" spans="1:15">
      <c r="A619" s="11" t="s">
        <v>935</v>
      </c>
      <c r="B619" s="12" t="s">
        <v>836</v>
      </c>
      <c r="C619" s="13" t="s">
        <v>404</v>
      </c>
      <c r="D619" s="13">
        <v>13</v>
      </c>
      <c r="E619" s="14">
        <v>450</v>
      </c>
      <c r="F619" s="15">
        <v>0</v>
      </c>
      <c r="G619" s="15">
        <v>0</v>
      </c>
      <c r="H619" s="15">
        <v>0</v>
      </c>
      <c r="I619" s="15">
        <v>0</v>
      </c>
      <c r="J619" s="15">
        <v>0</v>
      </c>
      <c r="K619" s="15">
        <v>0</v>
      </c>
      <c r="L619" s="15">
        <v>0</v>
      </c>
      <c r="M619" s="15">
        <v>0</v>
      </c>
      <c r="N619" s="15">
        <v>0</v>
      </c>
      <c r="O619" s="15">
        <v>0</v>
      </c>
    </row>
    <row r="620" spans="1:15">
      <c r="A620" s="11" t="s">
        <v>936</v>
      </c>
      <c r="B620" s="12" t="s">
        <v>836</v>
      </c>
      <c r="C620" s="13" t="s">
        <v>404</v>
      </c>
      <c r="D620" s="13">
        <v>14</v>
      </c>
      <c r="E620" s="14">
        <v>450</v>
      </c>
      <c r="F620" s="15">
        <v>0</v>
      </c>
      <c r="G620" s="15">
        <v>0</v>
      </c>
      <c r="H620" s="15">
        <v>0</v>
      </c>
      <c r="I620" s="15">
        <v>0</v>
      </c>
      <c r="J620" s="15">
        <v>0</v>
      </c>
      <c r="K620" s="15">
        <v>0</v>
      </c>
      <c r="L620" s="15">
        <v>0</v>
      </c>
      <c r="M620" s="15">
        <v>0</v>
      </c>
      <c r="N620" s="15">
        <v>0</v>
      </c>
      <c r="O620" s="15">
        <v>0</v>
      </c>
    </row>
    <row r="621" spans="1:15">
      <c r="A621" s="11" t="s">
        <v>937</v>
      </c>
      <c r="B621" s="12" t="s">
        <v>836</v>
      </c>
      <c r="C621" s="13" t="s">
        <v>404</v>
      </c>
      <c r="D621" s="13">
        <v>15</v>
      </c>
      <c r="E621" s="14">
        <v>450</v>
      </c>
      <c r="F621" s="15">
        <v>0</v>
      </c>
      <c r="G621" s="15">
        <v>0</v>
      </c>
      <c r="H621" s="15">
        <v>0</v>
      </c>
      <c r="I621" s="15">
        <v>0</v>
      </c>
      <c r="J621" s="15">
        <v>0</v>
      </c>
      <c r="K621" s="15">
        <v>0</v>
      </c>
      <c r="L621" s="15">
        <v>0</v>
      </c>
      <c r="M621" s="15">
        <v>0</v>
      </c>
      <c r="N621" s="15">
        <v>0</v>
      </c>
      <c r="O621" s="15">
        <v>0</v>
      </c>
    </row>
    <row r="622" spans="1:15">
      <c r="A622" s="11" t="s">
        <v>938</v>
      </c>
      <c r="B622" s="12" t="s">
        <v>836</v>
      </c>
      <c r="C622" s="13" t="s">
        <v>404</v>
      </c>
      <c r="D622" s="13">
        <v>16</v>
      </c>
      <c r="E622" s="14">
        <v>450</v>
      </c>
      <c r="F622" s="15">
        <v>0</v>
      </c>
      <c r="G622" s="15">
        <v>0</v>
      </c>
      <c r="H622" s="15">
        <v>0</v>
      </c>
      <c r="I622" s="15">
        <v>0</v>
      </c>
      <c r="J622" s="15">
        <v>0</v>
      </c>
      <c r="K622" s="15">
        <v>0</v>
      </c>
      <c r="L622" s="15">
        <v>0</v>
      </c>
      <c r="M622" s="15">
        <v>0</v>
      </c>
      <c r="N622" s="15">
        <v>0</v>
      </c>
      <c r="O622" s="15">
        <v>0</v>
      </c>
    </row>
    <row r="623" spans="1:15">
      <c r="A623" s="11" t="s">
        <v>939</v>
      </c>
      <c r="B623" s="12" t="s">
        <v>836</v>
      </c>
      <c r="C623" s="13" t="s">
        <v>404</v>
      </c>
      <c r="D623" s="13">
        <v>17</v>
      </c>
      <c r="E623" s="14">
        <v>450</v>
      </c>
      <c r="F623" s="15">
        <v>0</v>
      </c>
      <c r="G623" s="15">
        <v>0</v>
      </c>
      <c r="H623" s="15">
        <v>0</v>
      </c>
      <c r="I623" s="15">
        <v>0</v>
      </c>
      <c r="J623" s="15">
        <v>0</v>
      </c>
      <c r="K623" s="15">
        <v>0</v>
      </c>
      <c r="L623" s="15">
        <v>0</v>
      </c>
      <c r="M623" s="15">
        <v>0</v>
      </c>
      <c r="N623" s="15">
        <v>0</v>
      </c>
      <c r="O623" s="15">
        <v>0</v>
      </c>
    </row>
    <row r="624" spans="1:15">
      <c r="A624" s="11" t="s">
        <v>940</v>
      </c>
      <c r="B624" s="12" t="s">
        <v>836</v>
      </c>
      <c r="C624" s="13" t="s">
        <v>404</v>
      </c>
      <c r="D624" s="13">
        <v>18</v>
      </c>
      <c r="E624" s="14">
        <v>450</v>
      </c>
      <c r="F624" s="15">
        <v>0</v>
      </c>
      <c r="G624" s="15">
        <v>0</v>
      </c>
      <c r="H624" s="15">
        <v>0</v>
      </c>
      <c r="I624" s="15">
        <v>0</v>
      </c>
      <c r="J624" s="15">
        <v>0</v>
      </c>
      <c r="K624" s="15">
        <v>0</v>
      </c>
      <c r="L624" s="15">
        <v>0</v>
      </c>
      <c r="M624" s="15">
        <v>0</v>
      </c>
      <c r="N624" s="15">
        <v>0</v>
      </c>
      <c r="O624" s="15">
        <v>0</v>
      </c>
    </row>
    <row r="625" spans="1:15">
      <c r="A625" s="11" t="s">
        <v>941</v>
      </c>
      <c r="B625" s="12" t="s">
        <v>836</v>
      </c>
      <c r="C625" s="13" t="s">
        <v>404</v>
      </c>
      <c r="D625" s="13">
        <v>19</v>
      </c>
      <c r="E625" s="14">
        <v>450</v>
      </c>
      <c r="F625" s="15">
        <v>0</v>
      </c>
      <c r="G625" s="15">
        <v>0</v>
      </c>
      <c r="H625" s="15">
        <v>0</v>
      </c>
      <c r="I625" s="15">
        <v>0</v>
      </c>
      <c r="J625" s="15">
        <v>0</v>
      </c>
      <c r="K625" s="15">
        <v>0</v>
      </c>
      <c r="L625" s="15">
        <v>0</v>
      </c>
      <c r="M625" s="15">
        <v>0</v>
      </c>
      <c r="N625" s="15">
        <v>0</v>
      </c>
      <c r="O625" s="15">
        <v>0</v>
      </c>
    </row>
    <row r="626" spans="1:15">
      <c r="A626" s="11" t="s">
        <v>942</v>
      </c>
      <c r="B626" s="12" t="s">
        <v>836</v>
      </c>
      <c r="C626" s="13" t="s">
        <v>404</v>
      </c>
      <c r="D626" s="13">
        <v>20</v>
      </c>
      <c r="E626" s="14">
        <v>450</v>
      </c>
      <c r="F626" s="15">
        <v>0</v>
      </c>
      <c r="G626" s="15">
        <v>0</v>
      </c>
      <c r="H626" s="15">
        <v>0</v>
      </c>
      <c r="I626" s="15">
        <v>0</v>
      </c>
      <c r="J626" s="15">
        <v>0</v>
      </c>
      <c r="K626" s="15">
        <v>0</v>
      </c>
      <c r="L626" s="15">
        <v>0</v>
      </c>
      <c r="M626" s="15">
        <v>0</v>
      </c>
      <c r="N626" s="15">
        <v>0</v>
      </c>
      <c r="O626" s="15">
        <v>0</v>
      </c>
    </row>
    <row r="627" spans="1:15">
      <c r="A627" s="11" t="s">
        <v>943</v>
      </c>
      <c r="B627" s="12" t="s">
        <v>836</v>
      </c>
      <c r="C627" s="13" t="s">
        <v>404</v>
      </c>
      <c r="D627" s="13">
        <v>21</v>
      </c>
      <c r="E627" s="14">
        <v>450</v>
      </c>
      <c r="F627" s="15">
        <v>0</v>
      </c>
      <c r="G627" s="15">
        <v>0</v>
      </c>
      <c r="H627" s="15">
        <v>0</v>
      </c>
      <c r="I627" s="15">
        <v>0</v>
      </c>
      <c r="J627" s="15">
        <v>0</v>
      </c>
      <c r="K627" s="15">
        <v>0</v>
      </c>
      <c r="L627" s="15">
        <v>0</v>
      </c>
      <c r="M627" s="15">
        <v>0</v>
      </c>
      <c r="N627" s="15">
        <v>0</v>
      </c>
      <c r="O627" s="15">
        <v>0</v>
      </c>
    </row>
    <row r="628" spans="1:15">
      <c r="A628" s="11" t="s">
        <v>944</v>
      </c>
      <c r="B628" s="12" t="s">
        <v>836</v>
      </c>
      <c r="C628" s="13" t="s">
        <v>404</v>
      </c>
      <c r="D628" s="13">
        <v>22</v>
      </c>
      <c r="E628" s="14">
        <v>450</v>
      </c>
      <c r="F628" s="15">
        <v>0</v>
      </c>
      <c r="G628" s="15">
        <v>0</v>
      </c>
      <c r="H628" s="15">
        <v>0</v>
      </c>
      <c r="I628" s="15">
        <v>0</v>
      </c>
      <c r="J628" s="15">
        <v>0</v>
      </c>
      <c r="K628" s="15">
        <v>0</v>
      </c>
      <c r="L628" s="15">
        <v>0</v>
      </c>
      <c r="M628" s="15">
        <v>0</v>
      </c>
      <c r="N628" s="15">
        <v>0</v>
      </c>
      <c r="O628" s="15">
        <v>0</v>
      </c>
    </row>
    <row r="629" spans="1:15">
      <c r="A629" s="11" t="s">
        <v>945</v>
      </c>
      <c r="B629" s="12" t="s">
        <v>836</v>
      </c>
      <c r="C629" s="13" t="s">
        <v>404</v>
      </c>
      <c r="D629" s="13">
        <v>23</v>
      </c>
      <c r="E629" s="14">
        <v>450</v>
      </c>
      <c r="F629" s="15">
        <v>0</v>
      </c>
      <c r="G629" s="15">
        <v>0</v>
      </c>
      <c r="H629" s="15">
        <v>0</v>
      </c>
      <c r="I629" s="15">
        <v>0</v>
      </c>
      <c r="J629" s="15">
        <v>0</v>
      </c>
      <c r="K629" s="15">
        <v>0</v>
      </c>
      <c r="L629" s="15">
        <v>0</v>
      </c>
      <c r="M629" s="15">
        <v>0</v>
      </c>
      <c r="N629" s="15">
        <v>0</v>
      </c>
      <c r="O629" s="15">
        <v>0</v>
      </c>
    </row>
    <row r="630" spans="1:15">
      <c r="A630" s="11" t="s">
        <v>946</v>
      </c>
      <c r="B630" s="12" t="s">
        <v>836</v>
      </c>
      <c r="C630" s="13" t="s">
        <v>404</v>
      </c>
      <c r="D630" s="13">
        <v>24</v>
      </c>
      <c r="E630" s="14">
        <v>450</v>
      </c>
      <c r="F630" s="15">
        <v>0</v>
      </c>
      <c r="G630" s="15">
        <v>0</v>
      </c>
      <c r="H630" s="15">
        <v>0</v>
      </c>
      <c r="I630" s="15">
        <v>0</v>
      </c>
      <c r="J630" s="15">
        <v>0</v>
      </c>
      <c r="K630" s="15">
        <v>0</v>
      </c>
      <c r="L630" s="15">
        <v>0</v>
      </c>
      <c r="M630" s="15">
        <v>0</v>
      </c>
      <c r="N630" s="15">
        <v>0</v>
      </c>
      <c r="O630" s="15">
        <v>0</v>
      </c>
    </row>
    <row r="631" spans="1:15">
      <c r="A631" s="11" t="s">
        <v>947</v>
      </c>
      <c r="B631" s="12" t="s">
        <v>836</v>
      </c>
      <c r="C631" s="13" t="s">
        <v>404</v>
      </c>
      <c r="D631" s="13">
        <v>25</v>
      </c>
      <c r="E631" s="14">
        <v>450</v>
      </c>
      <c r="F631" s="15">
        <v>0</v>
      </c>
      <c r="G631" s="15">
        <v>0</v>
      </c>
      <c r="H631" s="15">
        <v>0</v>
      </c>
      <c r="I631" s="15">
        <v>0</v>
      </c>
      <c r="J631" s="15">
        <v>0</v>
      </c>
      <c r="K631" s="15">
        <v>0</v>
      </c>
      <c r="L631" s="15">
        <v>0</v>
      </c>
      <c r="M631" s="15">
        <v>0</v>
      </c>
      <c r="N631" s="15">
        <v>0</v>
      </c>
      <c r="O631" s="15">
        <v>0</v>
      </c>
    </row>
    <row r="632" spans="1:15">
      <c r="A632" s="11" t="s">
        <v>948</v>
      </c>
      <c r="B632" s="12" t="s">
        <v>836</v>
      </c>
      <c r="C632" s="13" t="s">
        <v>404</v>
      </c>
      <c r="D632" s="13">
        <v>26</v>
      </c>
      <c r="E632" s="14">
        <v>450</v>
      </c>
      <c r="F632" s="15">
        <v>0</v>
      </c>
      <c r="G632" s="15">
        <v>0</v>
      </c>
      <c r="H632" s="15">
        <v>0</v>
      </c>
      <c r="I632" s="15">
        <v>0</v>
      </c>
      <c r="J632" s="15">
        <v>0</v>
      </c>
      <c r="K632" s="15">
        <v>0</v>
      </c>
      <c r="L632" s="15">
        <v>0</v>
      </c>
      <c r="M632" s="15">
        <v>0</v>
      </c>
      <c r="N632" s="15">
        <v>0</v>
      </c>
      <c r="O632" s="15">
        <v>0</v>
      </c>
    </row>
    <row r="633" spans="1:15">
      <c r="A633" s="11" t="s">
        <v>949</v>
      </c>
      <c r="B633" s="12" t="s">
        <v>836</v>
      </c>
      <c r="C633" s="13" t="s">
        <v>404</v>
      </c>
      <c r="D633" s="13">
        <v>27</v>
      </c>
      <c r="E633" s="14">
        <v>450</v>
      </c>
      <c r="F633" s="15">
        <v>0</v>
      </c>
      <c r="G633" s="15">
        <v>0</v>
      </c>
      <c r="H633" s="15">
        <v>0</v>
      </c>
      <c r="I633" s="15">
        <v>0</v>
      </c>
      <c r="J633" s="15">
        <v>0</v>
      </c>
      <c r="K633" s="15">
        <v>0</v>
      </c>
      <c r="L633" s="15">
        <v>0</v>
      </c>
      <c r="M633" s="15">
        <v>0</v>
      </c>
      <c r="N633" s="15">
        <v>0</v>
      </c>
      <c r="O633" s="15">
        <v>0</v>
      </c>
    </row>
    <row r="634" spans="1:15">
      <c r="A634" s="11" t="s">
        <v>950</v>
      </c>
      <c r="B634" s="12" t="s">
        <v>836</v>
      </c>
      <c r="C634" s="13" t="s">
        <v>404</v>
      </c>
      <c r="D634" s="13">
        <v>28</v>
      </c>
      <c r="E634" s="14">
        <v>450</v>
      </c>
      <c r="F634" s="15">
        <v>0</v>
      </c>
      <c r="G634" s="15">
        <v>0</v>
      </c>
      <c r="H634" s="15">
        <v>0</v>
      </c>
      <c r="I634" s="15">
        <v>0</v>
      </c>
      <c r="J634" s="15">
        <v>0</v>
      </c>
      <c r="K634" s="15">
        <v>0</v>
      </c>
      <c r="L634" s="15">
        <v>0</v>
      </c>
      <c r="M634" s="15">
        <v>0</v>
      </c>
      <c r="N634" s="15">
        <v>0</v>
      </c>
      <c r="O634" s="15">
        <v>0</v>
      </c>
    </row>
    <row r="635" spans="1:15">
      <c r="A635" s="11" t="s">
        <v>951</v>
      </c>
      <c r="B635" s="12" t="s">
        <v>836</v>
      </c>
      <c r="C635" s="13" t="s">
        <v>404</v>
      </c>
      <c r="D635" s="13">
        <v>29</v>
      </c>
      <c r="E635" s="14">
        <v>450</v>
      </c>
      <c r="F635" s="15">
        <v>0</v>
      </c>
      <c r="G635" s="15">
        <v>0</v>
      </c>
      <c r="H635" s="15">
        <v>0</v>
      </c>
      <c r="I635" s="15">
        <v>0</v>
      </c>
      <c r="J635" s="15">
        <v>0</v>
      </c>
      <c r="K635" s="15">
        <v>0</v>
      </c>
      <c r="L635" s="15">
        <v>0</v>
      </c>
      <c r="M635" s="15">
        <v>0</v>
      </c>
      <c r="N635" s="15">
        <v>0</v>
      </c>
      <c r="O635" s="15">
        <v>0</v>
      </c>
    </row>
    <row r="636" spans="1:15">
      <c r="A636" s="11" t="s">
        <v>952</v>
      </c>
      <c r="B636" s="12" t="s">
        <v>836</v>
      </c>
      <c r="C636" s="13" t="s">
        <v>404</v>
      </c>
      <c r="D636" s="13">
        <v>30</v>
      </c>
      <c r="E636" s="14">
        <v>450</v>
      </c>
      <c r="F636" s="15">
        <v>0</v>
      </c>
      <c r="G636" s="15">
        <v>0</v>
      </c>
      <c r="H636" s="15">
        <v>0</v>
      </c>
      <c r="I636" s="15">
        <v>0</v>
      </c>
      <c r="J636" s="15">
        <v>0</v>
      </c>
      <c r="K636" s="15">
        <v>0</v>
      </c>
      <c r="L636" s="15">
        <v>0</v>
      </c>
      <c r="M636" s="15">
        <v>0</v>
      </c>
      <c r="N636" s="15">
        <v>0</v>
      </c>
      <c r="O636" s="15">
        <v>0</v>
      </c>
    </row>
    <row r="637" spans="1:15">
      <c r="A637" s="11" t="s">
        <v>953</v>
      </c>
      <c r="B637" s="12" t="s">
        <v>836</v>
      </c>
      <c r="C637" s="13" t="s">
        <v>404</v>
      </c>
      <c r="D637" s="13">
        <v>31</v>
      </c>
      <c r="E637" s="14">
        <v>450</v>
      </c>
      <c r="F637" s="15">
        <v>0</v>
      </c>
      <c r="G637" s="15">
        <v>0</v>
      </c>
      <c r="H637" s="15">
        <v>0</v>
      </c>
      <c r="I637" s="15">
        <v>0</v>
      </c>
      <c r="J637" s="15">
        <v>0</v>
      </c>
      <c r="K637" s="15">
        <v>0</v>
      </c>
      <c r="L637" s="15">
        <v>0</v>
      </c>
      <c r="M637" s="15">
        <v>0</v>
      </c>
      <c r="N637" s="15">
        <v>0</v>
      </c>
      <c r="O637" s="15">
        <v>0</v>
      </c>
    </row>
    <row r="638" spans="1:15">
      <c r="A638" s="11" t="s">
        <v>954</v>
      </c>
      <c r="B638" s="12" t="s">
        <v>836</v>
      </c>
      <c r="C638" s="13" t="s">
        <v>404</v>
      </c>
      <c r="D638" s="13">
        <v>32</v>
      </c>
      <c r="E638" s="14">
        <v>450</v>
      </c>
      <c r="F638" s="15">
        <v>0</v>
      </c>
      <c r="G638" s="15">
        <v>0</v>
      </c>
      <c r="H638" s="15">
        <v>0</v>
      </c>
      <c r="I638" s="15">
        <v>0</v>
      </c>
      <c r="J638" s="15">
        <v>0</v>
      </c>
      <c r="K638" s="15">
        <v>0</v>
      </c>
      <c r="L638" s="15">
        <v>0</v>
      </c>
      <c r="M638" s="15">
        <v>0</v>
      </c>
      <c r="N638" s="15">
        <v>0</v>
      </c>
      <c r="O638" s="15">
        <v>0</v>
      </c>
    </row>
    <row r="639" spans="1:15">
      <c r="A639" s="11" t="s">
        <v>955</v>
      </c>
      <c r="B639" s="12" t="s">
        <v>836</v>
      </c>
      <c r="C639" s="13" t="s">
        <v>404</v>
      </c>
      <c r="D639" s="13">
        <v>33</v>
      </c>
      <c r="E639" s="14">
        <v>450</v>
      </c>
      <c r="F639" s="15">
        <v>0</v>
      </c>
      <c r="G639" s="15">
        <v>0</v>
      </c>
      <c r="H639" s="15">
        <v>0</v>
      </c>
      <c r="I639" s="15">
        <v>0</v>
      </c>
      <c r="J639" s="15">
        <v>0</v>
      </c>
      <c r="K639" s="15">
        <v>0</v>
      </c>
      <c r="L639" s="15">
        <v>0</v>
      </c>
      <c r="M639" s="15">
        <v>0</v>
      </c>
      <c r="N639" s="15">
        <v>0</v>
      </c>
      <c r="O639" s="15">
        <v>0</v>
      </c>
    </row>
    <row r="640" spans="1:15">
      <c r="A640" s="11" t="s">
        <v>956</v>
      </c>
      <c r="B640" s="12" t="s">
        <v>836</v>
      </c>
      <c r="C640" s="13" t="s">
        <v>404</v>
      </c>
      <c r="D640" s="13">
        <v>34</v>
      </c>
      <c r="E640" s="14">
        <v>450</v>
      </c>
      <c r="F640" s="15">
        <v>0</v>
      </c>
      <c r="G640" s="15">
        <v>0</v>
      </c>
      <c r="H640" s="15">
        <v>0</v>
      </c>
      <c r="I640" s="15">
        <v>0</v>
      </c>
      <c r="J640" s="15">
        <v>0</v>
      </c>
      <c r="K640" s="15">
        <v>0</v>
      </c>
      <c r="L640" s="15">
        <v>0</v>
      </c>
      <c r="M640" s="15">
        <v>0</v>
      </c>
      <c r="N640" s="15">
        <v>0</v>
      </c>
      <c r="O640" s="15">
        <v>0</v>
      </c>
    </row>
    <row r="641" spans="1:15">
      <c r="A641" s="11" t="s">
        <v>957</v>
      </c>
      <c r="B641" s="12" t="s">
        <v>836</v>
      </c>
      <c r="C641" s="13" t="s">
        <v>404</v>
      </c>
      <c r="D641" s="13">
        <v>35</v>
      </c>
      <c r="E641" s="14">
        <v>450</v>
      </c>
      <c r="F641" s="15">
        <v>0</v>
      </c>
      <c r="G641" s="15">
        <v>0</v>
      </c>
      <c r="H641" s="15">
        <v>0</v>
      </c>
      <c r="I641" s="15">
        <v>0</v>
      </c>
      <c r="J641" s="15">
        <v>0</v>
      </c>
      <c r="K641" s="15">
        <v>0</v>
      </c>
      <c r="L641" s="15">
        <v>0</v>
      </c>
      <c r="M641" s="15">
        <v>0</v>
      </c>
      <c r="N641" s="15">
        <v>0</v>
      </c>
      <c r="O641" s="15">
        <v>0</v>
      </c>
    </row>
    <row r="642" spans="1:15">
      <c r="A642" s="11" t="s">
        <v>958</v>
      </c>
      <c r="B642" s="12" t="s">
        <v>836</v>
      </c>
      <c r="C642" s="13" t="s">
        <v>404</v>
      </c>
      <c r="D642" s="13">
        <v>36</v>
      </c>
      <c r="E642" s="14">
        <v>450</v>
      </c>
      <c r="F642" s="15">
        <v>0</v>
      </c>
      <c r="G642" s="15">
        <v>0</v>
      </c>
      <c r="H642" s="15">
        <v>0</v>
      </c>
      <c r="I642" s="15">
        <v>0</v>
      </c>
      <c r="J642" s="15">
        <v>0</v>
      </c>
      <c r="K642" s="15">
        <v>0</v>
      </c>
      <c r="L642" s="15">
        <v>0</v>
      </c>
      <c r="M642" s="15">
        <v>0</v>
      </c>
      <c r="N642" s="15">
        <v>0</v>
      </c>
      <c r="O642" s="15">
        <v>0</v>
      </c>
    </row>
    <row r="643" spans="1:15">
      <c r="A643" s="11" t="s">
        <v>959</v>
      </c>
      <c r="B643" s="12" t="s">
        <v>836</v>
      </c>
      <c r="C643" s="13" t="s">
        <v>404</v>
      </c>
      <c r="D643" s="13">
        <v>37</v>
      </c>
      <c r="E643" s="14">
        <v>450</v>
      </c>
      <c r="F643" s="15">
        <v>0</v>
      </c>
      <c r="G643" s="15">
        <v>0</v>
      </c>
      <c r="H643" s="15">
        <v>0</v>
      </c>
      <c r="I643" s="15">
        <v>0</v>
      </c>
      <c r="J643" s="15">
        <v>0</v>
      </c>
      <c r="K643" s="15">
        <v>0</v>
      </c>
      <c r="L643" s="15">
        <v>0</v>
      </c>
      <c r="M643" s="15">
        <v>0</v>
      </c>
      <c r="N643" s="15">
        <v>0</v>
      </c>
      <c r="O643" s="15">
        <v>0</v>
      </c>
    </row>
    <row r="644" spans="1:15">
      <c r="A644" s="11" t="s">
        <v>960</v>
      </c>
      <c r="B644" s="12" t="s">
        <v>836</v>
      </c>
      <c r="C644" s="13" t="s">
        <v>404</v>
      </c>
      <c r="D644" s="13">
        <v>38</v>
      </c>
      <c r="E644" s="14">
        <v>450</v>
      </c>
      <c r="F644" s="15">
        <v>0</v>
      </c>
      <c r="G644" s="15">
        <v>0</v>
      </c>
      <c r="H644" s="15">
        <v>0</v>
      </c>
      <c r="I644" s="15">
        <v>0</v>
      </c>
      <c r="J644" s="15">
        <v>0</v>
      </c>
      <c r="K644" s="15">
        <v>0</v>
      </c>
      <c r="L644" s="15">
        <v>0</v>
      </c>
      <c r="M644" s="15">
        <v>0</v>
      </c>
      <c r="N644" s="15">
        <v>0</v>
      </c>
      <c r="O644" s="15">
        <v>0</v>
      </c>
    </row>
    <row r="645" spans="1:15">
      <c r="A645" s="11" t="s">
        <v>961</v>
      </c>
      <c r="B645" s="12" t="s">
        <v>836</v>
      </c>
      <c r="C645" s="13" t="s">
        <v>404</v>
      </c>
      <c r="D645" s="13">
        <v>39</v>
      </c>
      <c r="E645" s="14">
        <v>450</v>
      </c>
      <c r="F645" s="15">
        <v>0</v>
      </c>
      <c r="G645" s="15">
        <v>0</v>
      </c>
      <c r="H645" s="15">
        <v>0</v>
      </c>
      <c r="I645" s="15">
        <v>0</v>
      </c>
      <c r="J645" s="15">
        <v>0</v>
      </c>
      <c r="K645" s="15">
        <v>0</v>
      </c>
      <c r="L645" s="15">
        <v>0</v>
      </c>
      <c r="M645" s="15">
        <v>0</v>
      </c>
      <c r="N645" s="15">
        <v>0</v>
      </c>
      <c r="O645" s="15">
        <v>0</v>
      </c>
    </row>
    <row r="646" spans="1:15">
      <c r="A646" s="11" t="s">
        <v>962</v>
      </c>
      <c r="B646" s="12" t="s">
        <v>836</v>
      </c>
      <c r="C646" s="13" t="s">
        <v>404</v>
      </c>
      <c r="D646" s="13">
        <v>40</v>
      </c>
      <c r="E646" s="14">
        <v>450</v>
      </c>
      <c r="F646" s="15">
        <v>0</v>
      </c>
      <c r="G646" s="15">
        <v>0</v>
      </c>
      <c r="H646" s="15">
        <v>0</v>
      </c>
      <c r="I646" s="15">
        <v>0</v>
      </c>
      <c r="J646" s="15">
        <v>0</v>
      </c>
      <c r="K646" s="15">
        <v>0</v>
      </c>
      <c r="L646" s="15">
        <v>0</v>
      </c>
      <c r="M646" s="15">
        <v>0</v>
      </c>
      <c r="N646" s="15">
        <v>0</v>
      </c>
      <c r="O646" s="15">
        <v>0</v>
      </c>
    </row>
    <row r="647" spans="1:15">
      <c r="A647" s="11" t="s">
        <v>963</v>
      </c>
      <c r="B647" s="12" t="s">
        <v>836</v>
      </c>
      <c r="C647" s="13" t="s">
        <v>404</v>
      </c>
      <c r="D647" s="13">
        <v>41</v>
      </c>
      <c r="E647" s="14">
        <v>450</v>
      </c>
      <c r="F647" s="15">
        <v>0</v>
      </c>
      <c r="G647" s="15">
        <v>0</v>
      </c>
      <c r="H647" s="15">
        <v>0</v>
      </c>
      <c r="I647" s="15">
        <v>0</v>
      </c>
      <c r="J647" s="15">
        <v>0</v>
      </c>
      <c r="K647" s="15">
        <v>0</v>
      </c>
      <c r="L647" s="15">
        <v>0</v>
      </c>
      <c r="M647" s="15">
        <v>0</v>
      </c>
      <c r="N647" s="15">
        <v>0</v>
      </c>
      <c r="O647" s="15">
        <v>0</v>
      </c>
    </row>
    <row r="648" spans="1:15">
      <c r="A648" s="11" t="s">
        <v>964</v>
      </c>
      <c r="B648" s="12" t="s">
        <v>836</v>
      </c>
      <c r="C648" s="13" t="s">
        <v>404</v>
      </c>
      <c r="D648" s="13">
        <v>42</v>
      </c>
      <c r="E648" s="14">
        <v>450</v>
      </c>
      <c r="F648" s="15">
        <v>0</v>
      </c>
      <c r="G648" s="15">
        <v>0</v>
      </c>
      <c r="H648" s="15">
        <v>0</v>
      </c>
      <c r="I648" s="15">
        <v>0</v>
      </c>
      <c r="J648" s="15">
        <v>0</v>
      </c>
      <c r="K648" s="15">
        <v>0</v>
      </c>
      <c r="L648" s="15">
        <v>0</v>
      </c>
      <c r="M648" s="15">
        <v>0</v>
      </c>
      <c r="N648" s="15">
        <v>0</v>
      </c>
      <c r="O648" s="15">
        <v>0</v>
      </c>
    </row>
    <row r="649" spans="1:15">
      <c r="A649" s="11" t="s">
        <v>965</v>
      </c>
      <c r="B649" s="12" t="s">
        <v>836</v>
      </c>
      <c r="C649" s="13" t="s">
        <v>404</v>
      </c>
      <c r="D649" s="13">
        <v>43</v>
      </c>
      <c r="E649" s="14">
        <v>450</v>
      </c>
      <c r="F649" s="15">
        <v>0</v>
      </c>
      <c r="G649" s="15">
        <v>0</v>
      </c>
      <c r="H649" s="15">
        <v>0</v>
      </c>
      <c r="I649" s="15">
        <v>0</v>
      </c>
      <c r="J649" s="15">
        <v>0</v>
      </c>
      <c r="K649" s="15">
        <v>0</v>
      </c>
      <c r="L649" s="15">
        <v>0</v>
      </c>
      <c r="M649" s="15">
        <v>0</v>
      </c>
      <c r="N649" s="15">
        <v>0</v>
      </c>
      <c r="O649" s="15">
        <v>0</v>
      </c>
    </row>
    <row r="650" spans="1:15">
      <c r="A650" s="11" t="s">
        <v>966</v>
      </c>
      <c r="B650" s="12" t="s">
        <v>836</v>
      </c>
      <c r="C650" s="13" t="s">
        <v>404</v>
      </c>
      <c r="D650" s="13">
        <v>44</v>
      </c>
      <c r="E650" s="14">
        <v>450</v>
      </c>
      <c r="F650" s="15">
        <v>0</v>
      </c>
      <c r="G650" s="15">
        <v>0</v>
      </c>
      <c r="H650" s="15">
        <v>0</v>
      </c>
      <c r="I650" s="15">
        <v>0</v>
      </c>
      <c r="J650" s="15">
        <v>0</v>
      </c>
      <c r="K650" s="15">
        <v>0</v>
      </c>
      <c r="L650" s="15">
        <v>0</v>
      </c>
      <c r="M650" s="15">
        <v>0</v>
      </c>
      <c r="N650" s="15">
        <v>0</v>
      </c>
      <c r="O650" s="15">
        <v>0</v>
      </c>
    </row>
    <row r="651" spans="1:15">
      <c r="A651" s="11" t="s">
        <v>967</v>
      </c>
      <c r="B651" s="12" t="s">
        <v>836</v>
      </c>
      <c r="C651" s="13" t="s">
        <v>404</v>
      </c>
      <c r="D651" s="13">
        <v>45</v>
      </c>
      <c r="E651" s="14">
        <v>450</v>
      </c>
      <c r="F651" s="15">
        <v>0</v>
      </c>
      <c r="G651" s="15">
        <v>0</v>
      </c>
      <c r="H651" s="15">
        <v>0</v>
      </c>
      <c r="I651" s="15">
        <v>0</v>
      </c>
      <c r="J651" s="15">
        <v>0</v>
      </c>
      <c r="K651" s="15">
        <v>0</v>
      </c>
      <c r="L651" s="15">
        <v>0</v>
      </c>
      <c r="M651" s="15">
        <v>0</v>
      </c>
      <c r="N651" s="15">
        <v>0</v>
      </c>
      <c r="O651" s="15">
        <v>0</v>
      </c>
    </row>
    <row r="652" spans="1:15">
      <c r="A652" s="11" t="s">
        <v>968</v>
      </c>
      <c r="B652" s="12" t="s">
        <v>836</v>
      </c>
      <c r="C652" s="13" t="s">
        <v>404</v>
      </c>
      <c r="D652" s="13">
        <v>46</v>
      </c>
      <c r="E652" s="14">
        <v>450</v>
      </c>
      <c r="F652" s="15">
        <v>0</v>
      </c>
      <c r="G652" s="15">
        <v>0</v>
      </c>
      <c r="H652" s="15">
        <v>0</v>
      </c>
      <c r="I652" s="15">
        <v>0</v>
      </c>
      <c r="J652" s="15">
        <v>0</v>
      </c>
      <c r="K652" s="15">
        <v>0</v>
      </c>
      <c r="L652" s="15">
        <v>0</v>
      </c>
      <c r="M652" s="15">
        <v>0</v>
      </c>
      <c r="N652" s="15">
        <v>0</v>
      </c>
      <c r="O652" s="15">
        <v>0</v>
      </c>
    </row>
    <row r="653" spans="1:15">
      <c r="A653" s="11" t="s">
        <v>969</v>
      </c>
      <c r="B653" s="12" t="s">
        <v>836</v>
      </c>
      <c r="C653" s="13" t="s">
        <v>404</v>
      </c>
      <c r="D653" s="13">
        <v>47</v>
      </c>
      <c r="E653" s="14">
        <v>450</v>
      </c>
      <c r="F653" s="15">
        <v>0</v>
      </c>
      <c r="G653" s="15">
        <v>0</v>
      </c>
      <c r="H653" s="15">
        <v>0</v>
      </c>
      <c r="I653" s="15">
        <v>0</v>
      </c>
      <c r="J653" s="15">
        <v>0</v>
      </c>
      <c r="K653" s="15">
        <v>0</v>
      </c>
      <c r="L653" s="15">
        <v>0</v>
      </c>
      <c r="M653" s="15">
        <v>0</v>
      </c>
      <c r="N653" s="15">
        <v>0</v>
      </c>
      <c r="O653" s="15">
        <v>0</v>
      </c>
    </row>
    <row r="654" spans="1:15">
      <c r="A654" s="11" t="s">
        <v>970</v>
      </c>
      <c r="B654" s="12" t="s">
        <v>836</v>
      </c>
      <c r="C654" s="13" t="s">
        <v>404</v>
      </c>
      <c r="D654" s="13">
        <v>48</v>
      </c>
      <c r="E654" s="14">
        <v>450</v>
      </c>
      <c r="F654" s="15">
        <v>0</v>
      </c>
      <c r="G654" s="15">
        <v>0</v>
      </c>
      <c r="H654" s="15">
        <v>0</v>
      </c>
      <c r="I654" s="15">
        <v>0</v>
      </c>
      <c r="J654" s="15">
        <v>0</v>
      </c>
      <c r="K654" s="15">
        <v>0</v>
      </c>
      <c r="L654" s="15">
        <v>0</v>
      </c>
      <c r="M654" s="15">
        <v>0</v>
      </c>
      <c r="N654" s="15">
        <v>0</v>
      </c>
      <c r="O654" s="15">
        <v>0</v>
      </c>
    </row>
    <row r="655" spans="1:15">
      <c r="A655" s="11" t="s">
        <v>971</v>
      </c>
      <c r="B655" s="12" t="s">
        <v>836</v>
      </c>
      <c r="C655" s="13" t="s">
        <v>404</v>
      </c>
      <c r="D655" s="13">
        <v>49</v>
      </c>
      <c r="E655" s="14">
        <v>450</v>
      </c>
      <c r="F655" s="15">
        <v>0</v>
      </c>
      <c r="G655" s="15">
        <v>0</v>
      </c>
      <c r="H655" s="15">
        <v>0</v>
      </c>
      <c r="I655" s="15">
        <v>0</v>
      </c>
      <c r="J655" s="15">
        <v>0</v>
      </c>
      <c r="K655" s="15">
        <v>0</v>
      </c>
      <c r="L655" s="15">
        <v>0</v>
      </c>
      <c r="M655" s="15">
        <v>0</v>
      </c>
      <c r="N655" s="15">
        <v>0</v>
      </c>
      <c r="O655" s="15">
        <v>0</v>
      </c>
    </row>
    <row r="656" spans="1:15">
      <c r="A656" s="11" t="s">
        <v>972</v>
      </c>
      <c r="B656" s="12" t="s">
        <v>836</v>
      </c>
      <c r="C656" s="13" t="s">
        <v>404</v>
      </c>
      <c r="D656" s="13">
        <v>50</v>
      </c>
      <c r="E656" s="14">
        <v>450</v>
      </c>
      <c r="F656" s="15">
        <v>0</v>
      </c>
      <c r="G656" s="15">
        <v>0</v>
      </c>
      <c r="H656" s="15">
        <v>0</v>
      </c>
      <c r="I656" s="15">
        <v>0</v>
      </c>
      <c r="J656" s="15">
        <v>0</v>
      </c>
      <c r="K656" s="15">
        <v>0</v>
      </c>
      <c r="L656" s="15">
        <v>0</v>
      </c>
      <c r="M656" s="15">
        <v>0</v>
      </c>
      <c r="N656" s="15">
        <v>0</v>
      </c>
      <c r="O656" s="15">
        <v>0</v>
      </c>
    </row>
    <row r="657" spans="1:15">
      <c r="A657" s="11" t="s">
        <v>973</v>
      </c>
      <c r="B657" s="12" t="s">
        <v>836</v>
      </c>
      <c r="C657" s="13" t="s">
        <v>404</v>
      </c>
      <c r="D657" s="13">
        <v>51</v>
      </c>
      <c r="E657" s="14">
        <v>450</v>
      </c>
      <c r="F657" s="15">
        <v>0</v>
      </c>
      <c r="G657" s="15">
        <v>0</v>
      </c>
      <c r="H657" s="15">
        <v>0</v>
      </c>
      <c r="I657" s="15">
        <v>0</v>
      </c>
      <c r="J657" s="15">
        <v>0</v>
      </c>
      <c r="K657" s="15">
        <v>0</v>
      </c>
      <c r="L657" s="15">
        <v>0</v>
      </c>
      <c r="M657" s="15">
        <v>0</v>
      </c>
      <c r="N657" s="15">
        <v>0</v>
      </c>
      <c r="O657" s="15">
        <v>0</v>
      </c>
    </row>
    <row r="658" spans="1:15">
      <c r="A658" s="11" t="s">
        <v>974</v>
      </c>
      <c r="B658" s="12" t="s">
        <v>836</v>
      </c>
      <c r="C658" s="13" t="s">
        <v>404</v>
      </c>
      <c r="D658" s="13">
        <v>52</v>
      </c>
      <c r="E658" s="14">
        <v>450</v>
      </c>
      <c r="F658" s="15">
        <v>0</v>
      </c>
      <c r="G658" s="15">
        <v>0</v>
      </c>
      <c r="H658" s="15">
        <v>0</v>
      </c>
      <c r="I658" s="15">
        <v>0</v>
      </c>
      <c r="J658" s="15">
        <v>0</v>
      </c>
      <c r="K658" s="15">
        <v>0</v>
      </c>
      <c r="L658" s="15">
        <v>0</v>
      </c>
      <c r="M658" s="15">
        <v>0</v>
      </c>
      <c r="N658" s="15">
        <v>0</v>
      </c>
      <c r="O658" s="15">
        <v>0</v>
      </c>
    </row>
    <row r="659" spans="1:15">
      <c r="A659" s="11" t="s">
        <v>975</v>
      </c>
      <c r="B659" s="12" t="s">
        <v>836</v>
      </c>
      <c r="C659" s="13" t="s">
        <v>404</v>
      </c>
      <c r="D659" s="13">
        <v>53</v>
      </c>
      <c r="E659" s="14">
        <v>450</v>
      </c>
      <c r="F659" s="15">
        <v>0</v>
      </c>
      <c r="G659" s="15">
        <v>0</v>
      </c>
      <c r="H659" s="15">
        <v>0</v>
      </c>
      <c r="I659" s="15">
        <v>0</v>
      </c>
      <c r="J659" s="15">
        <v>0</v>
      </c>
      <c r="K659" s="15">
        <v>0</v>
      </c>
      <c r="L659" s="15">
        <v>0</v>
      </c>
      <c r="M659" s="15">
        <v>0</v>
      </c>
      <c r="N659" s="15">
        <v>0</v>
      </c>
      <c r="O659" s="15">
        <v>0</v>
      </c>
    </row>
    <row r="660" spans="1:15">
      <c r="A660" s="11" t="s">
        <v>976</v>
      </c>
      <c r="B660" s="12" t="s">
        <v>836</v>
      </c>
      <c r="C660" s="13" t="s">
        <v>404</v>
      </c>
      <c r="D660" s="13">
        <v>54</v>
      </c>
      <c r="E660" s="14">
        <v>450</v>
      </c>
      <c r="F660" s="15">
        <v>0</v>
      </c>
      <c r="G660" s="15">
        <v>0</v>
      </c>
      <c r="H660" s="15">
        <v>0</v>
      </c>
      <c r="I660" s="15">
        <v>0</v>
      </c>
      <c r="J660" s="15">
        <v>0</v>
      </c>
      <c r="K660" s="15">
        <v>0</v>
      </c>
      <c r="L660" s="15">
        <v>0</v>
      </c>
      <c r="M660" s="15">
        <v>0</v>
      </c>
      <c r="N660" s="15">
        <v>0</v>
      </c>
      <c r="O660" s="15">
        <v>0</v>
      </c>
    </row>
    <row r="661" spans="1:15">
      <c r="A661" s="11" t="s">
        <v>977</v>
      </c>
      <c r="B661" s="12" t="s">
        <v>836</v>
      </c>
      <c r="C661" s="13" t="s">
        <v>404</v>
      </c>
      <c r="D661" s="13">
        <v>55</v>
      </c>
      <c r="E661" s="14">
        <v>450</v>
      </c>
      <c r="F661" s="15">
        <v>0</v>
      </c>
      <c r="G661" s="15">
        <v>0</v>
      </c>
      <c r="H661" s="15">
        <v>0</v>
      </c>
      <c r="I661" s="15">
        <v>0</v>
      </c>
      <c r="J661" s="15">
        <v>0</v>
      </c>
      <c r="K661" s="15">
        <v>0</v>
      </c>
      <c r="L661" s="15">
        <v>0</v>
      </c>
      <c r="M661" s="15">
        <v>0</v>
      </c>
      <c r="N661" s="15">
        <v>0</v>
      </c>
      <c r="O661" s="15">
        <v>0</v>
      </c>
    </row>
    <row r="662" spans="1:15">
      <c r="A662" s="11" t="s">
        <v>978</v>
      </c>
      <c r="B662" s="12" t="s">
        <v>836</v>
      </c>
      <c r="C662" s="13" t="s">
        <v>404</v>
      </c>
      <c r="D662" s="13">
        <v>56</v>
      </c>
      <c r="E662" s="14">
        <v>450</v>
      </c>
      <c r="F662" s="15">
        <v>0</v>
      </c>
      <c r="G662" s="15">
        <v>0</v>
      </c>
      <c r="H662" s="15">
        <v>0</v>
      </c>
      <c r="I662" s="15">
        <v>0</v>
      </c>
      <c r="J662" s="15">
        <v>0</v>
      </c>
      <c r="K662" s="15">
        <v>0</v>
      </c>
      <c r="L662" s="15">
        <v>0</v>
      </c>
      <c r="M662" s="15">
        <v>0</v>
      </c>
      <c r="N662" s="15">
        <v>0</v>
      </c>
      <c r="O662" s="15">
        <v>0</v>
      </c>
    </row>
    <row r="663" spans="1:15">
      <c r="A663" s="11" t="s">
        <v>979</v>
      </c>
      <c r="B663" s="12" t="s">
        <v>836</v>
      </c>
      <c r="C663" s="13" t="s">
        <v>404</v>
      </c>
      <c r="D663" s="13">
        <v>57</v>
      </c>
      <c r="E663" s="14">
        <v>450</v>
      </c>
      <c r="F663" s="15">
        <v>0</v>
      </c>
      <c r="G663" s="15">
        <v>0</v>
      </c>
      <c r="H663" s="15">
        <v>0</v>
      </c>
      <c r="I663" s="15">
        <v>0</v>
      </c>
      <c r="J663" s="15">
        <v>0</v>
      </c>
      <c r="K663" s="15">
        <v>0</v>
      </c>
      <c r="L663" s="15">
        <v>0</v>
      </c>
      <c r="M663" s="15">
        <v>0</v>
      </c>
      <c r="N663" s="15">
        <v>0</v>
      </c>
      <c r="O663" s="15">
        <v>0</v>
      </c>
    </row>
    <row r="664" spans="1:15">
      <c r="A664" s="11" t="s">
        <v>980</v>
      </c>
      <c r="B664" s="12" t="s">
        <v>836</v>
      </c>
      <c r="C664" s="13" t="s">
        <v>404</v>
      </c>
      <c r="D664" s="13">
        <v>58</v>
      </c>
      <c r="E664" s="14">
        <v>450</v>
      </c>
      <c r="F664" s="15">
        <v>0</v>
      </c>
      <c r="G664" s="15">
        <v>0</v>
      </c>
      <c r="H664" s="15">
        <v>0</v>
      </c>
      <c r="I664" s="15">
        <v>0</v>
      </c>
      <c r="J664" s="15">
        <v>0</v>
      </c>
      <c r="K664" s="15">
        <v>0</v>
      </c>
      <c r="L664" s="15">
        <v>0</v>
      </c>
      <c r="M664" s="15">
        <v>0</v>
      </c>
      <c r="N664" s="15">
        <v>0</v>
      </c>
      <c r="O664" s="15">
        <v>0</v>
      </c>
    </row>
    <row r="665" spans="1:15">
      <c r="A665" s="11" t="s">
        <v>981</v>
      </c>
      <c r="B665" s="12" t="s">
        <v>836</v>
      </c>
      <c r="C665" s="13" t="s">
        <v>404</v>
      </c>
      <c r="D665" s="13">
        <v>59</v>
      </c>
      <c r="E665" s="14">
        <v>450</v>
      </c>
      <c r="F665" s="15">
        <v>0</v>
      </c>
      <c r="G665" s="15">
        <v>0</v>
      </c>
      <c r="H665" s="15">
        <v>0</v>
      </c>
      <c r="I665" s="15">
        <v>0</v>
      </c>
      <c r="J665" s="15">
        <v>0</v>
      </c>
      <c r="K665" s="15">
        <v>0</v>
      </c>
      <c r="L665" s="15">
        <v>0</v>
      </c>
      <c r="M665" s="15">
        <v>0</v>
      </c>
      <c r="N665" s="15">
        <v>0</v>
      </c>
      <c r="O665" s="15">
        <v>0</v>
      </c>
    </row>
    <row r="666" spans="1:15">
      <c r="A666" s="11" t="s">
        <v>982</v>
      </c>
      <c r="B666" s="12" t="s">
        <v>836</v>
      </c>
      <c r="C666" s="13" t="s">
        <v>404</v>
      </c>
      <c r="D666" s="13">
        <v>60</v>
      </c>
      <c r="E666" s="14">
        <v>450</v>
      </c>
      <c r="F666" s="15">
        <v>0</v>
      </c>
      <c r="G666" s="15">
        <v>0</v>
      </c>
      <c r="H666" s="15">
        <v>0</v>
      </c>
      <c r="I666" s="15">
        <v>0</v>
      </c>
      <c r="J666" s="15">
        <v>0</v>
      </c>
      <c r="K666" s="15">
        <v>0</v>
      </c>
      <c r="L666" s="15">
        <v>0</v>
      </c>
      <c r="M666" s="15">
        <v>0</v>
      </c>
      <c r="N666" s="15">
        <v>0</v>
      </c>
      <c r="O666" s="15">
        <v>0</v>
      </c>
    </row>
    <row r="667" spans="1:15">
      <c r="A667" s="11" t="s">
        <v>983</v>
      </c>
      <c r="B667" s="12" t="s">
        <v>836</v>
      </c>
      <c r="C667" s="13" t="s">
        <v>404</v>
      </c>
      <c r="D667" s="13">
        <v>61</v>
      </c>
      <c r="E667" s="14">
        <v>450</v>
      </c>
      <c r="F667" s="15">
        <v>0</v>
      </c>
      <c r="G667" s="15">
        <v>0</v>
      </c>
      <c r="H667" s="15">
        <v>0</v>
      </c>
      <c r="I667" s="15">
        <v>0</v>
      </c>
      <c r="J667" s="15">
        <v>0</v>
      </c>
      <c r="K667" s="15">
        <v>0</v>
      </c>
      <c r="L667" s="15">
        <v>0</v>
      </c>
      <c r="M667" s="15">
        <v>0</v>
      </c>
      <c r="N667" s="15">
        <v>0</v>
      </c>
      <c r="O667" s="15">
        <v>0</v>
      </c>
    </row>
    <row r="668" spans="1:15">
      <c r="A668" s="11" t="s">
        <v>984</v>
      </c>
      <c r="B668" s="12" t="s">
        <v>836</v>
      </c>
      <c r="C668" s="13" t="s">
        <v>404</v>
      </c>
      <c r="D668" s="13">
        <v>62</v>
      </c>
      <c r="E668" s="14">
        <v>450</v>
      </c>
      <c r="F668" s="15">
        <v>0</v>
      </c>
      <c r="G668" s="15">
        <v>0</v>
      </c>
      <c r="H668" s="15">
        <v>0</v>
      </c>
      <c r="I668" s="15">
        <v>0</v>
      </c>
      <c r="J668" s="15">
        <v>0</v>
      </c>
      <c r="K668" s="15">
        <v>0</v>
      </c>
      <c r="L668" s="15">
        <v>0</v>
      </c>
      <c r="M668" s="15">
        <v>0</v>
      </c>
      <c r="N668" s="15">
        <v>0</v>
      </c>
      <c r="O668" s="15">
        <v>0</v>
      </c>
    </row>
    <row r="669" spans="1:15">
      <c r="A669" s="11" t="s">
        <v>985</v>
      </c>
      <c r="B669" s="12" t="s">
        <v>836</v>
      </c>
      <c r="C669" s="13" t="s">
        <v>404</v>
      </c>
      <c r="D669" s="13">
        <v>63</v>
      </c>
      <c r="E669" s="14">
        <v>450</v>
      </c>
      <c r="F669" s="15">
        <v>0</v>
      </c>
      <c r="G669" s="15">
        <v>0</v>
      </c>
      <c r="H669" s="15">
        <v>0</v>
      </c>
      <c r="I669" s="15">
        <v>0</v>
      </c>
      <c r="J669" s="15">
        <v>0</v>
      </c>
      <c r="K669" s="15">
        <v>0</v>
      </c>
      <c r="L669" s="15">
        <v>0</v>
      </c>
      <c r="M669" s="15">
        <v>0</v>
      </c>
      <c r="N669" s="15">
        <v>0</v>
      </c>
      <c r="O669" s="15">
        <v>0</v>
      </c>
    </row>
    <row r="670" spans="1:15">
      <c r="A670" s="11" t="s">
        <v>986</v>
      </c>
      <c r="B670" s="12" t="s">
        <v>836</v>
      </c>
      <c r="C670" s="13" t="s">
        <v>404</v>
      </c>
      <c r="D670" s="13">
        <v>64</v>
      </c>
      <c r="E670" s="14">
        <v>450</v>
      </c>
      <c r="F670" s="15">
        <v>0</v>
      </c>
      <c r="G670" s="15">
        <v>0</v>
      </c>
      <c r="H670" s="15">
        <v>0</v>
      </c>
      <c r="I670" s="15">
        <v>0</v>
      </c>
      <c r="J670" s="15">
        <v>0</v>
      </c>
      <c r="K670" s="15">
        <v>0</v>
      </c>
      <c r="L670" s="15">
        <v>0</v>
      </c>
      <c r="M670" s="15">
        <v>0</v>
      </c>
      <c r="N670" s="15">
        <v>0</v>
      </c>
      <c r="O670" s="15">
        <v>0</v>
      </c>
    </row>
    <row r="671" spans="1:15">
      <c r="A671" s="11" t="s">
        <v>987</v>
      </c>
      <c r="B671" s="12" t="s">
        <v>836</v>
      </c>
      <c r="C671" s="13" t="s">
        <v>404</v>
      </c>
      <c r="D671" s="13">
        <v>65</v>
      </c>
      <c r="E671" s="14">
        <v>450</v>
      </c>
      <c r="F671" s="15">
        <v>0</v>
      </c>
      <c r="G671" s="15">
        <v>0</v>
      </c>
      <c r="H671" s="15">
        <v>0</v>
      </c>
      <c r="I671" s="15">
        <v>0</v>
      </c>
      <c r="J671" s="15">
        <v>0</v>
      </c>
      <c r="K671" s="15">
        <v>0</v>
      </c>
      <c r="L671" s="15">
        <v>0</v>
      </c>
      <c r="M671" s="15">
        <v>0</v>
      </c>
      <c r="N671" s="15">
        <v>0</v>
      </c>
      <c r="O671" s="15">
        <v>0</v>
      </c>
    </row>
    <row r="672" spans="1:15">
      <c r="A672" s="11" t="s">
        <v>988</v>
      </c>
      <c r="B672" s="12" t="s">
        <v>836</v>
      </c>
      <c r="C672" s="13" t="s">
        <v>404</v>
      </c>
      <c r="D672" s="13">
        <v>66</v>
      </c>
      <c r="E672" s="14">
        <v>450</v>
      </c>
      <c r="F672" s="15">
        <v>0</v>
      </c>
      <c r="G672" s="15">
        <v>0</v>
      </c>
      <c r="H672" s="15">
        <v>0</v>
      </c>
      <c r="I672" s="15">
        <v>0</v>
      </c>
      <c r="J672" s="15">
        <v>0</v>
      </c>
      <c r="K672" s="15">
        <v>0</v>
      </c>
      <c r="L672" s="15">
        <v>0</v>
      </c>
      <c r="M672" s="15">
        <v>0</v>
      </c>
      <c r="N672" s="15">
        <v>0</v>
      </c>
      <c r="O672" s="15">
        <v>0</v>
      </c>
    </row>
    <row r="673" spans="1:15">
      <c r="A673" s="11" t="s">
        <v>989</v>
      </c>
      <c r="B673" s="12" t="s">
        <v>836</v>
      </c>
      <c r="C673" s="13" t="s">
        <v>404</v>
      </c>
      <c r="D673" s="13">
        <v>67</v>
      </c>
      <c r="E673" s="14">
        <v>450</v>
      </c>
      <c r="F673" s="15">
        <v>0</v>
      </c>
      <c r="G673" s="15">
        <v>0</v>
      </c>
      <c r="H673" s="15">
        <v>0</v>
      </c>
      <c r="I673" s="15">
        <v>0</v>
      </c>
      <c r="J673" s="15">
        <v>0</v>
      </c>
      <c r="K673" s="15">
        <v>0</v>
      </c>
      <c r="L673" s="15">
        <v>0</v>
      </c>
      <c r="M673" s="15">
        <v>0</v>
      </c>
      <c r="N673" s="15">
        <v>0</v>
      </c>
      <c r="O673" s="15">
        <v>0</v>
      </c>
    </row>
    <row r="674" spans="1:15">
      <c r="A674" s="11" t="s">
        <v>990</v>
      </c>
      <c r="B674" s="12" t="s">
        <v>836</v>
      </c>
      <c r="C674" s="13" t="s">
        <v>404</v>
      </c>
      <c r="D674" s="13">
        <v>68</v>
      </c>
      <c r="E674" s="14">
        <v>450</v>
      </c>
      <c r="F674" s="15">
        <v>0</v>
      </c>
      <c r="G674" s="15">
        <v>0</v>
      </c>
      <c r="H674" s="15">
        <v>0</v>
      </c>
      <c r="I674" s="15">
        <v>0</v>
      </c>
      <c r="J674" s="15">
        <v>0</v>
      </c>
      <c r="K674" s="15">
        <v>0</v>
      </c>
      <c r="L674" s="15">
        <v>0</v>
      </c>
      <c r="M674" s="15">
        <v>0</v>
      </c>
      <c r="N674" s="15">
        <v>0</v>
      </c>
      <c r="O674" s="15">
        <v>0</v>
      </c>
    </row>
    <row r="675" spans="1:15">
      <c r="A675" s="11" t="s">
        <v>991</v>
      </c>
      <c r="B675" s="12" t="s">
        <v>836</v>
      </c>
      <c r="C675" s="13" t="s">
        <v>404</v>
      </c>
      <c r="D675" s="13">
        <v>69</v>
      </c>
      <c r="E675" s="14">
        <v>450</v>
      </c>
      <c r="F675" s="15">
        <v>0</v>
      </c>
      <c r="G675" s="15">
        <v>0</v>
      </c>
      <c r="H675" s="15">
        <v>0</v>
      </c>
      <c r="I675" s="15">
        <v>0</v>
      </c>
      <c r="J675" s="15">
        <v>0</v>
      </c>
      <c r="K675" s="15">
        <v>0</v>
      </c>
      <c r="L675" s="15">
        <v>0</v>
      </c>
      <c r="M675" s="15">
        <v>0</v>
      </c>
      <c r="N675" s="15">
        <v>0</v>
      </c>
      <c r="O675" s="15">
        <v>0</v>
      </c>
    </row>
    <row r="676" spans="1:15">
      <c r="A676" s="11" t="s">
        <v>992</v>
      </c>
      <c r="B676" s="12" t="s">
        <v>836</v>
      </c>
      <c r="C676" s="13" t="s">
        <v>404</v>
      </c>
      <c r="D676" s="13">
        <v>70</v>
      </c>
      <c r="E676" s="14">
        <v>450</v>
      </c>
      <c r="F676" s="15">
        <v>0</v>
      </c>
      <c r="G676" s="15">
        <v>0</v>
      </c>
      <c r="H676" s="15">
        <v>0</v>
      </c>
      <c r="I676" s="15">
        <v>0</v>
      </c>
      <c r="J676" s="15">
        <v>0</v>
      </c>
      <c r="K676" s="15">
        <v>0</v>
      </c>
      <c r="L676" s="15">
        <v>0</v>
      </c>
      <c r="M676" s="15">
        <v>0</v>
      </c>
      <c r="N676" s="15">
        <v>0</v>
      </c>
      <c r="O676" s="15">
        <v>0</v>
      </c>
    </row>
    <row r="677" spans="1:15">
      <c r="A677" s="11" t="s">
        <v>993</v>
      </c>
      <c r="B677" s="12" t="s">
        <v>836</v>
      </c>
      <c r="C677" s="13" t="s">
        <v>404</v>
      </c>
      <c r="D677" s="13">
        <v>71</v>
      </c>
      <c r="E677" s="14">
        <v>450</v>
      </c>
      <c r="F677" s="15">
        <v>0</v>
      </c>
      <c r="G677" s="15">
        <v>0</v>
      </c>
      <c r="H677" s="15">
        <v>0</v>
      </c>
      <c r="I677" s="15">
        <v>0</v>
      </c>
      <c r="J677" s="15">
        <v>0</v>
      </c>
      <c r="K677" s="15">
        <v>0</v>
      </c>
      <c r="L677" s="15">
        <v>0</v>
      </c>
      <c r="M677" s="15">
        <v>0</v>
      </c>
      <c r="N677" s="15">
        <v>0</v>
      </c>
      <c r="O677" s="15">
        <v>0</v>
      </c>
    </row>
    <row r="678" spans="1:15">
      <c r="A678" s="11" t="s">
        <v>994</v>
      </c>
      <c r="B678" s="12" t="s">
        <v>836</v>
      </c>
      <c r="C678" s="13" t="s">
        <v>404</v>
      </c>
      <c r="D678" s="13">
        <v>72</v>
      </c>
      <c r="E678" s="14">
        <v>450</v>
      </c>
      <c r="F678" s="15">
        <v>0</v>
      </c>
      <c r="G678" s="15">
        <v>0</v>
      </c>
      <c r="H678" s="15">
        <v>0</v>
      </c>
      <c r="I678" s="15">
        <v>0</v>
      </c>
      <c r="J678" s="15">
        <v>0</v>
      </c>
      <c r="K678" s="15">
        <v>0</v>
      </c>
      <c r="L678" s="15">
        <v>0</v>
      </c>
      <c r="M678" s="15">
        <v>0</v>
      </c>
      <c r="N678" s="15">
        <v>0</v>
      </c>
      <c r="O678" s="15">
        <v>0</v>
      </c>
    </row>
    <row r="679" spans="1:15">
      <c r="A679" s="11" t="s">
        <v>995</v>
      </c>
      <c r="B679" s="12" t="s">
        <v>836</v>
      </c>
      <c r="C679" s="13" t="s">
        <v>404</v>
      </c>
      <c r="D679" s="13">
        <v>73</v>
      </c>
      <c r="E679" s="14">
        <v>450</v>
      </c>
      <c r="F679" s="15">
        <v>0</v>
      </c>
      <c r="G679" s="15">
        <v>0</v>
      </c>
      <c r="H679" s="15">
        <v>0</v>
      </c>
      <c r="I679" s="15">
        <v>0</v>
      </c>
      <c r="J679" s="15">
        <v>0</v>
      </c>
      <c r="K679" s="15">
        <v>0</v>
      </c>
      <c r="L679" s="15">
        <v>0</v>
      </c>
      <c r="M679" s="15">
        <v>0</v>
      </c>
      <c r="N679" s="15">
        <v>0</v>
      </c>
      <c r="O679" s="15">
        <v>0</v>
      </c>
    </row>
    <row r="680" spans="1:15">
      <c r="A680" s="11" t="s">
        <v>996</v>
      </c>
      <c r="B680" s="12" t="s">
        <v>836</v>
      </c>
      <c r="C680" s="13" t="s">
        <v>404</v>
      </c>
      <c r="D680" s="13">
        <v>74</v>
      </c>
      <c r="E680" s="14">
        <v>450</v>
      </c>
      <c r="F680" s="15">
        <v>0</v>
      </c>
      <c r="G680" s="15">
        <v>0</v>
      </c>
      <c r="H680" s="15">
        <v>0</v>
      </c>
      <c r="I680" s="15">
        <v>0</v>
      </c>
      <c r="J680" s="15">
        <v>0</v>
      </c>
      <c r="K680" s="15">
        <v>0</v>
      </c>
      <c r="L680" s="15">
        <v>0</v>
      </c>
      <c r="M680" s="15">
        <v>0</v>
      </c>
      <c r="N680" s="15">
        <v>0</v>
      </c>
      <c r="O680" s="15">
        <v>0</v>
      </c>
    </row>
    <row r="681" spans="1:15">
      <c r="A681" s="11" t="s">
        <v>997</v>
      </c>
      <c r="B681" s="12" t="s">
        <v>836</v>
      </c>
      <c r="C681" s="13" t="s">
        <v>404</v>
      </c>
      <c r="D681" s="13">
        <v>75</v>
      </c>
      <c r="E681" s="14">
        <v>450</v>
      </c>
      <c r="F681" s="15">
        <v>0</v>
      </c>
      <c r="G681" s="15">
        <v>0</v>
      </c>
      <c r="H681" s="15">
        <v>0</v>
      </c>
      <c r="I681" s="15">
        <v>0</v>
      </c>
      <c r="J681" s="15">
        <v>0</v>
      </c>
      <c r="K681" s="15">
        <v>0</v>
      </c>
      <c r="L681" s="15">
        <v>0</v>
      </c>
      <c r="M681" s="15">
        <v>0</v>
      </c>
      <c r="N681" s="15">
        <v>0</v>
      </c>
      <c r="O681" s="15">
        <v>0</v>
      </c>
    </row>
    <row r="682" spans="1:15">
      <c r="A682" s="11" t="s">
        <v>998</v>
      </c>
      <c r="B682" s="12" t="s">
        <v>836</v>
      </c>
      <c r="C682" s="13" t="s">
        <v>404</v>
      </c>
      <c r="D682" s="13">
        <v>76</v>
      </c>
      <c r="E682" s="14">
        <v>450</v>
      </c>
      <c r="F682" s="15">
        <v>0</v>
      </c>
      <c r="G682" s="15">
        <v>0</v>
      </c>
      <c r="H682" s="15">
        <v>0</v>
      </c>
      <c r="I682" s="15">
        <v>0</v>
      </c>
      <c r="J682" s="15">
        <v>0</v>
      </c>
      <c r="K682" s="15">
        <v>0</v>
      </c>
      <c r="L682" s="15">
        <v>0</v>
      </c>
      <c r="M682" s="15">
        <v>0</v>
      </c>
      <c r="N682" s="15">
        <v>0</v>
      </c>
      <c r="O682" s="15">
        <v>0</v>
      </c>
    </row>
    <row r="683" spans="1:15">
      <c r="A683" s="11" t="s">
        <v>999</v>
      </c>
      <c r="B683" s="12" t="s">
        <v>836</v>
      </c>
      <c r="C683" s="13" t="s">
        <v>404</v>
      </c>
      <c r="D683" s="13">
        <v>77</v>
      </c>
      <c r="E683" s="14">
        <v>450</v>
      </c>
      <c r="F683" s="15">
        <v>0</v>
      </c>
      <c r="G683" s="15">
        <v>0</v>
      </c>
      <c r="H683" s="15">
        <v>0</v>
      </c>
      <c r="I683" s="15">
        <v>0</v>
      </c>
      <c r="J683" s="15">
        <v>0</v>
      </c>
      <c r="K683" s="15">
        <v>0</v>
      </c>
      <c r="L683" s="15">
        <v>0</v>
      </c>
      <c r="M683" s="15">
        <v>0</v>
      </c>
      <c r="N683" s="15">
        <v>0</v>
      </c>
      <c r="O683" s="15">
        <v>0</v>
      </c>
    </row>
    <row r="684" spans="1:15">
      <c r="A684" s="11" t="s">
        <v>1000</v>
      </c>
      <c r="B684" s="12" t="s">
        <v>836</v>
      </c>
      <c r="C684" s="13" t="s">
        <v>404</v>
      </c>
      <c r="D684" s="13">
        <v>78</v>
      </c>
      <c r="E684" s="14">
        <v>450</v>
      </c>
      <c r="F684" s="15">
        <v>0</v>
      </c>
      <c r="G684" s="15">
        <v>0</v>
      </c>
      <c r="H684" s="15">
        <v>0</v>
      </c>
      <c r="I684" s="15">
        <v>0</v>
      </c>
      <c r="J684" s="15">
        <v>0</v>
      </c>
      <c r="K684" s="15">
        <v>0</v>
      </c>
      <c r="L684" s="15">
        <v>0</v>
      </c>
      <c r="M684" s="15">
        <v>0</v>
      </c>
      <c r="N684" s="15">
        <v>0</v>
      </c>
      <c r="O684" s="15">
        <v>0</v>
      </c>
    </row>
    <row r="685" spans="1:15">
      <c r="A685" s="11" t="s">
        <v>1001</v>
      </c>
      <c r="B685" s="12" t="s">
        <v>836</v>
      </c>
      <c r="C685" s="13" t="s">
        <v>404</v>
      </c>
      <c r="D685" s="13">
        <v>79</v>
      </c>
      <c r="E685" s="14">
        <v>450</v>
      </c>
      <c r="F685" s="15">
        <v>0</v>
      </c>
      <c r="G685" s="15">
        <v>0</v>
      </c>
      <c r="H685" s="15">
        <v>0</v>
      </c>
      <c r="I685" s="15">
        <v>0</v>
      </c>
      <c r="J685" s="15">
        <v>0</v>
      </c>
      <c r="K685" s="15">
        <v>0</v>
      </c>
      <c r="L685" s="15">
        <v>0</v>
      </c>
      <c r="M685" s="15">
        <v>0</v>
      </c>
      <c r="N685" s="15">
        <v>0</v>
      </c>
      <c r="O685" s="15">
        <v>0</v>
      </c>
    </row>
    <row r="686" spans="1:15">
      <c r="A686" s="11" t="s">
        <v>1002</v>
      </c>
      <c r="B686" s="12" t="s">
        <v>836</v>
      </c>
      <c r="C686" s="13" t="s">
        <v>404</v>
      </c>
      <c r="D686" s="13">
        <v>80</v>
      </c>
      <c r="E686" s="14">
        <v>450</v>
      </c>
      <c r="F686" s="15">
        <v>0</v>
      </c>
      <c r="G686" s="15">
        <v>0</v>
      </c>
      <c r="H686" s="15">
        <v>0</v>
      </c>
      <c r="I686" s="15">
        <v>0</v>
      </c>
      <c r="J686" s="15">
        <v>0</v>
      </c>
      <c r="K686" s="15">
        <v>0</v>
      </c>
      <c r="L686" s="15">
        <v>0</v>
      </c>
      <c r="M686" s="15">
        <v>0</v>
      </c>
      <c r="N686" s="15">
        <v>0</v>
      </c>
      <c r="O686" s="15">
        <v>0</v>
      </c>
    </row>
    <row r="687" spans="1:15">
      <c r="A687" s="11" t="s">
        <v>1003</v>
      </c>
      <c r="B687" s="12" t="s">
        <v>836</v>
      </c>
      <c r="C687" s="13" t="s">
        <v>404</v>
      </c>
      <c r="D687" s="13">
        <v>81</v>
      </c>
      <c r="E687" s="14">
        <v>450</v>
      </c>
      <c r="F687" s="15">
        <v>0</v>
      </c>
      <c r="G687" s="15">
        <v>0</v>
      </c>
      <c r="H687" s="15">
        <v>0</v>
      </c>
      <c r="I687" s="15">
        <v>0</v>
      </c>
      <c r="J687" s="15">
        <v>0</v>
      </c>
      <c r="K687" s="15">
        <v>0</v>
      </c>
      <c r="L687" s="15">
        <v>0</v>
      </c>
      <c r="M687" s="15">
        <v>0</v>
      </c>
      <c r="N687" s="15">
        <v>0</v>
      </c>
      <c r="O687" s="15">
        <v>0</v>
      </c>
    </row>
    <row r="688" spans="1:15">
      <c r="A688" s="11" t="s">
        <v>1004</v>
      </c>
      <c r="B688" s="12" t="s">
        <v>836</v>
      </c>
      <c r="C688" s="13" t="s">
        <v>404</v>
      </c>
      <c r="D688" s="13">
        <v>82</v>
      </c>
      <c r="E688" s="14">
        <v>450</v>
      </c>
      <c r="F688" s="15">
        <v>0</v>
      </c>
      <c r="G688" s="15">
        <v>0</v>
      </c>
      <c r="H688" s="15">
        <v>0</v>
      </c>
      <c r="I688" s="15">
        <v>0</v>
      </c>
      <c r="J688" s="15">
        <v>0</v>
      </c>
      <c r="K688" s="15">
        <v>0</v>
      </c>
      <c r="L688" s="15">
        <v>0</v>
      </c>
      <c r="M688" s="15">
        <v>0</v>
      </c>
      <c r="N688" s="15">
        <v>0</v>
      </c>
      <c r="O688" s="15">
        <v>0</v>
      </c>
    </row>
    <row r="689" spans="1:15">
      <c r="A689" s="11" t="s">
        <v>1005</v>
      </c>
      <c r="B689" s="12" t="s">
        <v>836</v>
      </c>
      <c r="C689" s="13" t="s">
        <v>404</v>
      </c>
      <c r="D689" s="13">
        <v>83</v>
      </c>
      <c r="E689" s="14">
        <v>450</v>
      </c>
      <c r="F689" s="15">
        <v>0</v>
      </c>
      <c r="G689" s="15">
        <v>0</v>
      </c>
      <c r="H689" s="15">
        <v>0</v>
      </c>
      <c r="I689" s="15">
        <v>0</v>
      </c>
      <c r="J689" s="15">
        <v>0</v>
      </c>
      <c r="K689" s="15">
        <v>0</v>
      </c>
      <c r="L689" s="15">
        <v>0</v>
      </c>
      <c r="M689" s="15">
        <v>0</v>
      </c>
      <c r="N689" s="15">
        <v>0</v>
      </c>
      <c r="O689" s="15">
        <v>0</v>
      </c>
    </row>
    <row r="690" spans="1:15">
      <c r="A690" s="11" t="s">
        <v>1006</v>
      </c>
      <c r="B690" s="12" t="s">
        <v>836</v>
      </c>
      <c r="C690" s="13" t="s">
        <v>404</v>
      </c>
      <c r="D690" s="13">
        <v>84</v>
      </c>
      <c r="E690" s="14">
        <v>450</v>
      </c>
      <c r="F690" s="15">
        <v>0</v>
      </c>
      <c r="G690" s="15">
        <v>0</v>
      </c>
      <c r="H690" s="15">
        <v>0</v>
      </c>
      <c r="I690" s="15">
        <v>0</v>
      </c>
      <c r="J690" s="15">
        <v>0</v>
      </c>
      <c r="K690" s="15">
        <v>0</v>
      </c>
      <c r="L690" s="15">
        <v>0</v>
      </c>
      <c r="M690" s="15">
        <v>0</v>
      </c>
      <c r="N690" s="15">
        <v>0</v>
      </c>
      <c r="O690" s="15">
        <v>0</v>
      </c>
    </row>
    <row r="691" spans="1:15">
      <c r="A691" s="11" t="s">
        <v>1007</v>
      </c>
      <c r="B691" s="12" t="s">
        <v>836</v>
      </c>
      <c r="C691" s="13" t="s">
        <v>404</v>
      </c>
      <c r="D691" s="13">
        <v>85</v>
      </c>
      <c r="E691" s="14">
        <v>450</v>
      </c>
      <c r="F691" s="15">
        <v>0</v>
      </c>
      <c r="G691" s="15">
        <v>0</v>
      </c>
      <c r="H691" s="15">
        <v>0</v>
      </c>
      <c r="I691" s="15">
        <v>0</v>
      </c>
      <c r="J691" s="15">
        <v>0</v>
      </c>
      <c r="K691" s="15">
        <v>0</v>
      </c>
      <c r="L691" s="15">
        <v>0</v>
      </c>
      <c r="M691" s="15">
        <v>0</v>
      </c>
      <c r="N691" s="15">
        <v>0</v>
      </c>
      <c r="O691" s="15">
        <v>0</v>
      </c>
    </row>
    <row r="692" spans="1:15">
      <c r="A692" s="11"/>
      <c r="B692" s="12"/>
      <c r="C692" s="13"/>
      <c r="D692" s="13"/>
      <c r="E692" s="14"/>
      <c r="F692" s="15"/>
      <c r="G692" s="15"/>
      <c r="H692" s="15"/>
      <c r="I692" s="15"/>
      <c r="J692" s="15"/>
      <c r="K692" s="15"/>
      <c r="L692" s="15"/>
      <c r="M692" s="15"/>
      <c r="N692" s="15"/>
      <c r="O692" s="15"/>
    </row>
    <row r="693" spans="1:15">
      <c r="A693" s="11" t="s">
        <v>1008</v>
      </c>
      <c r="B693" s="12" t="s">
        <v>281</v>
      </c>
      <c r="C693" s="13" t="s">
        <v>317</v>
      </c>
      <c r="D693" s="13">
        <v>0</v>
      </c>
      <c r="E693" s="14">
        <v>450</v>
      </c>
      <c r="F693" s="15">
        <v>0</v>
      </c>
      <c r="G693" s="15">
        <v>0</v>
      </c>
      <c r="H693" s="15">
        <v>0</v>
      </c>
      <c r="I693" s="15">
        <v>0</v>
      </c>
      <c r="J693" s="15">
        <v>0</v>
      </c>
      <c r="K693" s="15">
        <v>0</v>
      </c>
      <c r="L693" s="15">
        <v>0</v>
      </c>
      <c r="M693" s="15">
        <v>0</v>
      </c>
      <c r="N693" s="15">
        <v>0</v>
      </c>
      <c r="O693" s="15">
        <v>0</v>
      </c>
    </row>
    <row r="694" spans="1:15">
      <c r="A694" s="11" t="s">
        <v>1009</v>
      </c>
      <c r="B694" s="12" t="s">
        <v>281</v>
      </c>
      <c r="C694" s="13" t="s">
        <v>317</v>
      </c>
      <c r="D694" s="13">
        <v>1</v>
      </c>
      <c r="E694" s="14">
        <v>450</v>
      </c>
      <c r="F694" s="15">
        <v>0</v>
      </c>
      <c r="G694" s="15">
        <v>0</v>
      </c>
      <c r="H694" s="15">
        <v>0</v>
      </c>
      <c r="I694" s="15">
        <v>0</v>
      </c>
      <c r="J694" s="15">
        <v>0</v>
      </c>
      <c r="K694" s="15">
        <v>0</v>
      </c>
      <c r="L694" s="15">
        <v>0</v>
      </c>
      <c r="M694" s="15">
        <v>0</v>
      </c>
      <c r="N694" s="15">
        <v>0</v>
      </c>
      <c r="O694" s="15">
        <v>0</v>
      </c>
    </row>
    <row r="695" spans="1:15">
      <c r="A695" s="11" t="s">
        <v>1010</v>
      </c>
      <c r="B695" s="12" t="s">
        <v>281</v>
      </c>
      <c r="C695" s="13" t="s">
        <v>317</v>
      </c>
      <c r="D695" s="13">
        <v>2</v>
      </c>
      <c r="E695" s="14">
        <v>450</v>
      </c>
      <c r="F695" s="15">
        <v>0</v>
      </c>
      <c r="G695" s="15">
        <v>0</v>
      </c>
      <c r="H695" s="15">
        <v>0</v>
      </c>
      <c r="I695" s="15">
        <v>0</v>
      </c>
      <c r="J695" s="15">
        <v>0</v>
      </c>
      <c r="K695" s="15">
        <v>0</v>
      </c>
      <c r="L695" s="15">
        <v>0</v>
      </c>
      <c r="M695" s="15">
        <v>0</v>
      </c>
      <c r="N695" s="15">
        <v>0</v>
      </c>
      <c r="O695" s="15">
        <v>0</v>
      </c>
    </row>
    <row r="696" spans="1:15">
      <c r="A696" s="11" t="s">
        <v>1011</v>
      </c>
      <c r="B696" s="12" t="s">
        <v>281</v>
      </c>
      <c r="C696" s="13" t="s">
        <v>317</v>
      </c>
      <c r="D696" s="13">
        <v>3</v>
      </c>
      <c r="E696" s="14">
        <v>450</v>
      </c>
      <c r="F696" s="15">
        <v>0</v>
      </c>
      <c r="G696" s="15">
        <v>0</v>
      </c>
      <c r="H696" s="15">
        <v>0</v>
      </c>
      <c r="I696" s="15">
        <v>0</v>
      </c>
      <c r="J696" s="15">
        <v>0</v>
      </c>
      <c r="K696" s="15">
        <v>0</v>
      </c>
      <c r="L696" s="15">
        <v>0</v>
      </c>
      <c r="M696" s="15">
        <v>0</v>
      </c>
      <c r="N696" s="15">
        <v>0</v>
      </c>
      <c r="O696" s="15">
        <v>0</v>
      </c>
    </row>
    <row r="697" spans="1:15">
      <c r="A697" s="11" t="s">
        <v>1012</v>
      </c>
      <c r="B697" s="12" t="s">
        <v>281</v>
      </c>
      <c r="C697" s="13" t="s">
        <v>317</v>
      </c>
      <c r="D697" s="13">
        <v>4</v>
      </c>
      <c r="E697" s="14">
        <v>450</v>
      </c>
      <c r="F697" s="15">
        <v>0</v>
      </c>
      <c r="G697" s="15">
        <v>0</v>
      </c>
      <c r="H697" s="15">
        <v>0</v>
      </c>
      <c r="I697" s="15">
        <v>0</v>
      </c>
      <c r="J697" s="15">
        <v>0</v>
      </c>
      <c r="K697" s="15">
        <v>0</v>
      </c>
      <c r="L697" s="15">
        <v>0</v>
      </c>
      <c r="M697" s="15">
        <v>0</v>
      </c>
      <c r="N697" s="15">
        <v>0</v>
      </c>
      <c r="O697" s="15">
        <v>0</v>
      </c>
    </row>
    <row r="698" spans="1:15">
      <c r="A698" s="11" t="s">
        <v>1013</v>
      </c>
      <c r="B698" s="12" t="s">
        <v>281</v>
      </c>
      <c r="C698" s="13" t="s">
        <v>317</v>
      </c>
      <c r="D698" s="13">
        <v>5</v>
      </c>
      <c r="E698" s="14">
        <v>450</v>
      </c>
      <c r="F698" s="15">
        <v>0</v>
      </c>
      <c r="G698" s="15">
        <v>0</v>
      </c>
      <c r="H698" s="15">
        <v>0</v>
      </c>
      <c r="I698" s="15">
        <v>0</v>
      </c>
      <c r="J698" s="15">
        <v>0</v>
      </c>
      <c r="K698" s="15">
        <v>0</v>
      </c>
      <c r="L698" s="15">
        <v>0</v>
      </c>
      <c r="M698" s="15">
        <v>0</v>
      </c>
      <c r="N698" s="15">
        <v>0</v>
      </c>
      <c r="O698" s="15">
        <v>0</v>
      </c>
    </row>
    <row r="699" spans="1:15">
      <c r="A699" s="11" t="s">
        <v>1014</v>
      </c>
      <c r="B699" s="12" t="s">
        <v>281</v>
      </c>
      <c r="C699" s="13" t="s">
        <v>317</v>
      </c>
      <c r="D699" s="13">
        <v>6</v>
      </c>
      <c r="E699" s="14">
        <v>450</v>
      </c>
      <c r="F699" s="15">
        <v>0</v>
      </c>
      <c r="G699" s="15">
        <v>0</v>
      </c>
      <c r="H699" s="15">
        <v>0</v>
      </c>
      <c r="I699" s="15">
        <v>0</v>
      </c>
      <c r="J699" s="15">
        <v>0</v>
      </c>
      <c r="K699" s="15">
        <v>0</v>
      </c>
      <c r="L699" s="15">
        <v>0</v>
      </c>
      <c r="M699" s="15">
        <v>0</v>
      </c>
      <c r="N699" s="15">
        <v>0</v>
      </c>
      <c r="O699" s="15">
        <v>0</v>
      </c>
    </row>
    <row r="700" spans="1:15">
      <c r="A700" s="11" t="s">
        <v>1015</v>
      </c>
      <c r="B700" s="12" t="s">
        <v>281</v>
      </c>
      <c r="C700" s="13" t="s">
        <v>317</v>
      </c>
      <c r="D700" s="13">
        <v>7</v>
      </c>
      <c r="E700" s="14">
        <v>450</v>
      </c>
      <c r="F700" s="15">
        <v>0</v>
      </c>
      <c r="G700" s="15">
        <v>0</v>
      </c>
      <c r="H700" s="15">
        <v>0</v>
      </c>
      <c r="I700" s="15">
        <v>0</v>
      </c>
      <c r="J700" s="15">
        <v>0</v>
      </c>
      <c r="K700" s="15">
        <v>0</v>
      </c>
      <c r="L700" s="15">
        <v>0</v>
      </c>
      <c r="M700" s="15">
        <v>0</v>
      </c>
      <c r="N700" s="15">
        <v>0</v>
      </c>
      <c r="O700" s="15">
        <v>0</v>
      </c>
    </row>
    <row r="701" spans="1:15">
      <c r="A701" s="11" t="s">
        <v>1016</v>
      </c>
      <c r="B701" s="12" t="s">
        <v>281</v>
      </c>
      <c r="C701" s="13" t="s">
        <v>317</v>
      </c>
      <c r="D701" s="13">
        <v>8</v>
      </c>
      <c r="E701" s="14">
        <v>450</v>
      </c>
      <c r="F701" s="15">
        <v>0</v>
      </c>
      <c r="G701" s="15">
        <v>0</v>
      </c>
      <c r="H701" s="15">
        <v>0</v>
      </c>
      <c r="I701" s="15">
        <v>0</v>
      </c>
      <c r="J701" s="15">
        <v>0</v>
      </c>
      <c r="K701" s="15">
        <v>0</v>
      </c>
      <c r="L701" s="15">
        <v>0</v>
      </c>
      <c r="M701" s="15">
        <v>0</v>
      </c>
      <c r="N701" s="15">
        <v>0</v>
      </c>
      <c r="O701" s="15">
        <v>0</v>
      </c>
    </row>
    <row r="702" spans="1:15">
      <c r="A702" s="11" t="s">
        <v>1017</v>
      </c>
      <c r="B702" s="12" t="s">
        <v>281</v>
      </c>
      <c r="C702" s="13" t="s">
        <v>317</v>
      </c>
      <c r="D702" s="13">
        <v>9</v>
      </c>
      <c r="E702" s="14">
        <v>450</v>
      </c>
      <c r="F702" s="15">
        <v>0</v>
      </c>
      <c r="G702" s="15">
        <v>0</v>
      </c>
      <c r="H702" s="15">
        <v>0</v>
      </c>
      <c r="I702" s="15">
        <v>0</v>
      </c>
      <c r="J702" s="15">
        <v>0</v>
      </c>
      <c r="K702" s="15">
        <v>0</v>
      </c>
      <c r="L702" s="15">
        <v>0</v>
      </c>
      <c r="M702" s="15">
        <v>0</v>
      </c>
      <c r="N702" s="15">
        <v>0</v>
      </c>
      <c r="O702" s="15">
        <v>0</v>
      </c>
    </row>
    <row r="703" spans="1:15">
      <c r="A703" s="11" t="s">
        <v>1018</v>
      </c>
      <c r="B703" s="12" t="s">
        <v>281</v>
      </c>
      <c r="C703" s="13" t="s">
        <v>317</v>
      </c>
      <c r="D703" s="13">
        <v>10</v>
      </c>
      <c r="E703" s="14">
        <v>450</v>
      </c>
      <c r="F703" s="15">
        <v>0</v>
      </c>
      <c r="G703" s="15">
        <v>0</v>
      </c>
      <c r="H703" s="15">
        <v>0</v>
      </c>
      <c r="I703" s="15">
        <v>0</v>
      </c>
      <c r="J703" s="15">
        <v>0</v>
      </c>
      <c r="K703" s="15">
        <v>0</v>
      </c>
      <c r="L703" s="15">
        <v>0</v>
      </c>
      <c r="M703" s="15">
        <v>0</v>
      </c>
      <c r="N703" s="15">
        <v>0</v>
      </c>
      <c r="O703" s="15">
        <v>0</v>
      </c>
    </row>
    <row r="704" spans="1:15">
      <c r="A704" s="11" t="s">
        <v>1019</v>
      </c>
      <c r="B704" s="12" t="s">
        <v>281</v>
      </c>
      <c r="C704" s="13" t="s">
        <v>317</v>
      </c>
      <c r="D704" s="13">
        <v>11</v>
      </c>
      <c r="E704" s="14">
        <v>450</v>
      </c>
      <c r="F704" s="15">
        <v>0</v>
      </c>
      <c r="G704" s="15">
        <v>0</v>
      </c>
      <c r="H704" s="15">
        <v>0</v>
      </c>
      <c r="I704" s="15">
        <v>0</v>
      </c>
      <c r="J704" s="15">
        <v>0</v>
      </c>
      <c r="K704" s="15">
        <v>0</v>
      </c>
      <c r="L704" s="15">
        <v>0</v>
      </c>
      <c r="M704" s="15">
        <v>0</v>
      </c>
      <c r="N704" s="15">
        <v>0</v>
      </c>
      <c r="O704" s="15">
        <v>0</v>
      </c>
    </row>
    <row r="705" spans="1:15">
      <c r="A705" s="11" t="s">
        <v>1020</v>
      </c>
      <c r="B705" s="12" t="s">
        <v>281</v>
      </c>
      <c r="C705" s="13" t="s">
        <v>317</v>
      </c>
      <c r="D705" s="13">
        <v>12</v>
      </c>
      <c r="E705" s="14">
        <v>450</v>
      </c>
      <c r="F705" s="15">
        <v>0</v>
      </c>
      <c r="G705" s="15">
        <v>0</v>
      </c>
      <c r="H705" s="15">
        <v>0</v>
      </c>
      <c r="I705" s="15">
        <v>0</v>
      </c>
      <c r="J705" s="15">
        <v>0</v>
      </c>
      <c r="K705" s="15">
        <v>0</v>
      </c>
      <c r="L705" s="15">
        <v>0</v>
      </c>
      <c r="M705" s="15">
        <v>0</v>
      </c>
      <c r="N705" s="15">
        <v>0</v>
      </c>
      <c r="O705" s="15">
        <v>0</v>
      </c>
    </row>
    <row r="706" spans="1:15">
      <c r="A706" s="11" t="s">
        <v>1021</v>
      </c>
      <c r="B706" s="12" t="s">
        <v>281</v>
      </c>
      <c r="C706" s="13" t="s">
        <v>317</v>
      </c>
      <c r="D706" s="13">
        <v>13</v>
      </c>
      <c r="E706" s="14">
        <v>450</v>
      </c>
      <c r="F706" s="15">
        <v>0</v>
      </c>
      <c r="G706" s="15">
        <v>0</v>
      </c>
      <c r="H706" s="15">
        <v>0</v>
      </c>
      <c r="I706" s="15">
        <v>0</v>
      </c>
      <c r="J706" s="15">
        <v>0</v>
      </c>
      <c r="K706" s="15">
        <v>0</v>
      </c>
      <c r="L706" s="15">
        <v>0</v>
      </c>
      <c r="M706" s="15">
        <v>0</v>
      </c>
      <c r="N706" s="15">
        <v>0</v>
      </c>
      <c r="O706" s="15">
        <v>0</v>
      </c>
    </row>
    <row r="707" spans="1:15">
      <c r="A707" s="11" t="s">
        <v>1022</v>
      </c>
      <c r="B707" s="12" t="s">
        <v>281</v>
      </c>
      <c r="C707" s="13" t="s">
        <v>317</v>
      </c>
      <c r="D707" s="13">
        <v>14</v>
      </c>
      <c r="E707" s="14">
        <v>450</v>
      </c>
      <c r="F707" s="15">
        <v>0</v>
      </c>
      <c r="G707" s="15">
        <v>0</v>
      </c>
      <c r="H707" s="15">
        <v>0</v>
      </c>
      <c r="I707" s="15">
        <v>0</v>
      </c>
      <c r="J707" s="15">
        <v>0</v>
      </c>
      <c r="K707" s="15">
        <v>0</v>
      </c>
      <c r="L707" s="15">
        <v>0</v>
      </c>
      <c r="M707" s="15">
        <v>0</v>
      </c>
      <c r="N707" s="15">
        <v>0</v>
      </c>
      <c r="O707" s="15">
        <v>0</v>
      </c>
    </row>
    <row r="708" spans="1:15">
      <c r="A708" s="11" t="s">
        <v>1023</v>
      </c>
      <c r="B708" s="12" t="s">
        <v>281</v>
      </c>
      <c r="C708" s="13" t="s">
        <v>317</v>
      </c>
      <c r="D708" s="13">
        <v>15</v>
      </c>
      <c r="E708" s="14">
        <v>450</v>
      </c>
      <c r="F708" s="15">
        <v>0</v>
      </c>
      <c r="G708" s="15">
        <v>0</v>
      </c>
      <c r="H708" s="15">
        <v>0</v>
      </c>
      <c r="I708" s="15">
        <v>0</v>
      </c>
      <c r="J708" s="15">
        <v>0</v>
      </c>
      <c r="K708" s="15">
        <v>0</v>
      </c>
      <c r="L708" s="15">
        <v>0</v>
      </c>
      <c r="M708" s="15">
        <v>0</v>
      </c>
      <c r="N708" s="15">
        <v>0</v>
      </c>
      <c r="O708" s="15">
        <v>0</v>
      </c>
    </row>
    <row r="709" spans="1:15">
      <c r="A709" s="11" t="s">
        <v>1024</v>
      </c>
      <c r="B709" s="12" t="s">
        <v>281</v>
      </c>
      <c r="C709" s="13" t="s">
        <v>317</v>
      </c>
      <c r="D709" s="13">
        <v>16</v>
      </c>
      <c r="E709" s="14">
        <v>450</v>
      </c>
      <c r="F709" s="15">
        <v>0</v>
      </c>
      <c r="G709" s="15">
        <v>0</v>
      </c>
      <c r="H709" s="15">
        <v>0</v>
      </c>
      <c r="I709" s="15">
        <v>0</v>
      </c>
      <c r="J709" s="15">
        <v>0</v>
      </c>
      <c r="K709" s="15">
        <v>0</v>
      </c>
      <c r="L709" s="15">
        <v>0</v>
      </c>
      <c r="M709" s="15">
        <v>0</v>
      </c>
      <c r="N709" s="15">
        <v>0</v>
      </c>
      <c r="O709" s="15">
        <v>0</v>
      </c>
    </row>
    <row r="710" spans="1:15">
      <c r="A710" s="11" t="s">
        <v>1025</v>
      </c>
      <c r="B710" s="12" t="s">
        <v>281</v>
      </c>
      <c r="C710" s="13" t="s">
        <v>317</v>
      </c>
      <c r="D710" s="13">
        <v>17</v>
      </c>
      <c r="E710" s="14">
        <v>450</v>
      </c>
      <c r="F710" s="15">
        <v>0</v>
      </c>
      <c r="G710" s="15">
        <v>0</v>
      </c>
      <c r="H710" s="15">
        <v>0</v>
      </c>
      <c r="I710" s="15">
        <v>0</v>
      </c>
      <c r="J710" s="15">
        <v>0</v>
      </c>
      <c r="K710" s="15">
        <v>0</v>
      </c>
      <c r="L710" s="15">
        <v>0</v>
      </c>
      <c r="M710" s="15">
        <v>0</v>
      </c>
      <c r="N710" s="15">
        <v>0</v>
      </c>
      <c r="O710" s="15">
        <v>0</v>
      </c>
    </row>
    <row r="711" spans="1:15">
      <c r="A711" s="11" t="s">
        <v>1026</v>
      </c>
      <c r="B711" s="12" t="s">
        <v>281</v>
      </c>
      <c r="C711" s="13" t="s">
        <v>317</v>
      </c>
      <c r="D711" s="13">
        <v>18</v>
      </c>
      <c r="E711" s="14">
        <v>450</v>
      </c>
      <c r="F711" s="15">
        <v>0</v>
      </c>
      <c r="G711" s="15">
        <v>0</v>
      </c>
      <c r="H711" s="15">
        <v>0</v>
      </c>
      <c r="I711" s="15">
        <v>0</v>
      </c>
      <c r="J711" s="15">
        <v>0</v>
      </c>
      <c r="K711" s="15">
        <v>0</v>
      </c>
      <c r="L711" s="15">
        <v>0</v>
      </c>
      <c r="M711" s="15">
        <v>0</v>
      </c>
      <c r="N711" s="15">
        <v>0</v>
      </c>
      <c r="O711" s="15">
        <v>0</v>
      </c>
    </row>
    <row r="712" spans="1:15">
      <c r="A712" s="11" t="s">
        <v>1027</v>
      </c>
      <c r="B712" s="12" t="s">
        <v>281</v>
      </c>
      <c r="C712" s="13" t="s">
        <v>317</v>
      </c>
      <c r="D712" s="13">
        <v>19</v>
      </c>
      <c r="E712" s="14">
        <v>450</v>
      </c>
      <c r="F712" s="15">
        <v>0</v>
      </c>
      <c r="G712" s="15">
        <v>0</v>
      </c>
      <c r="H712" s="15">
        <v>0</v>
      </c>
      <c r="I712" s="15">
        <v>0</v>
      </c>
      <c r="J712" s="15">
        <v>0</v>
      </c>
      <c r="K712" s="15">
        <v>0</v>
      </c>
      <c r="L712" s="15">
        <v>0</v>
      </c>
      <c r="M712" s="15">
        <v>0</v>
      </c>
      <c r="N712" s="15">
        <v>0</v>
      </c>
      <c r="O712" s="15">
        <v>0</v>
      </c>
    </row>
    <row r="713" spans="1:15">
      <c r="A713" s="11" t="s">
        <v>1028</v>
      </c>
      <c r="B713" s="12" t="s">
        <v>281</v>
      </c>
      <c r="C713" s="13" t="s">
        <v>317</v>
      </c>
      <c r="D713" s="13">
        <v>20</v>
      </c>
      <c r="E713" s="14">
        <v>450</v>
      </c>
      <c r="F713" s="15">
        <v>0</v>
      </c>
      <c r="G713" s="15">
        <v>0</v>
      </c>
      <c r="H713" s="15">
        <v>0</v>
      </c>
      <c r="I713" s="15">
        <v>0</v>
      </c>
      <c r="J713" s="15">
        <v>0</v>
      </c>
      <c r="K713" s="15">
        <v>0</v>
      </c>
      <c r="L713" s="15">
        <v>0</v>
      </c>
      <c r="M713" s="15">
        <v>0</v>
      </c>
      <c r="N713" s="15">
        <v>0</v>
      </c>
      <c r="O713" s="15">
        <v>0</v>
      </c>
    </row>
    <row r="714" spans="1:15">
      <c r="A714" s="11" t="s">
        <v>1029</v>
      </c>
      <c r="B714" s="12" t="s">
        <v>281</v>
      </c>
      <c r="C714" s="13" t="s">
        <v>317</v>
      </c>
      <c r="D714" s="13">
        <v>21</v>
      </c>
      <c r="E714" s="14">
        <v>450</v>
      </c>
      <c r="F714" s="15">
        <v>0</v>
      </c>
      <c r="G714" s="15">
        <v>0</v>
      </c>
      <c r="H714" s="15">
        <v>0</v>
      </c>
      <c r="I714" s="15">
        <v>0</v>
      </c>
      <c r="J714" s="15">
        <v>0</v>
      </c>
      <c r="K714" s="15">
        <v>0</v>
      </c>
      <c r="L714" s="15">
        <v>0</v>
      </c>
      <c r="M714" s="15">
        <v>0</v>
      </c>
      <c r="N714" s="15">
        <v>0</v>
      </c>
      <c r="O714" s="15">
        <v>0</v>
      </c>
    </row>
    <row r="715" spans="1:15">
      <c r="A715" s="11" t="s">
        <v>1030</v>
      </c>
      <c r="B715" s="12" t="s">
        <v>281</v>
      </c>
      <c r="C715" s="13" t="s">
        <v>317</v>
      </c>
      <c r="D715" s="13">
        <v>22</v>
      </c>
      <c r="E715" s="14">
        <v>450</v>
      </c>
      <c r="F715" s="15">
        <v>0</v>
      </c>
      <c r="G715" s="15">
        <v>0</v>
      </c>
      <c r="H715" s="15">
        <v>0</v>
      </c>
      <c r="I715" s="15">
        <v>0</v>
      </c>
      <c r="J715" s="15">
        <v>0</v>
      </c>
      <c r="K715" s="15">
        <v>0</v>
      </c>
      <c r="L715" s="15">
        <v>0</v>
      </c>
      <c r="M715" s="15">
        <v>0</v>
      </c>
      <c r="N715" s="15">
        <v>0</v>
      </c>
      <c r="O715" s="15">
        <v>0</v>
      </c>
    </row>
    <row r="716" spans="1:15">
      <c r="A716" s="11" t="s">
        <v>1031</v>
      </c>
      <c r="B716" s="12" t="s">
        <v>281</v>
      </c>
      <c r="C716" s="13" t="s">
        <v>317</v>
      </c>
      <c r="D716" s="13">
        <v>23</v>
      </c>
      <c r="E716" s="14">
        <v>450</v>
      </c>
      <c r="F716" s="15">
        <v>0</v>
      </c>
      <c r="G716" s="15">
        <v>0</v>
      </c>
      <c r="H716" s="15">
        <v>0</v>
      </c>
      <c r="I716" s="15">
        <v>0</v>
      </c>
      <c r="J716" s="15">
        <v>0</v>
      </c>
      <c r="K716" s="15">
        <v>0</v>
      </c>
      <c r="L716" s="15">
        <v>0</v>
      </c>
      <c r="M716" s="15">
        <v>0</v>
      </c>
      <c r="N716" s="15">
        <v>0</v>
      </c>
      <c r="O716" s="15">
        <v>0</v>
      </c>
    </row>
    <row r="717" spans="1:15">
      <c r="A717" s="11" t="s">
        <v>1032</v>
      </c>
      <c r="B717" s="12" t="s">
        <v>281</v>
      </c>
      <c r="C717" s="13" t="s">
        <v>317</v>
      </c>
      <c r="D717" s="13">
        <v>24</v>
      </c>
      <c r="E717" s="14">
        <v>450</v>
      </c>
      <c r="F717" s="15">
        <v>0</v>
      </c>
      <c r="G717" s="15">
        <v>0</v>
      </c>
      <c r="H717" s="15">
        <v>0</v>
      </c>
      <c r="I717" s="15">
        <v>0</v>
      </c>
      <c r="J717" s="15">
        <v>0</v>
      </c>
      <c r="K717" s="15">
        <v>0</v>
      </c>
      <c r="L717" s="15">
        <v>0</v>
      </c>
      <c r="M717" s="15">
        <v>0</v>
      </c>
      <c r="N717" s="15">
        <v>0</v>
      </c>
      <c r="O717" s="15">
        <v>0</v>
      </c>
    </row>
    <row r="718" spans="1:15">
      <c r="A718" s="11" t="s">
        <v>1033</v>
      </c>
      <c r="B718" s="12" t="s">
        <v>281</v>
      </c>
      <c r="C718" s="13" t="s">
        <v>317</v>
      </c>
      <c r="D718" s="13">
        <v>25</v>
      </c>
      <c r="E718" s="14">
        <v>450</v>
      </c>
      <c r="F718" s="15">
        <v>0</v>
      </c>
      <c r="G718" s="15">
        <v>0</v>
      </c>
      <c r="H718" s="15">
        <v>0</v>
      </c>
      <c r="I718" s="15">
        <v>0</v>
      </c>
      <c r="J718" s="15">
        <v>0</v>
      </c>
      <c r="K718" s="15">
        <v>0</v>
      </c>
      <c r="L718" s="15">
        <v>0</v>
      </c>
      <c r="M718" s="15">
        <v>0</v>
      </c>
      <c r="N718" s="15">
        <v>0</v>
      </c>
      <c r="O718" s="15">
        <v>0</v>
      </c>
    </row>
    <row r="719" spans="1:15">
      <c r="A719" s="11" t="s">
        <v>1034</v>
      </c>
      <c r="B719" s="12" t="s">
        <v>281</v>
      </c>
      <c r="C719" s="13" t="s">
        <v>317</v>
      </c>
      <c r="D719" s="13">
        <v>26</v>
      </c>
      <c r="E719" s="14">
        <v>450</v>
      </c>
      <c r="F719" s="15">
        <v>0</v>
      </c>
      <c r="G719" s="15">
        <v>0</v>
      </c>
      <c r="H719" s="15">
        <v>0</v>
      </c>
      <c r="I719" s="15">
        <v>0</v>
      </c>
      <c r="J719" s="15">
        <v>0</v>
      </c>
      <c r="K719" s="15">
        <v>0</v>
      </c>
      <c r="L719" s="15">
        <v>0</v>
      </c>
      <c r="M719" s="15">
        <v>0</v>
      </c>
      <c r="N719" s="15">
        <v>0</v>
      </c>
      <c r="O719" s="15">
        <v>0</v>
      </c>
    </row>
    <row r="720" spans="1:15">
      <c r="A720" s="11" t="s">
        <v>1035</v>
      </c>
      <c r="B720" s="12" t="s">
        <v>281</v>
      </c>
      <c r="C720" s="13" t="s">
        <v>317</v>
      </c>
      <c r="D720" s="13">
        <v>27</v>
      </c>
      <c r="E720" s="14">
        <v>450</v>
      </c>
      <c r="F720" s="15">
        <v>0</v>
      </c>
      <c r="G720" s="15">
        <v>0</v>
      </c>
      <c r="H720" s="15">
        <v>0</v>
      </c>
      <c r="I720" s="15">
        <v>0</v>
      </c>
      <c r="J720" s="15">
        <v>0</v>
      </c>
      <c r="K720" s="15">
        <v>0</v>
      </c>
      <c r="L720" s="15">
        <v>0</v>
      </c>
      <c r="M720" s="15">
        <v>0</v>
      </c>
      <c r="N720" s="15">
        <v>0</v>
      </c>
      <c r="O720" s="15">
        <v>0</v>
      </c>
    </row>
    <row r="721" spans="1:15">
      <c r="A721" s="11" t="s">
        <v>1036</v>
      </c>
      <c r="B721" s="12" t="s">
        <v>281</v>
      </c>
      <c r="C721" s="13" t="s">
        <v>317</v>
      </c>
      <c r="D721" s="13">
        <v>28</v>
      </c>
      <c r="E721" s="14">
        <v>450</v>
      </c>
      <c r="F721" s="15">
        <v>0</v>
      </c>
      <c r="G721" s="15">
        <v>0</v>
      </c>
      <c r="H721" s="15">
        <v>0</v>
      </c>
      <c r="I721" s="15">
        <v>0</v>
      </c>
      <c r="J721" s="15">
        <v>0</v>
      </c>
      <c r="K721" s="15">
        <v>0</v>
      </c>
      <c r="L721" s="15">
        <v>0</v>
      </c>
      <c r="M721" s="15">
        <v>0</v>
      </c>
      <c r="N721" s="15">
        <v>0</v>
      </c>
      <c r="O721" s="15">
        <v>0</v>
      </c>
    </row>
    <row r="722" spans="1:15">
      <c r="A722" s="11" t="s">
        <v>1037</v>
      </c>
      <c r="B722" s="12" t="s">
        <v>281</v>
      </c>
      <c r="C722" s="13" t="s">
        <v>317</v>
      </c>
      <c r="D722" s="13">
        <v>29</v>
      </c>
      <c r="E722" s="14">
        <v>450</v>
      </c>
      <c r="F722" s="15">
        <v>0</v>
      </c>
      <c r="G722" s="15">
        <v>0</v>
      </c>
      <c r="H722" s="15">
        <v>0</v>
      </c>
      <c r="I722" s="15">
        <v>0</v>
      </c>
      <c r="J722" s="15">
        <v>0</v>
      </c>
      <c r="K722" s="15">
        <v>0</v>
      </c>
      <c r="L722" s="15">
        <v>0</v>
      </c>
      <c r="M722" s="15">
        <v>0</v>
      </c>
      <c r="N722" s="15">
        <v>0</v>
      </c>
      <c r="O722" s="15">
        <v>0</v>
      </c>
    </row>
    <row r="723" spans="1:15">
      <c r="A723" s="11" t="s">
        <v>1038</v>
      </c>
      <c r="B723" s="12" t="s">
        <v>281</v>
      </c>
      <c r="C723" s="13" t="s">
        <v>317</v>
      </c>
      <c r="D723" s="13">
        <v>30</v>
      </c>
      <c r="E723" s="14">
        <v>450</v>
      </c>
      <c r="F723" s="15">
        <v>0</v>
      </c>
      <c r="G723" s="15">
        <v>0</v>
      </c>
      <c r="H723" s="15">
        <v>0</v>
      </c>
      <c r="I723" s="15">
        <v>0</v>
      </c>
      <c r="J723" s="15">
        <v>0</v>
      </c>
      <c r="K723" s="15">
        <v>0</v>
      </c>
      <c r="L723" s="15">
        <v>0</v>
      </c>
      <c r="M723" s="15">
        <v>0</v>
      </c>
      <c r="N723" s="15">
        <v>0</v>
      </c>
      <c r="O723" s="15">
        <v>0</v>
      </c>
    </row>
    <row r="724" spans="1:15">
      <c r="A724" s="11" t="s">
        <v>1039</v>
      </c>
      <c r="B724" s="12" t="s">
        <v>281</v>
      </c>
      <c r="C724" s="13" t="s">
        <v>317</v>
      </c>
      <c r="D724" s="13">
        <v>31</v>
      </c>
      <c r="E724" s="14">
        <v>450</v>
      </c>
      <c r="F724" s="15">
        <v>0</v>
      </c>
      <c r="G724" s="15">
        <v>0</v>
      </c>
      <c r="H724" s="15">
        <v>0</v>
      </c>
      <c r="I724" s="15">
        <v>0</v>
      </c>
      <c r="J724" s="15">
        <v>0</v>
      </c>
      <c r="K724" s="15">
        <v>0</v>
      </c>
      <c r="L724" s="15">
        <v>0</v>
      </c>
      <c r="M724" s="15">
        <v>0</v>
      </c>
      <c r="N724" s="15">
        <v>0</v>
      </c>
      <c r="O724" s="15">
        <v>0</v>
      </c>
    </row>
    <row r="725" spans="1:15">
      <c r="A725" s="11" t="s">
        <v>1040</v>
      </c>
      <c r="B725" s="12" t="s">
        <v>281</v>
      </c>
      <c r="C725" s="13" t="s">
        <v>317</v>
      </c>
      <c r="D725" s="13">
        <v>32</v>
      </c>
      <c r="E725" s="14">
        <v>450</v>
      </c>
      <c r="F725" s="15">
        <v>0</v>
      </c>
      <c r="G725" s="15">
        <v>0</v>
      </c>
      <c r="H725" s="15">
        <v>0</v>
      </c>
      <c r="I725" s="15">
        <v>0</v>
      </c>
      <c r="J725" s="15">
        <v>0</v>
      </c>
      <c r="K725" s="15">
        <v>0</v>
      </c>
      <c r="L725" s="15">
        <v>0</v>
      </c>
      <c r="M725" s="15">
        <v>0</v>
      </c>
      <c r="N725" s="15">
        <v>0</v>
      </c>
      <c r="O725" s="15">
        <v>0</v>
      </c>
    </row>
    <row r="726" spans="1:15">
      <c r="A726" s="11" t="s">
        <v>1041</v>
      </c>
      <c r="B726" s="12" t="s">
        <v>281</v>
      </c>
      <c r="C726" s="13" t="s">
        <v>317</v>
      </c>
      <c r="D726" s="13">
        <v>33</v>
      </c>
      <c r="E726" s="14">
        <v>450</v>
      </c>
      <c r="F726" s="15">
        <v>0</v>
      </c>
      <c r="G726" s="15">
        <v>0</v>
      </c>
      <c r="H726" s="15">
        <v>0</v>
      </c>
      <c r="I726" s="15">
        <v>0</v>
      </c>
      <c r="J726" s="15">
        <v>0</v>
      </c>
      <c r="K726" s="15">
        <v>0</v>
      </c>
      <c r="L726" s="15">
        <v>0</v>
      </c>
      <c r="M726" s="15">
        <v>0</v>
      </c>
      <c r="N726" s="15">
        <v>0</v>
      </c>
      <c r="O726" s="15">
        <v>0</v>
      </c>
    </row>
    <row r="727" spans="1:15">
      <c r="A727" s="11" t="s">
        <v>1042</v>
      </c>
      <c r="B727" s="12" t="s">
        <v>281</v>
      </c>
      <c r="C727" s="13" t="s">
        <v>317</v>
      </c>
      <c r="D727" s="13">
        <v>34</v>
      </c>
      <c r="E727" s="14">
        <v>450</v>
      </c>
      <c r="F727" s="15">
        <v>0</v>
      </c>
      <c r="G727" s="15">
        <v>0</v>
      </c>
      <c r="H727" s="15">
        <v>0</v>
      </c>
      <c r="I727" s="15">
        <v>0</v>
      </c>
      <c r="J727" s="15">
        <v>0</v>
      </c>
      <c r="K727" s="15">
        <v>0</v>
      </c>
      <c r="L727" s="15">
        <v>0</v>
      </c>
      <c r="M727" s="15">
        <v>0</v>
      </c>
      <c r="N727" s="15">
        <v>0</v>
      </c>
      <c r="O727" s="15">
        <v>0</v>
      </c>
    </row>
    <row r="728" spans="1:15">
      <c r="A728" s="11" t="s">
        <v>1043</v>
      </c>
      <c r="B728" s="12" t="s">
        <v>281</v>
      </c>
      <c r="C728" s="13" t="s">
        <v>317</v>
      </c>
      <c r="D728" s="13">
        <v>35</v>
      </c>
      <c r="E728" s="14">
        <v>450</v>
      </c>
      <c r="F728" s="15">
        <v>0</v>
      </c>
      <c r="G728" s="15">
        <v>0</v>
      </c>
      <c r="H728" s="15">
        <v>0</v>
      </c>
      <c r="I728" s="15">
        <v>0</v>
      </c>
      <c r="J728" s="15">
        <v>0</v>
      </c>
      <c r="K728" s="15">
        <v>0</v>
      </c>
      <c r="L728" s="15">
        <v>0</v>
      </c>
      <c r="M728" s="15">
        <v>0</v>
      </c>
      <c r="N728" s="15">
        <v>0</v>
      </c>
      <c r="O728" s="15">
        <v>0</v>
      </c>
    </row>
    <row r="729" spans="1:15">
      <c r="A729" s="11" t="s">
        <v>1044</v>
      </c>
      <c r="B729" s="12" t="s">
        <v>281</v>
      </c>
      <c r="C729" s="13" t="s">
        <v>317</v>
      </c>
      <c r="D729" s="13">
        <v>36</v>
      </c>
      <c r="E729" s="14">
        <v>450</v>
      </c>
      <c r="F729" s="15">
        <v>0</v>
      </c>
      <c r="G729" s="15">
        <v>0</v>
      </c>
      <c r="H729" s="15">
        <v>0</v>
      </c>
      <c r="I729" s="15">
        <v>0</v>
      </c>
      <c r="J729" s="15">
        <v>0</v>
      </c>
      <c r="K729" s="15">
        <v>0</v>
      </c>
      <c r="L729" s="15">
        <v>0</v>
      </c>
      <c r="M729" s="15">
        <v>0</v>
      </c>
      <c r="N729" s="15">
        <v>0</v>
      </c>
      <c r="O729" s="15">
        <v>0</v>
      </c>
    </row>
    <row r="730" spans="1:15">
      <c r="A730" s="11" t="s">
        <v>1045</v>
      </c>
      <c r="B730" s="12" t="s">
        <v>281</v>
      </c>
      <c r="C730" s="13" t="s">
        <v>317</v>
      </c>
      <c r="D730" s="13">
        <v>37</v>
      </c>
      <c r="E730" s="14">
        <v>450</v>
      </c>
      <c r="F730" s="15">
        <v>0</v>
      </c>
      <c r="G730" s="15">
        <v>0</v>
      </c>
      <c r="H730" s="15">
        <v>0</v>
      </c>
      <c r="I730" s="15">
        <v>0</v>
      </c>
      <c r="J730" s="15">
        <v>0</v>
      </c>
      <c r="K730" s="15">
        <v>0</v>
      </c>
      <c r="L730" s="15">
        <v>0</v>
      </c>
      <c r="M730" s="15">
        <v>0</v>
      </c>
      <c r="N730" s="15">
        <v>0</v>
      </c>
      <c r="O730" s="15">
        <v>0</v>
      </c>
    </row>
    <row r="731" spans="1:15">
      <c r="A731" s="11" t="s">
        <v>1046</v>
      </c>
      <c r="B731" s="12" t="s">
        <v>281</v>
      </c>
      <c r="C731" s="13" t="s">
        <v>317</v>
      </c>
      <c r="D731" s="13">
        <v>38</v>
      </c>
      <c r="E731" s="14">
        <v>450</v>
      </c>
      <c r="F731" s="15">
        <v>0</v>
      </c>
      <c r="G731" s="15">
        <v>0</v>
      </c>
      <c r="H731" s="15">
        <v>0</v>
      </c>
      <c r="I731" s="15">
        <v>0</v>
      </c>
      <c r="J731" s="15">
        <v>0</v>
      </c>
      <c r="K731" s="15">
        <v>0</v>
      </c>
      <c r="L731" s="15">
        <v>0</v>
      </c>
      <c r="M731" s="15">
        <v>0</v>
      </c>
      <c r="N731" s="15">
        <v>0</v>
      </c>
      <c r="O731" s="15">
        <v>0</v>
      </c>
    </row>
    <row r="732" spans="1:15">
      <c r="A732" s="11" t="s">
        <v>1047</v>
      </c>
      <c r="B732" s="12" t="s">
        <v>281</v>
      </c>
      <c r="C732" s="13" t="s">
        <v>317</v>
      </c>
      <c r="D732" s="13">
        <v>39</v>
      </c>
      <c r="E732" s="14">
        <v>450</v>
      </c>
      <c r="F732" s="15">
        <v>0</v>
      </c>
      <c r="G732" s="15">
        <v>0</v>
      </c>
      <c r="H732" s="15">
        <v>0</v>
      </c>
      <c r="I732" s="15">
        <v>0</v>
      </c>
      <c r="J732" s="15">
        <v>0</v>
      </c>
      <c r="K732" s="15">
        <v>0</v>
      </c>
      <c r="L732" s="15">
        <v>0</v>
      </c>
      <c r="M732" s="15">
        <v>0</v>
      </c>
      <c r="N732" s="15">
        <v>0</v>
      </c>
      <c r="O732" s="15">
        <v>0</v>
      </c>
    </row>
    <row r="733" spans="1:15">
      <c r="A733" s="11" t="s">
        <v>1048</v>
      </c>
      <c r="B733" s="12" t="s">
        <v>281</v>
      </c>
      <c r="C733" s="13" t="s">
        <v>317</v>
      </c>
      <c r="D733" s="13">
        <v>40</v>
      </c>
      <c r="E733" s="14">
        <v>450</v>
      </c>
      <c r="F733" s="15">
        <v>0</v>
      </c>
      <c r="G733" s="15">
        <v>0</v>
      </c>
      <c r="H733" s="15">
        <v>0</v>
      </c>
      <c r="I733" s="15">
        <v>0</v>
      </c>
      <c r="J733" s="15">
        <v>0</v>
      </c>
      <c r="K733" s="15">
        <v>0</v>
      </c>
      <c r="L733" s="15">
        <v>0</v>
      </c>
      <c r="M733" s="15">
        <v>0</v>
      </c>
      <c r="N733" s="15">
        <v>0</v>
      </c>
      <c r="O733" s="15">
        <v>0</v>
      </c>
    </row>
    <row r="734" spans="1:15">
      <c r="A734" s="11" t="s">
        <v>1049</v>
      </c>
      <c r="B734" s="12" t="s">
        <v>281</v>
      </c>
      <c r="C734" s="13" t="s">
        <v>317</v>
      </c>
      <c r="D734" s="13">
        <v>41</v>
      </c>
      <c r="E734" s="14">
        <v>450</v>
      </c>
      <c r="F734" s="15">
        <v>0</v>
      </c>
      <c r="G734" s="15">
        <v>0</v>
      </c>
      <c r="H734" s="15">
        <v>0</v>
      </c>
      <c r="I734" s="15">
        <v>0</v>
      </c>
      <c r="J734" s="15">
        <v>0</v>
      </c>
      <c r="K734" s="15">
        <v>0</v>
      </c>
      <c r="L734" s="15">
        <v>0</v>
      </c>
      <c r="M734" s="15">
        <v>0</v>
      </c>
      <c r="N734" s="15">
        <v>0</v>
      </c>
      <c r="O734" s="15">
        <v>0</v>
      </c>
    </row>
    <row r="735" spans="1:15">
      <c r="A735" s="11" t="s">
        <v>1050</v>
      </c>
      <c r="B735" s="12" t="s">
        <v>281</v>
      </c>
      <c r="C735" s="13" t="s">
        <v>317</v>
      </c>
      <c r="D735" s="13">
        <v>42</v>
      </c>
      <c r="E735" s="14">
        <v>450</v>
      </c>
      <c r="F735" s="15">
        <v>0</v>
      </c>
      <c r="G735" s="15">
        <v>0</v>
      </c>
      <c r="H735" s="15">
        <v>0</v>
      </c>
      <c r="I735" s="15">
        <v>0</v>
      </c>
      <c r="J735" s="15">
        <v>0</v>
      </c>
      <c r="K735" s="15">
        <v>0</v>
      </c>
      <c r="L735" s="15">
        <v>0</v>
      </c>
      <c r="M735" s="15">
        <v>0</v>
      </c>
      <c r="N735" s="15">
        <v>0</v>
      </c>
      <c r="O735" s="15">
        <v>0</v>
      </c>
    </row>
    <row r="736" spans="1:15">
      <c r="A736" s="11" t="s">
        <v>1051</v>
      </c>
      <c r="B736" s="12" t="s">
        <v>281</v>
      </c>
      <c r="C736" s="13" t="s">
        <v>317</v>
      </c>
      <c r="D736" s="13">
        <v>43</v>
      </c>
      <c r="E736" s="14">
        <v>450</v>
      </c>
      <c r="F736" s="15">
        <v>0</v>
      </c>
      <c r="G736" s="15">
        <v>0</v>
      </c>
      <c r="H736" s="15">
        <v>0</v>
      </c>
      <c r="I736" s="15">
        <v>0</v>
      </c>
      <c r="J736" s="15">
        <v>0</v>
      </c>
      <c r="K736" s="15">
        <v>0</v>
      </c>
      <c r="L736" s="15">
        <v>0</v>
      </c>
      <c r="M736" s="15">
        <v>0</v>
      </c>
      <c r="N736" s="15">
        <v>0</v>
      </c>
      <c r="O736" s="15">
        <v>0</v>
      </c>
    </row>
    <row r="737" spans="1:15">
      <c r="A737" s="11" t="s">
        <v>1052</v>
      </c>
      <c r="B737" s="12" t="s">
        <v>281</v>
      </c>
      <c r="C737" s="13" t="s">
        <v>317</v>
      </c>
      <c r="D737" s="13">
        <v>44</v>
      </c>
      <c r="E737" s="14">
        <v>450</v>
      </c>
      <c r="F737" s="15">
        <v>0</v>
      </c>
      <c r="G737" s="15">
        <v>0</v>
      </c>
      <c r="H737" s="15">
        <v>0</v>
      </c>
      <c r="I737" s="15">
        <v>0</v>
      </c>
      <c r="J737" s="15">
        <v>0</v>
      </c>
      <c r="K737" s="15">
        <v>0</v>
      </c>
      <c r="L737" s="15">
        <v>0</v>
      </c>
      <c r="M737" s="15">
        <v>0</v>
      </c>
      <c r="N737" s="15">
        <v>0</v>
      </c>
      <c r="O737" s="15">
        <v>0</v>
      </c>
    </row>
    <row r="738" spans="1:15">
      <c r="A738" s="11" t="s">
        <v>1053</v>
      </c>
      <c r="B738" s="12" t="s">
        <v>281</v>
      </c>
      <c r="C738" s="13" t="s">
        <v>317</v>
      </c>
      <c r="D738" s="13">
        <v>45</v>
      </c>
      <c r="E738" s="14">
        <v>450</v>
      </c>
      <c r="F738" s="15">
        <v>0</v>
      </c>
      <c r="G738" s="15">
        <v>0</v>
      </c>
      <c r="H738" s="15">
        <v>0</v>
      </c>
      <c r="I738" s="15">
        <v>0</v>
      </c>
      <c r="J738" s="15">
        <v>0</v>
      </c>
      <c r="K738" s="15">
        <v>0</v>
      </c>
      <c r="L738" s="15">
        <v>0</v>
      </c>
      <c r="M738" s="15">
        <v>0</v>
      </c>
      <c r="N738" s="15">
        <v>0</v>
      </c>
      <c r="O738" s="15">
        <v>0</v>
      </c>
    </row>
    <row r="739" spans="1:15">
      <c r="A739" s="11" t="s">
        <v>1054</v>
      </c>
      <c r="B739" s="12" t="s">
        <v>281</v>
      </c>
      <c r="C739" s="13" t="s">
        <v>317</v>
      </c>
      <c r="D739" s="13">
        <v>46</v>
      </c>
      <c r="E739" s="14">
        <v>450</v>
      </c>
      <c r="F739" s="15">
        <v>0</v>
      </c>
      <c r="G739" s="15">
        <v>0</v>
      </c>
      <c r="H739" s="15">
        <v>0</v>
      </c>
      <c r="I739" s="15">
        <v>0</v>
      </c>
      <c r="J739" s="15">
        <v>0</v>
      </c>
      <c r="K739" s="15">
        <v>0</v>
      </c>
      <c r="L739" s="15">
        <v>0</v>
      </c>
      <c r="M739" s="15">
        <v>0</v>
      </c>
      <c r="N739" s="15">
        <v>0</v>
      </c>
      <c r="O739" s="15">
        <v>0</v>
      </c>
    </row>
    <row r="740" spans="1:15">
      <c r="A740" s="11" t="s">
        <v>1055</v>
      </c>
      <c r="B740" s="12" t="s">
        <v>281</v>
      </c>
      <c r="C740" s="13" t="s">
        <v>317</v>
      </c>
      <c r="D740" s="13">
        <v>47</v>
      </c>
      <c r="E740" s="14">
        <v>450</v>
      </c>
      <c r="F740" s="15">
        <v>0</v>
      </c>
      <c r="G740" s="15">
        <v>0</v>
      </c>
      <c r="H740" s="15">
        <v>0</v>
      </c>
      <c r="I740" s="15">
        <v>0</v>
      </c>
      <c r="J740" s="15">
        <v>0</v>
      </c>
      <c r="K740" s="15">
        <v>0</v>
      </c>
      <c r="L740" s="15">
        <v>0</v>
      </c>
      <c r="M740" s="15">
        <v>0</v>
      </c>
      <c r="N740" s="15">
        <v>0</v>
      </c>
      <c r="O740" s="15">
        <v>0</v>
      </c>
    </row>
    <row r="741" spans="1:15">
      <c r="A741" s="11" t="s">
        <v>1056</v>
      </c>
      <c r="B741" s="12" t="s">
        <v>281</v>
      </c>
      <c r="C741" s="13" t="s">
        <v>317</v>
      </c>
      <c r="D741" s="13">
        <v>48</v>
      </c>
      <c r="E741" s="14">
        <v>450</v>
      </c>
      <c r="F741" s="15">
        <v>0</v>
      </c>
      <c r="G741" s="15">
        <v>0</v>
      </c>
      <c r="H741" s="15">
        <v>0</v>
      </c>
      <c r="I741" s="15">
        <v>0</v>
      </c>
      <c r="J741" s="15">
        <v>0</v>
      </c>
      <c r="K741" s="15">
        <v>0</v>
      </c>
      <c r="L741" s="15">
        <v>0</v>
      </c>
      <c r="M741" s="15">
        <v>0</v>
      </c>
      <c r="N741" s="15">
        <v>0</v>
      </c>
      <c r="O741" s="15">
        <v>0</v>
      </c>
    </row>
    <row r="742" spans="1:15">
      <c r="A742" s="11" t="s">
        <v>1057</v>
      </c>
      <c r="B742" s="12" t="s">
        <v>281</v>
      </c>
      <c r="C742" s="13" t="s">
        <v>317</v>
      </c>
      <c r="D742" s="13">
        <v>49</v>
      </c>
      <c r="E742" s="14">
        <v>450</v>
      </c>
      <c r="F742" s="15">
        <v>0</v>
      </c>
      <c r="G742" s="15">
        <v>0</v>
      </c>
      <c r="H742" s="15">
        <v>0</v>
      </c>
      <c r="I742" s="15">
        <v>0</v>
      </c>
      <c r="J742" s="15">
        <v>0</v>
      </c>
      <c r="K742" s="15">
        <v>0</v>
      </c>
      <c r="L742" s="15">
        <v>0</v>
      </c>
      <c r="M742" s="15">
        <v>0</v>
      </c>
      <c r="N742" s="15">
        <v>0</v>
      </c>
      <c r="O742" s="15">
        <v>0</v>
      </c>
    </row>
    <row r="743" spans="1:15">
      <c r="A743" s="11" t="s">
        <v>1058</v>
      </c>
      <c r="B743" s="12" t="s">
        <v>281</v>
      </c>
      <c r="C743" s="13" t="s">
        <v>317</v>
      </c>
      <c r="D743" s="13">
        <v>50</v>
      </c>
      <c r="E743" s="14">
        <v>450</v>
      </c>
      <c r="F743" s="15">
        <v>0</v>
      </c>
      <c r="G743" s="15">
        <v>0</v>
      </c>
      <c r="H743" s="15">
        <v>0</v>
      </c>
      <c r="I743" s="15">
        <v>0</v>
      </c>
      <c r="J743" s="15">
        <v>0</v>
      </c>
      <c r="K743" s="15">
        <v>0</v>
      </c>
      <c r="L743" s="15">
        <v>0</v>
      </c>
      <c r="M743" s="15">
        <v>0</v>
      </c>
      <c r="N743" s="15">
        <v>0</v>
      </c>
      <c r="O743" s="15">
        <v>0</v>
      </c>
    </row>
    <row r="744" spans="1:15">
      <c r="A744" s="11" t="s">
        <v>1059</v>
      </c>
      <c r="B744" s="12" t="s">
        <v>281</v>
      </c>
      <c r="C744" s="13" t="s">
        <v>317</v>
      </c>
      <c r="D744" s="13">
        <v>51</v>
      </c>
      <c r="E744" s="14">
        <v>450</v>
      </c>
      <c r="F744" s="15">
        <v>0</v>
      </c>
      <c r="G744" s="15">
        <v>0</v>
      </c>
      <c r="H744" s="15">
        <v>0</v>
      </c>
      <c r="I744" s="15">
        <v>0</v>
      </c>
      <c r="J744" s="15">
        <v>0</v>
      </c>
      <c r="K744" s="15">
        <v>0</v>
      </c>
      <c r="L744" s="15">
        <v>0</v>
      </c>
      <c r="M744" s="15">
        <v>0</v>
      </c>
      <c r="N744" s="15">
        <v>0</v>
      </c>
      <c r="O744" s="15">
        <v>0</v>
      </c>
    </row>
    <row r="745" spans="1:15">
      <c r="A745" s="11" t="s">
        <v>1060</v>
      </c>
      <c r="B745" s="12" t="s">
        <v>281</v>
      </c>
      <c r="C745" s="13" t="s">
        <v>317</v>
      </c>
      <c r="D745" s="13">
        <v>52</v>
      </c>
      <c r="E745" s="14">
        <v>450</v>
      </c>
      <c r="F745" s="15">
        <v>0</v>
      </c>
      <c r="G745" s="15">
        <v>0</v>
      </c>
      <c r="H745" s="15">
        <v>0</v>
      </c>
      <c r="I745" s="15">
        <v>0</v>
      </c>
      <c r="J745" s="15">
        <v>0</v>
      </c>
      <c r="K745" s="15">
        <v>0</v>
      </c>
      <c r="L745" s="15">
        <v>0</v>
      </c>
      <c r="M745" s="15">
        <v>0</v>
      </c>
      <c r="N745" s="15">
        <v>0</v>
      </c>
      <c r="O745" s="15">
        <v>0</v>
      </c>
    </row>
    <row r="746" spans="1:15">
      <c r="A746" s="11" t="s">
        <v>1061</v>
      </c>
      <c r="B746" s="12" t="s">
        <v>281</v>
      </c>
      <c r="C746" s="13" t="s">
        <v>317</v>
      </c>
      <c r="D746" s="13">
        <v>53</v>
      </c>
      <c r="E746" s="14">
        <v>450</v>
      </c>
      <c r="F746" s="15">
        <v>0</v>
      </c>
      <c r="G746" s="15">
        <v>0</v>
      </c>
      <c r="H746" s="15">
        <v>0</v>
      </c>
      <c r="I746" s="15">
        <v>0</v>
      </c>
      <c r="J746" s="15">
        <v>0</v>
      </c>
      <c r="K746" s="15">
        <v>0</v>
      </c>
      <c r="L746" s="15">
        <v>0</v>
      </c>
      <c r="M746" s="15">
        <v>0</v>
      </c>
      <c r="N746" s="15">
        <v>0</v>
      </c>
      <c r="O746" s="15">
        <v>0</v>
      </c>
    </row>
    <row r="747" spans="1:15">
      <c r="A747" s="11" t="s">
        <v>1062</v>
      </c>
      <c r="B747" s="12" t="s">
        <v>281</v>
      </c>
      <c r="C747" s="13" t="s">
        <v>317</v>
      </c>
      <c r="D747" s="13">
        <v>54</v>
      </c>
      <c r="E747" s="14">
        <v>450</v>
      </c>
      <c r="F747" s="15">
        <v>0</v>
      </c>
      <c r="G747" s="15">
        <v>0</v>
      </c>
      <c r="H747" s="15">
        <v>0</v>
      </c>
      <c r="I747" s="15">
        <v>0</v>
      </c>
      <c r="J747" s="15">
        <v>0</v>
      </c>
      <c r="K747" s="15">
        <v>0</v>
      </c>
      <c r="L747" s="15">
        <v>0</v>
      </c>
      <c r="M747" s="15">
        <v>0</v>
      </c>
      <c r="N747" s="15">
        <v>0</v>
      </c>
      <c r="O747" s="15">
        <v>0</v>
      </c>
    </row>
    <row r="748" spans="1:15">
      <c r="A748" s="11" t="s">
        <v>1063</v>
      </c>
      <c r="B748" s="12" t="s">
        <v>281</v>
      </c>
      <c r="C748" s="13" t="s">
        <v>317</v>
      </c>
      <c r="D748" s="13">
        <v>55</v>
      </c>
      <c r="E748" s="14">
        <v>450</v>
      </c>
      <c r="F748" s="15">
        <v>0</v>
      </c>
      <c r="G748" s="15">
        <v>0</v>
      </c>
      <c r="H748" s="15">
        <v>0</v>
      </c>
      <c r="I748" s="15">
        <v>0</v>
      </c>
      <c r="J748" s="15">
        <v>0</v>
      </c>
      <c r="K748" s="15">
        <v>0</v>
      </c>
      <c r="L748" s="15">
        <v>0</v>
      </c>
      <c r="M748" s="15">
        <v>0</v>
      </c>
      <c r="N748" s="15">
        <v>0</v>
      </c>
      <c r="O748" s="15">
        <v>0</v>
      </c>
    </row>
    <row r="749" spans="1:15">
      <c r="A749" s="11" t="s">
        <v>1064</v>
      </c>
      <c r="B749" s="12" t="s">
        <v>281</v>
      </c>
      <c r="C749" s="13" t="s">
        <v>317</v>
      </c>
      <c r="D749" s="13">
        <v>56</v>
      </c>
      <c r="E749" s="14">
        <v>450</v>
      </c>
      <c r="F749" s="15">
        <v>0</v>
      </c>
      <c r="G749" s="15">
        <v>0</v>
      </c>
      <c r="H749" s="15">
        <v>0</v>
      </c>
      <c r="I749" s="15">
        <v>0</v>
      </c>
      <c r="J749" s="15">
        <v>0</v>
      </c>
      <c r="K749" s="15">
        <v>0</v>
      </c>
      <c r="L749" s="15">
        <v>0</v>
      </c>
      <c r="M749" s="15">
        <v>0</v>
      </c>
      <c r="N749" s="15">
        <v>0</v>
      </c>
      <c r="O749" s="15">
        <v>0</v>
      </c>
    </row>
    <row r="750" spans="1:15">
      <c r="A750" s="11" t="s">
        <v>1065</v>
      </c>
      <c r="B750" s="12" t="s">
        <v>281</v>
      </c>
      <c r="C750" s="13" t="s">
        <v>317</v>
      </c>
      <c r="D750" s="13">
        <v>57</v>
      </c>
      <c r="E750" s="14">
        <v>450</v>
      </c>
      <c r="F750" s="15">
        <v>0</v>
      </c>
      <c r="G750" s="15">
        <v>0</v>
      </c>
      <c r="H750" s="15">
        <v>0</v>
      </c>
      <c r="I750" s="15">
        <v>0</v>
      </c>
      <c r="J750" s="15">
        <v>0</v>
      </c>
      <c r="K750" s="15">
        <v>0</v>
      </c>
      <c r="L750" s="15">
        <v>0</v>
      </c>
      <c r="M750" s="15">
        <v>0</v>
      </c>
      <c r="N750" s="15">
        <v>0</v>
      </c>
      <c r="O750" s="15">
        <v>0</v>
      </c>
    </row>
    <row r="751" spans="1:15">
      <c r="A751" s="11" t="s">
        <v>1066</v>
      </c>
      <c r="B751" s="12" t="s">
        <v>281</v>
      </c>
      <c r="C751" s="13" t="s">
        <v>317</v>
      </c>
      <c r="D751" s="13">
        <v>58</v>
      </c>
      <c r="E751" s="14">
        <v>450</v>
      </c>
      <c r="F751" s="15">
        <v>0</v>
      </c>
      <c r="G751" s="15">
        <v>0</v>
      </c>
      <c r="H751" s="15">
        <v>0</v>
      </c>
      <c r="I751" s="15">
        <v>0</v>
      </c>
      <c r="J751" s="15">
        <v>0</v>
      </c>
      <c r="K751" s="15">
        <v>0</v>
      </c>
      <c r="L751" s="15">
        <v>0</v>
      </c>
      <c r="M751" s="15">
        <v>0</v>
      </c>
      <c r="N751" s="15">
        <v>0</v>
      </c>
      <c r="O751" s="15">
        <v>0</v>
      </c>
    </row>
    <row r="752" spans="1:15">
      <c r="A752" s="11" t="s">
        <v>1067</v>
      </c>
      <c r="B752" s="12" t="s">
        <v>281</v>
      </c>
      <c r="C752" s="13" t="s">
        <v>317</v>
      </c>
      <c r="D752" s="13">
        <v>59</v>
      </c>
      <c r="E752" s="14">
        <v>450</v>
      </c>
      <c r="F752" s="15">
        <v>0</v>
      </c>
      <c r="G752" s="15">
        <v>0</v>
      </c>
      <c r="H752" s="15">
        <v>0</v>
      </c>
      <c r="I752" s="15">
        <v>0</v>
      </c>
      <c r="J752" s="15">
        <v>0</v>
      </c>
      <c r="K752" s="15">
        <v>0</v>
      </c>
      <c r="L752" s="15">
        <v>0</v>
      </c>
      <c r="M752" s="15">
        <v>0</v>
      </c>
      <c r="N752" s="15">
        <v>0</v>
      </c>
      <c r="O752" s="15">
        <v>0</v>
      </c>
    </row>
    <row r="753" spans="1:15">
      <c r="A753" s="11" t="s">
        <v>1068</v>
      </c>
      <c r="B753" s="12" t="s">
        <v>281</v>
      </c>
      <c r="C753" s="13" t="s">
        <v>317</v>
      </c>
      <c r="D753" s="13">
        <v>60</v>
      </c>
      <c r="E753" s="14">
        <v>450</v>
      </c>
      <c r="F753" s="15">
        <v>0</v>
      </c>
      <c r="G753" s="15">
        <v>0</v>
      </c>
      <c r="H753" s="15">
        <v>0</v>
      </c>
      <c r="I753" s="15">
        <v>0</v>
      </c>
      <c r="J753" s="15">
        <v>0</v>
      </c>
      <c r="K753" s="15">
        <v>0</v>
      </c>
      <c r="L753" s="15">
        <v>0</v>
      </c>
      <c r="M753" s="15">
        <v>0</v>
      </c>
      <c r="N753" s="15">
        <v>0</v>
      </c>
      <c r="O753" s="15">
        <v>0</v>
      </c>
    </row>
    <row r="754" spans="1:15">
      <c r="A754" s="11" t="s">
        <v>1069</v>
      </c>
      <c r="B754" s="12" t="s">
        <v>281</v>
      </c>
      <c r="C754" s="13" t="s">
        <v>317</v>
      </c>
      <c r="D754" s="13">
        <v>61</v>
      </c>
      <c r="E754" s="14">
        <v>450</v>
      </c>
      <c r="F754" s="15">
        <v>0</v>
      </c>
      <c r="G754" s="15">
        <v>0</v>
      </c>
      <c r="H754" s="15">
        <v>0</v>
      </c>
      <c r="I754" s="15">
        <v>0</v>
      </c>
      <c r="J754" s="15">
        <v>0</v>
      </c>
      <c r="K754" s="15">
        <v>0</v>
      </c>
      <c r="L754" s="15">
        <v>0</v>
      </c>
      <c r="M754" s="15">
        <v>0</v>
      </c>
      <c r="N754" s="15">
        <v>0</v>
      </c>
      <c r="O754" s="15">
        <v>0</v>
      </c>
    </row>
    <row r="755" spans="1:15">
      <c r="A755" s="11" t="s">
        <v>1070</v>
      </c>
      <c r="B755" s="12" t="s">
        <v>281</v>
      </c>
      <c r="C755" s="13" t="s">
        <v>317</v>
      </c>
      <c r="D755" s="13">
        <v>62</v>
      </c>
      <c r="E755" s="14">
        <v>450</v>
      </c>
      <c r="F755" s="15">
        <v>0</v>
      </c>
      <c r="G755" s="15">
        <v>0</v>
      </c>
      <c r="H755" s="15">
        <v>0</v>
      </c>
      <c r="I755" s="15">
        <v>0</v>
      </c>
      <c r="J755" s="15">
        <v>0</v>
      </c>
      <c r="K755" s="15">
        <v>0</v>
      </c>
      <c r="L755" s="15">
        <v>0</v>
      </c>
      <c r="M755" s="15">
        <v>0</v>
      </c>
      <c r="N755" s="15">
        <v>0</v>
      </c>
      <c r="O755" s="15">
        <v>0</v>
      </c>
    </row>
    <row r="756" spans="1:15">
      <c r="A756" s="11" t="s">
        <v>1071</v>
      </c>
      <c r="B756" s="12" t="s">
        <v>281</v>
      </c>
      <c r="C756" s="13" t="s">
        <v>317</v>
      </c>
      <c r="D756" s="13">
        <v>63</v>
      </c>
      <c r="E756" s="14">
        <v>450</v>
      </c>
      <c r="F756" s="15">
        <v>0</v>
      </c>
      <c r="G756" s="15">
        <v>0</v>
      </c>
      <c r="H756" s="15">
        <v>0</v>
      </c>
      <c r="I756" s="15">
        <v>0</v>
      </c>
      <c r="J756" s="15">
        <v>0</v>
      </c>
      <c r="K756" s="15">
        <v>0</v>
      </c>
      <c r="L756" s="15">
        <v>0</v>
      </c>
      <c r="M756" s="15">
        <v>0</v>
      </c>
      <c r="N756" s="15">
        <v>0</v>
      </c>
      <c r="O756" s="15">
        <v>0</v>
      </c>
    </row>
    <row r="757" spans="1:15">
      <c r="A757" s="11" t="s">
        <v>1072</v>
      </c>
      <c r="B757" s="12" t="s">
        <v>281</v>
      </c>
      <c r="C757" s="13" t="s">
        <v>317</v>
      </c>
      <c r="D757" s="13">
        <v>64</v>
      </c>
      <c r="E757" s="14">
        <v>450</v>
      </c>
      <c r="F757" s="15">
        <v>0</v>
      </c>
      <c r="G757" s="15">
        <v>0</v>
      </c>
      <c r="H757" s="15">
        <v>0</v>
      </c>
      <c r="I757" s="15">
        <v>0</v>
      </c>
      <c r="J757" s="15">
        <v>0</v>
      </c>
      <c r="K757" s="15">
        <v>0</v>
      </c>
      <c r="L757" s="15">
        <v>0</v>
      </c>
      <c r="M757" s="15">
        <v>0</v>
      </c>
      <c r="N757" s="15">
        <v>0</v>
      </c>
      <c r="O757" s="15">
        <v>0</v>
      </c>
    </row>
    <row r="758" spans="1:15">
      <c r="A758" s="11" t="s">
        <v>1073</v>
      </c>
      <c r="B758" s="12" t="s">
        <v>281</v>
      </c>
      <c r="C758" s="13" t="s">
        <v>317</v>
      </c>
      <c r="D758" s="13">
        <v>65</v>
      </c>
      <c r="E758" s="14">
        <v>450</v>
      </c>
      <c r="F758" s="15">
        <v>0</v>
      </c>
      <c r="G758" s="15">
        <v>0</v>
      </c>
      <c r="H758" s="15">
        <v>0</v>
      </c>
      <c r="I758" s="15">
        <v>0</v>
      </c>
      <c r="J758" s="15">
        <v>0</v>
      </c>
      <c r="K758" s="15">
        <v>0</v>
      </c>
      <c r="L758" s="15">
        <v>0</v>
      </c>
      <c r="M758" s="15">
        <v>0</v>
      </c>
      <c r="N758" s="15">
        <v>0</v>
      </c>
      <c r="O758" s="15">
        <v>0</v>
      </c>
    </row>
    <row r="759" spans="1:15">
      <c r="A759" s="11" t="s">
        <v>1074</v>
      </c>
      <c r="B759" s="12" t="s">
        <v>281</v>
      </c>
      <c r="C759" s="13" t="s">
        <v>317</v>
      </c>
      <c r="D759" s="13">
        <v>66</v>
      </c>
      <c r="E759" s="14">
        <v>450</v>
      </c>
      <c r="F759" s="15">
        <v>0</v>
      </c>
      <c r="G759" s="15">
        <v>0</v>
      </c>
      <c r="H759" s="15">
        <v>0</v>
      </c>
      <c r="I759" s="15">
        <v>0</v>
      </c>
      <c r="J759" s="15">
        <v>0</v>
      </c>
      <c r="K759" s="15">
        <v>0</v>
      </c>
      <c r="L759" s="15">
        <v>0</v>
      </c>
      <c r="M759" s="15">
        <v>0</v>
      </c>
      <c r="N759" s="15">
        <v>0</v>
      </c>
      <c r="O759" s="15">
        <v>0</v>
      </c>
    </row>
    <row r="760" spans="1:15">
      <c r="A760" s="11" t="s">
        <v>1075</v>
      </c>
      <c r="B760" s="12" t="s">
        <v>281</v>
      </c>
      <c r="C760" s="13" t="s">
        <v>317</v>
      </c>
      <c r="D760" s="13">
        <v>67</v>
      </c>
      <c r="E760" s="14">
        <v>450</v>
      </c>
      <c r="F760" s="15">
        <v>0</v>
      </c>
      <c r="G760" s="15">
        <v>0</v>
      </c>
      <c r="H760" s="15">
        <v>0</v>
      </c>
      <c r="I760" s="15">
        <v>0</v>
      </c>
      <c r="J760" s="15">
        <v>0</v>
      </c>
      <c r="K760" s="15">
        <v>0</v>
      </c>
      <c r="L760" s="15">
        <v>0</v>
      </c>
      <c r="M760" s="15">
        <v>0</v>
      </c>
      <c r="N760" s="15">
        <v>0</v>
      </c>
      <c r="O760" s="15">
        <v>0</v>
      </c>
    </row>
    <row r="761" spans="1:15">
      <c r="A761" s="11" t="s">
        <v>1076</v>
      </c>
      <c r="B761" s="12" t="s">
        <v>281</v>
      </c>
      <c r="C761" s="13" t="s">
        <v>317</v>
      </c>
      <c r="D761" s="13">
        <v>68</v>
      </c>
      <c r="E761" s="14">
        <v>450</v>
      </c>
      <c r="F761" s="15">
        <v>0</v>
      </c>
      <c r="G761" s="15">
        <v>0</v>
      </c>
      <c r="H761" s="15">
        <v>0</v>
      </c>
      <c r="I761" s="15">
        <v>0</v>
      </c>
      <c r="J761" s="15">
        <v>0</v>
      </c>
      <c r="K761" s="15">
        <v>0</v>
      </c>
      <c r="L761" s="15">
        <v>0</v>
      </c>
      <c r="M761" s="15">
        <v>0</v>
      </c>
      <c r="N761" s="15">
        <v>0</v>
      </c>
      <c r="O761" s="15">
        <v>0</v>
      </c>
    </row>
    <row r="762" spans="1:15">
      <c r="A762" s="11" t="s">
        <v>1077</v>
      </c>
      <c r="B762" s="12" t="s">
        <v>281</v>
      </c>
      <c r="C762" s="13" t="s">
        <v>317</v>
      </c>
      <c r="D762" s="13">
        <v>69</v>
      </c>
      <c r="E762" s="14">
        <v>450</v>
      </c>
      <c r="F762" s="15">
        <v>0</v>
      </c>
      <c r="G762" s="15">
        <v>0</v>
      </c>
      <c r="H762" s="15">
        <v>0</v>
      </c>
      <c r="I762" s="15">
        <v>0</v>
      </c>
      <c r="J762" s="15">
        <v>0</v>
      </c>
      <c r="K762" s="15">
        <v>0</v>
      </c>
      <c r="L762" s="15">
        <v>0</v>
      </c>
      <c r="M762" s="15">
        <v>0</v>
      </c>
      <c r="N762" s="15">
        <v>0</v>
      </c>
      <c r="O762" s="15">
        <v>0</v>
      </c>
    </row>
    <row r="763" spans="1:15">
      <c r="A763" s="11" t="s">
        <v>1078</v>
      </c>
      <c r="B763" s="12" t="s">
        <v>281</v>
      </c>
      <c r="C763" s="13" t="s">
        <v>317</v>
      </c>
      <c r="D763" s="13">
        <v>70</v>
      </c>
      <c r="E763" s="14">
        <v>450</v>
      </c>
      <c r="F763" s="15">
        <v>0</v>
      </c>
      <c r="G763" s="15">
        <v>0</v>
      </c>
      <c r="H763" s="15">
        <v>0</v>
      </c>
      <c r="I763" s="15">
        <v>0</v>
      </c>
      <c r="J763" s="15">
        <v>0</v>
      </c>
      <c r="K763" s="15">
        <v>0</v>
      </c>
      <c r="L763" s="15">
        <v>0</v>
      </c>
      <c r="M763" s="15">
        <v>0</v>
      </c>
      <c r="N763" s="15">
        <v>0</v>
      </c>
      <c r="O763" s="15">
        <v>0</v>
      </c>
    </row>
    <row r="764" spans="1:15">
      <c r="A764" s="11" t="s">
        <v>1079</v>
      </c>
      <c r="B764" s="12" t="s">
        <v>281</v>
      </c>
      <c r="C764" s="13" t="s">
        <v>317</v>
      </c>
      <c r="D764" s="13">
        <v>71</v>
      </c>
      <c r="E764" s="14">
        <v>450</v>
      </c>
      <c r="F764" s="15">
        <v>0</v>
      </c>
      <c r="G764" s="15">
        <v>0</v>
      </c>
      <c r="H764" s="15">
        <v>0</v>
      </c>
      <c r="I764" s="15">
        <v>0</v>
      </c>
      <c r="J764" s="15">
        <v>0</v>
      </c>
      <c r="K764" s="15">
        <v>0</v>
      </c>
      <c r="L764" s="15">
        <v>0</v>
      </c>
      <c r="M764" s="15">
        <v>0</v>
      </c>
      <c r="N764" s="15">
        <v>0</v>
      </c>
      <c r="O764" s="15">
        <v>0</v>
      </c>
    </row>
    <row r="765" spans="1:15">
      <c r="A765" s="11" t="s">
        <v>1080</v>
      </c>
      <c r="B765" s="12" t="s">
        <v>281</v>
      </c>
      <c r="C765" s="13" t="s">
        <v>317</v>
      </c>
      <c r="D765" s="13">
        <v>72</v>
      </c>
      <c r="E765" s="14">
        <v>450</v>
      </c>
      <c r="F765" s="15">
        <v>0</v>
      </c>
      <c r="G765" s="15">
        <v>0</v>
      </c>
      <c r="H765" s="15">
        <v>0</v>
      </c>
      <c r="I765" s="15">
        <v>0</v>
      </c>
      <c r="J765" s="15">
        <v>0</v>
      </c>
      <c r="K765" s="15">
        <v>0</v>
      </c>
      <c r="L765" s="15">
        <v>0</v>
      </c>
      <c r="M765" s="15">
        <v>0</v>
      </c>
      <c r="N765" s="15">
        <v>0</v>
      </c>
      <c r="O765" s="15">
        <v>0</v>
      </c>
    </row>
    <row r="766" spans="1:15">
      <c r="A766" s="11" t="s">
        <v>1081</v>
      </c>
      <c r="B766" s="12" t="s">
        <v>281</v>
      </c>
      <c r="C766" s="13" t="s">
        <v>317</v>
      </c>
      <c r="D766" s="13">
        <v>73</v>
      </c>
      <c r="E766" s="14">
        <v>450</v>
      </c>
      <c r="F766" s="15">
        <v>0</v>
      </c>
      <c r="G766" s="15">
        <v>0</v>
      </c>
      <c r="H766" s="15">
        <v>0</v>
      </c>
      <c r="I766" s="15">
        <v>0</v>
      </c>
      <c r="J766" s="15">
        <v>0</v>
      </c>
      <c r="K766" s="15">
        <v>0</v>
      </c>
      <c r="L766" s="15">
        <v>0</v>
      </c>
      <c r="M766" s="15">
        <v>0</v>
      </c>
      <c r="N766" s="15">
        <v>0</v>
      </c>
      <c r="O766" s="15">
        <v>0</v>
      </c>
    </row>
    <row r="767" spans="1:15">
      <c r="A767" s="11" t="s">
        <v>1082</v>
      </c>
      <c r="B767" s="12" t="s">
        <v>281</v>
      </c>
      <c r="C767" s="13" t="s">
        <v>317</v>
      </c>
      <c r="D767" s="13">
        <v>74</v>
      </c>
      <c r="E767" s="14">
        <v>450</v>
      </c>
      <c r="F767" s="15">
        <v>0</v>
      </c>
      <c r="G767" s="15">
        <v>0</v>
      </c>
      <c r="H767" s="15">
        <v>0</v>
      </c>
      <c r="I767" s="15">
        <v>0</v>
      </c>
      <c r="J767" s="15">
        <v>0</v>
      </c>
      <c r="K767" s="15">
        <v>0</v>
      </c>
      <c r="L767" s="15">
        <v>0</v>
      </c>
      <c r="M767" s="15">
        <v>0</v>
      </c>
      <c r="N767" s="15">
        <v>0</v>
      </c>
      <c r="O767" s="15">
        <v>0</v>
      </c>
    </row>
    <row r="768" spans="1:15">
      <c r="A768" s="11" t="s">
        <v>1083</v>
      </c>
      <c r="B768" s="12" t="s">
        <v>281</v>
      </c>
      <c r="C768" s="13" t="s">
        <v>317</v>
      </c>
      <c r="D768" s="13">
        <v>75</v>
      </c>
      <c r="E768" s="14">
        <v>450</v>
      </c>
      <c r="F768" s="15">
        <v>0</v>
      </c>
      <c r="G768" s="15">
        <v>0</v>
      </c>
      <c r="H768" s="15">
        <v>0</v>
      </c>
      <c r="I768" s="15">
        <v>0</v>
      </c>
      <c r="J768" s="15">
        <v>0</v>
      </c>
      <c r="K768" s="15">
        <v>0</v>
      </c>
      <c r="L768" s="15">
        <v>0</v>
      </c>
      <c r="M768" s="15">
        <v>0</v>
      </c>
      <c r="N768" s="15">
        <v>0</v>
      </c>
      <c r="O768" s="15">
        <v>0</v>
      </c>
    </row>
    <row r="769" spans="1:15">
      <c r="A769" s="11" t="s">
        <v>1084</v>
      </c>
      <c r="B769" s="12" t="s">
        <v>281</v>
      </c>
      <c r="C769" s="13" t="s">
        <v>317</v>
      </c>
      <c r="D769" s="13">
        <v>76</v>
      </c>
      <c r="E769" s="14">
        <v>450</v>
      </c>
      <c r="F769" s="15">
        <v>0</v>
      </c>
      <c r="G769" s="15">
        <v>0</v>
      </c>
      <c r="H769" s="15">
        <v>0</v>
      </c>
      <c r="I769" s="15">
        <v>0</v>
      </c>
      <c r="J769" s="15">
        <v>0</v>
      </c>
      <c r="K769" s="15">
        <v>0</v>
      </c>
      <c r="L769" s="15">
        <v>0</v>
      </c>
      <c r="M769" s="15">
        <v>0</v>
      </c>
      <c r="N769" s="15">
        <v>0</v>
      </c>
      <c r="O769" s="15">
        <v>0</v>
      </c>
    </row>
    <row r="770" spans="1:15">
      <c r="A770" s="11" t="s">
        <v>1085</v>
      </c>
      <c r="B770" s="12" t="s">
        <v>281</v>
      </c>
      <c r="C770" s="13" t="s">
        <v>317</v>
      </c>
      <c r="D770" s="13">
        <v>77</v>
      </c>
      <c r="E770" s="14">
        <v>450</v>
      </c>
      <c r="F770" s="15">
        <v>0</v>
      </c>
      <c r="G770" s="15">
        <v>0</v>
      </c>
      <c r="H770" s="15">
        <v>0</v>
      </c>
      <c r="I770" s="15">
        <v>0</v>
      </c>
      <c r="J770" s="15">
        <v>0</v>
      </c>
      <c r="K770" s="15">
        <v>0</v>
      </c>
      <c r="L770" s="15">
        <v>0</v>
      </c>
      <c r="M770" s="15">
        <v>0</v>
      </c>
      <c r="N770" s="15">
        <v>0</v>
      </c>
      <c r="O770" s="15">
        <v>0</v>
      </c>
    </row>
    <row r="771" spans="1:15">
      <c r="A771" s="11" t="s">
        <v>1086</v>
      </c>
      <c r="B771" s="12" t="s">
        <v>281</v>
      </c>
      <c r="C771" s="13" t="s">
        <v>317</v>
      </c>
      <c r="D771" s="13">
        <v>78</v>
      </c>
      <c r="E771" s="14">
        <v>450</v>
      </c>
      <c r="F771" s="15">
        <v>0</v>
      </c>
      <c r="G771" s="15">
        <v>0</v>
      </c>
      <c r="H771" s="15">
        <v>0</v>
      </c>
      <c r="I771" s="15">
        <v>0</v>
      </c>
      <c r="J771" s="15">
        <v>0</v>
      </c>
      <c r="K771" s="15">
        <v>0</v>
      </c>
      <c r="L771" s="15">
        <v>0</v>
      </c>
      <c r="M771" s="15">
        <v>0</v>
      </c>
      <c r="N771" s="15">
        <v>0</v>
      </c>
      <c r="O771" s="15">
        <v>0</v>
      </c>
    </row>
    <row r="772" spans="1:15">
      <c r="A772" s="11" t="s">
        <v>1087</v>
      </c>
      <c r="B772" s="12" t="s">
        <v>281</v>
      </c>
      <c r="C772" s="13" t="s">
        <v>317</v>
      </c>
      <c r="D772" s="13">
        <v>79</v>
      </c>
      <c r="E772" s="14">
        <v>450</v>
      </c>
      <c r="F772" s="15">
        <v>0</v>
      </c>
      <c r="G772" s="15">
        <v>0</v>
      </c>
      <c r="H772" s="15">
        <v>0</v>
      </c>
      <c r="I772" s="15">
        <v>0</v>
      </c>
      <c r="J772" s="15">
        <v>0</v>
      </c>
      <c r="K772" s="15">
        <v>0</v>
      </c>
      <c r="L772" s="15">
        <v>0</v>
      </c>
      <c r="M772" s="15">
        <v>0</v>
      </c>
      <c r="N772" s="15">
        <v>0</v>
      </c>
      <c r="O772" s="15">
        <v>0</v>
      </c>
    </row>
    <row r="773" spans="1:15">
      <c r="A773" s="11" t="s">
        <v>1088</v>
      </c>
      <c r="B773" s="12" t="s">
        <v>281</v>
      </c>
      <c r="C773" s="13" t="s">
        <v>317</v>
      </c>
      <c r="D773" s="13">
        <v>80</v>
      </c>
      <c r="E773" s="14">
        <v>450</v>
      </c>
      <c r="F773" s="15">
        <v>0</v>
      </c>
      <c r="G773" s="15">
        <v>0</v>
      </c>
      <c r="H773" s="15">
        <v>0</v>
      </c>
      <c r="I773" s="15">
        <v>0</v>
      </c>
      <c r="J773" s="15">
        <v>0</v>
      </c>
      <c r="K773" s="15">
        <v>0</v>
      </c>
      <c r="L773" s="15">
        <v>0</v>
      </c>
      <c r="M773" s="15">
        <v>0</v>
      </c>
      <c r="N773" s="15">
        <v>0</v>
      </c>
      <c r="O773" s="15">
        <v>0</v>
      </c>
    </row>
    <row r="774" spans="1:15">
      <c r="A774" s="11" t="s">
        <v>1089</v>
      </c>
      <c r="B774" s="12" t="s">
        <v>281</v>
      </c>
      <c r="C774" s="13" t="s">
        <v>317</v>
      </c>
      <c r="D774" s="13">
        <v>81</v>
      </c>
      <c r="E774" s="14">
        <v>450</v>
      </c>
      <c r="F774" s="15">
        <v>0</v>
      </c>
      <c r="G774" s="15">
        <v>0</v>
      </c>
      <c r="H774" s="15">
        <v>0</v>
      </c>
      <c r="I774" s="15">
        <v>0</v>
      </c>
      <c r="J774" s="15">
        <v>0</v>
      </c>
      <c r="K774" s="15">
        <v>0</v>
      </c>
      <c r="L774" s="15">
        <v>0</v>
      </c>
      <c r="M774" s="15">
        <v>0</v>
      </c>
      <c r="N774" s="15">
        <v>0</v>
      </c>
      <c r="O774" s="15">
        <v>0</v>
      </c>
    </row>
    <row r="775" spans="1:15">
      <c r="A775" s="11" t="s">
        <v>1090</v>
      </c>
      <c r="B775" s="12" t="s">
        <v>281</v>
      </c>
      <c r="C775" s="13" t="s">
        <v>317</v>
      </c>
      <c r="D775" s="13">
        <v>82</v>
      </c>
      <c r="E775" s="14">
        <v>450</v>
      </c>
      <c r="F775" s="15">
        <v>0</v>
      </c>
      <c r="G775" s="15">
        <v>0</v>
      </c>
      <c r="H775" s="15">
        <v>0</v>
      </c>
      <c r="I775" s="15">
        <v>0</v>
      </c>
      <c r="J775" s="15">
        <v>0</v>
      </c>
      <c r="K775" s="15">
        <v>0</v>
      </c>
      <c r="L775" s="15">
        <v>0</v>
      </c>
      <c r="M775" s="15">
        <v>0</v>
      </c>
      <c r="N775" s="15">
        <v>0</v>
      </c>
      <c r="O775" s="15">
        <v>0</v>
      </c>
    </row>
    <row r="776" spans="1:15">
      <c r="A776" s="11" t="s">
        <v>1091</v>
      </c>
      <c r="B776" s="12" t="s">
        <v>281</v>
      </c>
      <c r="C776" s="13" t="s">
        <v>317</v>
      </c>
      <c r="D776" s="13">
        <v>83</v>
      </c>
      <c r="E776" s="14">
        <v>450</v>
      </c>
      <c r="F776" s="15">
        <v>0</v>
      </c>
      <c r="G776" s="15">
        <v>0</v>
      </c>
      <c r="H776" s="15">
        <v>0</v>
      </c>
      <c r="I776" s="15">
        <v>0</v>
      </c>
      <c r="J776" s="15">
        <v>0</v>
      </c>
      <c r="K776" s="15">
        <v>0</v>
      </c>
      <c r="L776" s="15">
        <v>0</v>
      </c>
      <c r="M776" s="15">
        <v>0</v>
      </c>
      <c r="N776" s="15">
        <v>0</v>
      </c>
      <c r="O776" s="15">
        <v>0</v>
      </c>
    </row>
    <row r="777" spans="1:15">
      <c r="A777" s="11" t="s">
        <v>1092</v>
      </c>
      <c r="B777" s="12" t="s">
        <v>281</v>
      </c>
      <c r="C777" s="13" t="s">
        <v>317</v>
      </c>
      <c r="D777" s="13">
        <v>84</v>
      </c>
      <c r="E777" s="14">
        <v>450</v>
      </c>
      <c r="F777" s="15">
        <v>0</v>
      </c>
      <c r="G777" s="15">
        <v>0</v>
      </c>
      <c r="H777" s="15">
        <v>0</v>
      </c>
      <c r="I777" s="15">
        <v>0</v>
      </c>
      <c r="J777" s="15">
        <v>0</v>
      </c>
      <c r="K777" s="15">
        <v>0</v>
      </c>
      <c r="L777" s="15">
        <v>0</v>
      </c>
      <c r="M777" s="15">
        <v>0</v>
      </c>
      <c r="N777" s="15">
        <v>0</v>
      </c>
      <c r="O777" s="15">
        <v>0</v>
      </c>
    </row>
    <row r="778" spans="1:15">
      <c r="A778" s="11" t="s">
        <v>1093</v>
      </c>
      <c r="B778" s="12" t="s">
        <v>281</v>
      </c>
      <c r="C778" s="13" t="s">
        <v>317</v>
      </c>
      <c r="D778" s="13">
        <v>85</v>
      </c>
      <c r="E778" s="14">
        <v>450</v>
      </c>
      <c r="F778" s="15">
        <v>0</v>
      </c>
      <c r="G778" s="15">
        <v>0</v>
      </c>
      <c r="H778" s="15">
        <v>0</v>
      </c>
      <c r="I778" s="15">
        <v>0</v>
      </c>
      <c r="J778" s="15">
        <v>0</v>
      </c>
      <c r="K778" s="15">
        <v>0</v>
      </c>
      <c r="L778" s="15">
        <v>0</v>
      </c>
      <c r="M778" s="15">
        <v>0</v>
      </c>
      <c r="N778" s="15">
        <v>0</v>
      </c>
      <c r="O778" s="15">
        <v>0</v>
      </c>
    </row>
    <row r="779" spans="1:15">
      <c r="A779" s="11" t="s">
        <v>1094</v>
      </c>
      <c r="B779" s="12" t="s">
        <v>281</v>
      </c>
      <c r="C779" s="13" t="s">
        <v>404</v>
      </c>
      <c r="D779" s="13">
        <v>0</v>
      </c>
      <c r="E779" s="14">
        <v>450</v>
      </c>
      <c r="F779" s="15">
        <v>0</v>
      </c>
      <c r="G779" s="15">
        <v>0</v>
      </c>
      <c r="H779" s="15">
        <v>0</v>
      </c>
      <c r="I779" s="15">
        <v>0</v>
      </c>
      <c r="J779" s="15">
        <v>0</v>
      </c>
      <c r="K779" s="15">
        <v>0</v>
      </c>
      <c r="L779" s="15">
        <v>0</v>
      </c>
      <c r="M779" s="15">
        <v>0</v>
      </c>
      <c r="N779" s="15">
        <v>0</v>
      </c>
      <c r="O779" s="15">
        <v>0</v>
      </c>
    </row>
    <row r="780" spans="1:15">
      <c r="A780" s="11" t="s">
        <v>1095</v>
      </c>
      <c r="B780" s="12" t="s">
        <v>281</v>
      </c>
      <c r="C780" s="13" t="s">
        <v>404</v>
      </c>
      <c r="D780" s="13">
        <v>1</v>
      </c>
      <c r="E780" s="14">
        <v>450</v>
      </c>
      <c r="F780" s="15">
        <v>0</v>
      </c>
      <c r="G780" s="15">
        <v>0</v>
      </c>
      <c r="H780" s="15">
        <v>0</v>
      </c>
      <c r="I780" s="15">
        <v>0</v>
      </c>
      <c r="J780" s="15">
        <v>0</v>
      </c>
      <c r="K780" s="15">
        <v>0</v>
      </c>
      <c r="L780" s="15">
        <v>0</v>
      </c>
      <c r="M780" s="15">
        <v>0</v>
      </c>
      <c r="N780" s="15">
        <v>0</v>
      </c>
      <c r="O780" s="15">
        <v>0</v>
      </c>
    </row>
    <row r="781" spans="1:15">
      <c r="A781" s="11" t="s">
        <v>1096</v>
      </c>
      <c r="B781" s="12" t="s">
        <v>281</v>
      </c>
      <c r="C781" s="13" t="s">
        <v>404</v>
      </c>
      <c r="D781" s="13">
        <v>2</v>
      </c>
      <c r="E781" s="14">
        <v>450</v>
      </c>
      <c r="F781" s="15">
        <v>0</v>
      </c>
      <c r="G781" s="15">
        <v>0</v>
      </c>
      <c r="H781" s="15">
        <v>0</v>
      </c>
      <c r="I781" s="15">
        <v>0</v>
      </c>
      <c r="J781" s="15">
        <v>0</v>
      </c>
      <c r="K781" s="15">
        <v>0</v>
      </c>
      <c r="L781" s="15">
        <v>0</v>
      </c>
      <c r="M781" s="15">
        <v>0</v>
      </c>
      <c r="N781" s="15">
        <v>0</v>
      </c>
      <c r="O781" s="15">
        <v>0</v>
      </c>
    </row>
    <row r="782" spans="1:15">
      <c r="A782" s="11" t="s">
        <v>1097</v>
      </c>
      <c r="B782" s="12" t="s">
        <v>281</v>
      </c>
      <c r="C782" s="13" t="s">
        <v>404</v>
      </c>
      <c r="D782" s="13">
        <v>3</v>
      </c>
      <c r="E782" s="14">
        <v>450</v>
      </c>
      <c r="F782" s="15">
        <v>0</v>
      </c>
      <c r="G782" s="15">
        <v>0</v>
      </c>
      <c r="H782" s="15">
        <v>0</v>
      </c>
      <c r="I782" s="15">
        <v>0</v>
      </c>
      <c r="J782" s="15">
        <v>0</v>
      </c>
      <c r="K782" s="15">
        <v>0</v>
      </c>
      <c r="L782" s="15">
        <v>0</v>
      </c>
      <c r="M782" s="15">
        <v>0</v>
      </c>
      <c r="N782" s="15">
        <v>0</v>
      </c>
      <c r="O782" s="15">
        <v>0</v>
      </c>
    </row>
    <row r="783" spans="1:15">
      <c r="A783" s="11" t="s">
        <v>1098</v>
      </c>
      <c r="B783" s="12" t="s">
        <v>281</v>
      </c>
      <c r="C783" s="13" t="s">
        <v>404</v>
      </c>
      <c r="D783" s="13">
        <v>4</v>
      </c>
      <c r="E783" s="14">
        <v>450</v>
      </c>
      <c r="F783" s="15">
        <v>0</v>
      </c>
      <c r="G783" s="15">
        <v>0</v>
      </c>
      <c r="H783" s="15">
        <v>0</v>
      </c>
      <c r="I783" s="15">
        <v>0</v>
      </c>
      <c r="J783" s="15">
        <v>0</v>
      </c>
      <c r="K783" s="15">
        <v>0</v>
      </c>
      <c r="L783" s="15">
        <v>0</v>
      </c>
      <c r="M783" s="15">
        <v>0</v>
      </c>
      <c r="N783" s="15">
        <v>0</v>
      </c>
      <c r="O783" s="15">
        <v>0</v>
      </c>
    </row>
    <row r="784" spans="1:15">
      <c r="A784" s="11" t="s">
        <v>1099</v>
      </c>
      <c r="B784" s="12" t="s">
        <v>281</v>
      </c>
      <c r="C784" s="13" t="s">
        <v>404</v>
      </c>
      <c r="D784" s="13">
        <v>5</v>
      </c>
      <c r="E784" s="14">
        <v>450</v>
      </c>
      <c r="F784" s="15">
        <v>0</v>
      </c>
      <c r="G784" s="15">
        <v>0</v>
      </c>
      <c r="H784" s="15">
        <v>0</v>
      </c>
      <c r="I784" s="15">
        <v>0</v>
      </c>
      <c r="J784" s="15">
        <v>0</v>
      </c>
      <c r="K784" s="15">
        <v>0</v>
      </c>
      <c r="L784" s="15">
        <v>0</v>
      </c>
      <c r="M784" s="15">
        <v>0</v>
      </c>
      <c r="N784" s="15">
        <v>0</v>
      </c>
      <c r="O784" s="15">
        <v>0</v>
      </c>
    </row>
    <row r="785" spans="1:15">
      <c r="A785" s="11" t="s">
        <v>1100</v>
      </c>
      <c r="B785" s="12" t="s">
        <v>281</v>
      </c>
      <c r="C785" s="13" t="s">
        <v>404</v>
      </c>
      <c r="D785" s="13">
        <v>6</v>
      </c>
      <c r="E785" s="14">
        <v>450</v>
      </c>
      <c r="F785" s="15">
        <v>0</v>
      </c>
      <c r="G785" s="15">
        <v>0</v>
      </c>
      <c r="H785" s="15">
        <v>0</v>
      </c>
      <c r="I785" s="15">
        <v>0</v>
      </c>
      <c r="J785" s="15">
        <v>0</v>
      </c>
      <c r="K785" s="15">
        <v>0</v>
      </c>
      <c r="L785" s="15">
        <v>0</v>
      </c>
      <c r="M785" s="15">
        <v>0</v>
      </c>
      <c r="N785" s="15">
        <v>0</v>
      </c>
      <c r="O785" s="15">
        <v>0</v>
      </c>
    </row>
    <row r="786" spans="1:15">
      <c r="A786" s="11" t="s">
        <v>1101</v>
      </c>
      <c r="B786" s="12" t="s">
        <v>281</v>
      </c>
      <c r="C786" s="13" t="s">
        <v>404</v>
      </c>
      <c r="D786" s="13">
        <v>7</v>
      </c>
      <c r="E786" s="14">
        <v>450</v>
      </c>
      <c r="F786" s="15">
        <v>0</v>
      </c>
      <c r="G786" s="15">
        <v>0</v>
      </c>
      <c r="H786" s="15">
        <v>0</v>
      </c>
      <c r="I786" s="15">
        <v>0</v>
      </c>
      <c r="J786" s="15">
        <v>0</v>
      </c>
      <c r="K786" s="15">
        <v>0</v>
      </c>
      <c r="L786" s="15">
        <v>0</v>
      </c>
      <c r="M786" s="15">
        <v>0</v>
      </c>
      <c r="N786" s="15">
        <v>0</v>
      </c>
      <c r="O786" s="15">
        <v>0</v>
      </c>
    </row>
    <row r="787" spans="1:15">
      <c r="A787" s="11" t="s">
        <v>1102</v>
      </c>
      <c r="B787" s="12" t="s">
        <v>281</v>
      </c>
      <c r="C787" s="13" t="s">
        <v>404</v>
      </c>
      <c r="D787" s="13">
        <v>8</v>
      </c>
      <c r="E787" s="14">
        <v>450</v>
      </c>
      <c r="F787" s="15">
        <v>0</v>
      </c>
      <c r="G787" s="15">
        <v>0</v>
      </c>
      <c r="H787" s="15">
        <v>0</v>
      </c>
      <c r="I787" s="15">
        <v>0</v>
      </c>
      <c r="J787" s="15">
        <v>0</v>
      </c>
      <c r="K787" s="15">
        <v>0</v>
      </c>
      <c r="L787" s="15">
        <v>0</v>
      </c>
      <c r="M787" s="15">
        <v>0</v>
      </c>
      <c r="N787" s="15">
        <v>0</v>
      </c>
      <c r="O787" s="15">
        <v>0</v>
      </c>
    </row>
    <row r="788" spans="1:15">
      <c r="A788" s="11" t="s">
        <v>1103</v>
      </c>
      <c r="B788" s="12" t="s">
        <v>281</v>
      </c>
      <c r="C788" s="13" t="s">
        <v>404</v>
      </c>
      <c r="D788" s="13">
        <v>9</v>
      </c>
      <c r="E788" s="14">
        <v>450</v>
      </c>
      <c r="F788" s="15">
        <v>0</v>
      </c>
      <c r="G788" s="15">
        <v>0</v>
      </c>
      <c r="H788" s="15">
        <v>0</v>
      </c>
      <c r="I788" s="15">
        <v>0</v>
      </c>
      <c r="J788" s="15">
        <v>0</v>
      </c>
      <c r="K788" s="15">
        <v>0</v>
      </c>
      <c r="L788" s="15">
        <v>0</v>
      </c>
      <c r="M788" s="15">
        <v>0</v>
      </c>
      <c r="N788" s="15">
        <v>0</v>
      </c>
      <c r="O788" s="15">
        <v>0</v>
      </c>
    </row>
    <row r="789" spans="1:15">
      <c r="A789" s="11" t="s">
        <v>1104</v>
      </c>
      <c r="B789" s="12" t="s">
        <v>281</v>
      </c>
      <c r="C789" s="13" t="s">
        <v>404</v>
      </c>
      <c r="D789" s="13">
        <v>10</v>
      </c>
      <c r="E789" s="14">
        <v>450</v>
      </c>
      <c r="F789" s="15">
        <v>0</v>
      </c>
      <c r="G789" s="15">
        <v>0</v>
      </c>
      <c r="H789" s="15">
        <v>0</v>
      </c>
      <c r="I789" s="15">
        <v>0</v>
      </c>
      <c r="J789" s="15">
        <v>0</v>
      </c>
      <c r="K789" s="15">
        <v>0</v>
      </c>
      <c r="L789" s="15">
        <v>0</v>
      </c>
      <c r="M789" s="15">
        <v>0</v>
      </c>
      <c r="N789" s="15">
        <v>0</v>
      </c>
      <c r="O789" s="15">
        <v>0</v>
      </c>
    </row>
    <row r="790" spans="1:15">
      <c r="A790" s="11" t="s">
        <v>1105</v>
      </c>
      <c r="B790" s="12" t="s">
        <v>281</v>
      </c>
      <c r="C790" s="13" t="s">
        <v>404</v>
      </c>
      <c r="D790" s="13">
        <v>11</v>
      </c>
      <c r="E790" s="14">
        <v>450</v>
      </c>
      <c r="F790" s="15">
        <v>0</v>
      </c>
      <c r="G790" s="15">
        <v>0</v>
      </c>
      <c r="H790" s="15">
        <v>0</v>
      </c>
      <c r="I790" s="15">
        <v>0</v>
      </c>
      <c r="J790" s="15">
        <v>0</v>
      </c>
      <c r="K790" s="15">
        <v>0</v>
      </c>
      <c r="L790" s="15">
        <v>0</v>
      </c>
      <c r="M790" s="15">
        <v>0</v>
      </c>
      <c r="N790" s="15">
        <v>0</v>
      </c>
      <c r="O790" s="15">
        <v>0</v>
      </c>
    </row>
    <row r="791" spans="1:15">
      <c r="A791" s="11" t="s">
        <v>1106</v>
      </c>
      <c r="B791" s="12" t="s">
        <v>281</v>
      </c>
      <c r="C791" s="13" t="s">
        <v>404</v>
      </c>
      <c r="D791" s="13">
        <v>12</v>
      </c>
      <c r="E791" s="14">
        <v>450</v>
      </c>
      <c r="F791" s="15">
        <v>0</v>
      </c>
      <c r="G791" s="15">
        <v>0</v>
      </c>
      <c r="H791" s="15">
        <v>0</v>
      </c>
      <c r="I791" s="15">
        <v>0</v>
      </c>
      <c r="J791" s="15">
        <v>0</v>
      </c>
      <c r="K791" s="15">
        <v>0</v>
      </c>
      <c r="L791" s="15">
        <v>0</v>
      </c>
      <c r="M791" s="15">
        <v>0</v>
      </c>
      <c r="N791" s="15">
        <v>0</v>
      </c>
      <c r="O791" s="15">
        <v>0</v>
      </c>
    </row>
    <row r="792" spans="1:15">
      <c r="A792" s="11" t="s">
        <v>1107</v>
      </c>
      <c r="B792" s="12" t="s">
        <v>281</v>
      </c>
      <c r="C792" s="13" t="s">
        <v>404</v>
      </c>
      <c r="D792" s="13">
        <v>13</v>
      </c>
      <c r="E792" s="14">
        <v>450</v>
      </c>
      <c r="F792" s="15">
        <v>0</v>
      </c>
      <c r="G792" s="15">
        <v>0</v>
      </c>
      <c r="H792" s="15">
        <v>0</v>
      </c>
      <c r="I792" s="15">
        <v>0</v>
      </c>
      <c r="J792" s="15">
        <v>0</v>
      </c>
      <c r="K792" s="15">
        <v>0</v>
      </c>
      <c r="L792" s="15">
        <v>0</v>
      </c>
      <c r="M792" s="15">
        <v>0</v>
      </c>
      <c r="N792" s="15">
        <v>0</v>
      </c>
      <c r="O792" s="15">
        <v>0</v>
      </c>
    </row>
    <row r="793" spans="1:15">
      <c r="A793" s="11" t="s">
        <v>1108</v>
      </c>
      <c r="B793" s="12" t="s">
        <v>281</v>
      </c>
      <c r="C793" s="13" t="s">
        <v>404</v>
      </c>
      <c r="D793" s="13">
        <v>14</v>
      </c>
      <c r="E793" s="14">
        <v>450</v>
      </c>
      <c r="F793" s="15">
        <v>0</v>
      </c>
      <c r="G793" s="15">
        <v>0</v>
      </c>
      <c r="H793" s="15">
        <v>0</v>
      </c>
      <c r="I793" s="15">
        <v>0</v>
      </c>
      <c r="J793" s="15">
        <v>0</v>
      </c>
      <c r="K793" s="15">
        <v>0</v>
      </c>
      <c r="L793" s="15">
        <v>0</v>
      </c>
      <c r="M793" s="15">
        <v>0</v>
      </c>
      <c r="N793" s="15">
        <v>0</v>
      </c>
      <c r="O793" s="15">
        <v>0</v>
      </c>
    </row>
    <row r="794" spans="1:15">
      <c r="A794" s="11" t="s">
        <v>1109</v>
      </c>
      <c r="B794" s="12" t="s">
        <v>281</v>
      </c>
      <c r="C794" s="13" t="s">
        <v>404</v>
      </c>
      <c r="D794" s="13">
        <v>15</v>
      </c>
      <c r="E794" s="14">
        <v>450</v>
      </c>
      <c r="F794" s="15">
        <v>0</v>
      </c>
      <c r="G794" s="15">
        <v>0</v>
      </c>
      <c r="H794" s="15">
        <v>0</v>
      </c>
      <c r="I794" s="15">
        <v>0</v>
      </c>
      <c r="J794" s="15">
        <v>0</v>
      </c>
      <c r="K794" s="15">
        <v>0</v>
      </c>
      <c r="L794" s="15">
        <v>0</v>
      </c>
      <c r="M794" s="15">
        <v>0</v>
      </c>
      <c r="N794" s="15">
        <v>0</v>
      </c>
      <c r="O794" s="15">
        <v>0</v>
      </c>
    </row>
    <row r="795" spans="1:15">
      <c r="A795" s="11" t="s">
        <v>1110</v>
      </c>
      <c r="B795" s="12" t="s">
        <v>281</v>
      </c>
      <c r="C795" s="13" t="s">
        <v>404</v>
      </c>
      <c r="D795" s="13">
        <v>16</v>
      </c>
      <c r="E795" s="14">
        <v>450</v>
      </c>
      <c r="F795" s="15">
        <v>0</v>
      </c>
      <c r="G795" s="15">
        <v>0</v>
      </c>
      <c r="H795" s="15">
        <v>0</v>
      </c>
      <c r="I795" s="15">
        <v>0</v>
      </c>
      <c r="J795" s="15">
        <v>0</v>
      </c>
      <c r="K795" s="15">
        <v>0</v>
      </c>
      <c r="L795" s="15">
        <v>0</v>
      </c>
      <c r="M795" s="15">
        <v>0</v>
      </c>
      <c r="N795" s="15">
        <v>0</v>
      </c>
      <c r="O795" s="15">
        <v>0</v>
      </c>
    </row>
    <row r="796" spans="1:15">
      <c r="A796" s="11" t="s">
        <v>1111</v>
      </c>
      <c r="B796" s="12" t="s">
        <v>281</v>
      </c>
      <c r="C796" s="13" t="s">
        <v>404</v>
      </c>
      <c r="D796" s="13">
        <v>17</v>
      </c>
      <c r="E796" s="14">
        <v>450</v>
      </c>
      <c r="F796" s="15">
        <v>0</v>
      </c>
      <c r="G796" s="15">
        <v>0</v>
      </c>
      <c r="H796" s="15">
        <v>0</v>
      </c>
      <c r="I796" s="15">
        <v>0</v>
      </c>
      <c r="J796" s="15">
        <v>0</v>
      </c>
      <c r="K796" s="15">
        <v>0</v>
      </c>
      <c r="L796" s="15">
        <v>0</v>
      </c>
      <c r="M796" s="15">
        <v>0</v>
      </c>
      <c r="N796" s="15">
        <v>0</v>
      </c>
      <c r="O796" s="15">
        <v>0</v>
      </c>
    </row>
    <row r="797" spans="1:15">
      <c r="A797" s="11" t="s">
        <v>1112</v>
      </c>
      <c r="B797" s="12" t="s">
        <v>281</v>
      </c>
      <c r="C797" s="13" t="s">
        <v>404</v>
      </c>
      <c r="D797" s="13">
        <v>18</v>
      </c>
      <c r="E797" s="14">
        <v>450</v>
      </c>
      <c r="F797" s="15">
        <v>0</v>
      </c>
      <c r="G797" s="15">
        <v>0</v>
      </c>
      <c r="H797" s="15">
        <v>0</v>
      </c>
      <c r="I797" s="15">
        <v>0</v>
      </c>
      <c r="J797" s="15">
        <v>0</v>
      </c>
      <c r="K797" s="15">
        <v>0</v>
      </c>
      <c r="L797" s="15">
        <v>0</v>
      </c>
      <c r="M797" s="15">
        <v>0</v>
      </c>
      <c r="N797" s="15">
        <v>0</v>
      </c>
      <c r="O797" s="15">
        <v>0</v>
      </c>
    </row>
    <row r="798" spans="1:15">
      <c r="A798" s="11" t="s">
        <v>1113</v>
      </c>
      <c r="B798" s="12" t="s">
        <v>281</v>
      </c>
      <c r="C798" s="13" t="s">
        <v>404</v>
      </c>
      <c r="D798" s="13">
        <v>19</v>
      </c>
      <c r="E798" s="14">
        <v>450</v>
      </c>
      <c r="F798" s="15">
        <v>0</v>
      </c>
      <c r="G798" s="15">
        <v>0</v>
      </c>
      <c r="H798" s="15">
        <v>0</v>
      </c>
      <c r="I798" s="15">
        <v>0</v>
      </c>
      <c r="J798" s="15">
        <v>0</v>
      </c>
      <c r="K798" s="15">
        <v>0</v>
      </c>
      <c r="L798" s="15">
        <v>0</v>
      </c>
      <c r="M798" s="15">
        <v>0</v>
      </c>
      <c r="N798" s="15">
        <v>0</v>
      </c>
      <c r="O798" s="15">
        <v>0</v>
      </c>
    </row>
    <row r="799" spans="1:15">
      <c r="A799" s="11" t="s">
        <v>1114</v>
      </c>
      <c r="B799" s="12" t="s">
        <v>281</v>
      </c>
      <c r="C799" s="13" t="s">
        <v>404</v>
      </c>
      <c r="D799" s="13">
        <v>20</v>
      </c>
      <c r="E799" s="14">
        <v>450</v>
      </c>
      <c r="F799" s="15">
        <v>0</v>
      </c>
      <c r="G799" s="15">
        <v>0</v>
      </c>
      <c r="H799" s="15">
        <v>0</v>
      </c>
      <c r="I799" s="15">
        <v>0</v>
      </c>
      <c r="J799" s="15">
        <v>0</v>
      </c>
      <c r="K799" s="15">
        <v>0</v>
      </c>
      <c r="L799" s="15">
        <v>0</v>
      </c>
      <c r="M799" s="15">
        <v>0</v>
      </c>
      <c r="N799" s="15">
        <v>0</v>
      </c>
      <c r="O799" s="15">
        <v>0</v>
      </c>
    </row>
    <row r="800" spans="1:15">
      <c r="A800" s="11" t="s">
        <v>1115</v>
      </c>
      <c r="B800" s="12" t="s">
        <v>281</v>
      </c>
      <c r="C800" s="13" t="s">
        <v>404</v>
      </c>
      <c r="D800" s="13">
        <v>21</v>
      </c>
      <c r="E800" s="14">
        <v>450</v>
      </c>
      <c r="F800" s="15">
        <v>0</v>
      </c>
      <c r="G800" s="15">
        <v>0</v>
      </c>
      <c r="H800" s="15">
        <v>0</v>
      </c>
      <c r="I800" s="15">
        <v>0</v>
      </c>
      <c r="J800" s="15">
        <v>0</v>
      </c>
      <c r="K800" s="15">
        <v>0</v>
      </c>
      <c r="L800" s="15">
        <v>0</v>
      </c>
      <c r="M800" s="15">
        <v>0</v>
      </c>
      <c r="N800" s="15">
        <v>0</v>
      </c>
      <c r="O800" s="15">
        <v>0</v>
      </c>
    </row>
    <row r="801" spans="1:15">
      <c r="A801" s="11" t="s">
        <v>1116</v>
      </c>
      <c r="B801" s="12" t="s">
        <v>281</v>
      </c>
      <c r="C801" s="13" t="s">
        <v>404</v>
      </c>
      <c r="D801" s="13">
        <v>22</v>
      </c>
      <c r="E801" s="14">
        <v>450</v>
      </c>
      <c r="F801" s="15">
        <v>0</v>
      </c>
      <c r="G801" s="15">
        <v>0</v>
      </c>
      <c r="H801" s="15">
        <v>0</v>
      </c>
      <c r="I801" s="15">
        <v>0</v>
      </c>
      <c r="J801" s="15">
        <v>0</v>
      </c>
      <c r="K801" s="15">
        <v>0</v>
      </c>
      <c r="L801" s="15">
        <v>0</v>
      </c>
      <c r="M801" s="15">
        <v>0</v>
      </c>
      <c r="N801" s="15">
        <v>0</v>
      </c>
      <c r="O801" s="15">
        <v>0</v>
      </c>
    </row>
    <row r="802" spans="1:15">
      <c r="A802" s="11" t="s">
        <v>1117</v>
      </c>
      <c r="B802" s="12" t="s">
        <v>281</v>
      </c>
      <c r="C802" s="13" t="s">
        <v>404</v>
      </c>
      <c r="D802" s="13">
        <v>23</v>
      </c>
      <c r="E802" s="14">
        <v>450</v>
      </c>
      <c r="F802" s="15">
        <v>0</v>
      </c>
      <c r="G802" s="15">
        <v>0</v>
      </c>
      <c r="H802" s="15">
        <v>0</v>
      </c>
      <c r="I802" s="15">
        <v>0</v>
      </c>
      <c r="J802" s="15">
        <v>0</v>
      </c>
      <c r="K802" s="15">
        <v>0</v>
      </c>
      <c r="L802" s="15">
        <v>0</v>
      </c>
      <c r="M802" s="15">
        <v>0</v>
      </c>
      <c r="N802" s="15">
        <v>0</v>
      </c>
      <c r="O802" s="15">
        <v>0</v>
      </c>
    </row>
    <row r="803" spans="1:15">
      <c r="A803" s="11" t="s">
        <v>1118</v>
      </c>
      <c r="B803" s="12" t="s">
        <v>281</v>
      </c>
      <c r="C803" s="13" t="s">
        <v>404</v>
      </c>
      <c r="D803" s="13">
        <v>24</v>
      </c>
      <c r="E803" s="14">
        <v>450</v>
      </c>
      <c r="F803" s="15">
        <v>0</v>
      </c>
      <c r="G803" s="15">
        <v>0</v>
      </c>
      <c r="H803" s="15">
        <v>0</v>
      </c>
      <c r="I803" s="15">
        <v>0</v>
      </c>
      <c r="J803" s="15">
        <v>0</v>
      </c>
      <c r="K803" s="15">
        <v>0</v>
      </c>
      <c r="L803" s="15">
        <v>0</v>
      </c>
      <c r="M803" s="15">
        <v>0</v>
      </c>
      <c r="N803" s="15">
        <v>0</v>
      </c>
      <c r="O803" s="15">
        <v>0</v>
      </c>
    </row>
    <row r="804" spans="1:15">
      <c r="A804" s="11" t="s">
        <v>1119</v>
      </c>
      <c r="B804" s="12" t="s">
        <v>281</v>
      </c>
      <c r="C804" s="13" t="s">
        <v>404</v>
      </c>
      <c r="D804" s="13">
        <v>25</v>
      </c>
      <c r="E804" s="14">
        <v>450</v>
      </c>
      <c r="F804" s="15">
        <v>0</v>
      </c>
      <c r="G804" s="15">
        <v>0</v>
      </c>
      <c r="H804" s="15">
        <v>0</v>
      </c>
      <c r="I804" s="15">
        <v>0</v>
      </c>
      <c r="J804" s="15">
        <v>0</v>
      </c>
      <c r="K804" s="15">
        <v>0</v>
      </c>
      <c r="L804" s="15">
        <v>0</v>
      </c>
      <c r="M804" s="15">
        <v>0</v>
      </c>
      <c r="N804" s="15">
        <v>0</v>
      </c>
      <c r="O804" s="15">
        <v>0</v>
      </c>
    </row>
    <row r="805" spans="1:15">
      <c r="A805" s="11" t="s">
        <v>1120</v>
      </c>
      <c r="B805" s="12" t="s">
        <v>281</v>
      </c>
      <c r="C805" s="13" t="s">
        <v>404</v>
      </c>
      <c r="D805" s="13">
        <v>26</v>
      </c>
      <c r="E805" s="14">
        <v>450</v>
      </c>
      <c r="F805" s="15">
        <v>0</v>
      </c>
      <c r="G805" s="15">
        <v>0</v>
      </c>
      <c r="H805" s="15">
        <v>0</v>
      </c>
      <c r="I805" s="15">
        <v>0</v>
      </c>
      <c r="J805" s="15">
        <v>0</v>
      </c>
      <c r="K805" s="15">
        <v>0</v>
      </c>
      <c r="L805" s="15">
        <v>0</v>
      </c>
      <c r="M805" s="15">
        <v>0</v>
      </c>
      <c r="N805" s="15">
        <v>0</v>
      </c>
      <c r="O805" s="15">
        <v>0</v>
      </c>
    </row>
    <row r="806" spans="1:15">
      <c r="A806" s="11" t="s">
        <v>1121</v>
      </c>
      <c r="B806" s="12" t="s">
        <v>281</v>
      </c>
      <c r="C806" s="13" t="s">
        <v>404</v>
      </c>
      <c r="D806" s="13">
        <v>27</v>
      </c>
      <c r="E806" s="14">
        <v>450</v>
      </c>
      <c r="F806" s="15">
        <v>0</v>
      </c>
      <c r="G806" s="15">
        <v>0</v>
      </c>
      <c r="H806" s="15">
        <v>0</v>
      </c>
      <c r="I806" s="15">
        <v>0</v>
      </c>
      <c r="J806" s="15">
        <v>0</v>
      </c>
      <c r="K806" s="15">
        <v>0</v>
      </c>
      <c r="L806" s="15">
        <v>0</v>
      </c>
      <c r="M806" s="15">
        <v>0</v>
      </c>
      <c r="N806" s="15">
        <v>0</v>
      </c>
      <c r="O806" s="15">
        <v>0</v>
      </c>
    </row>
    <row r="807" spans="1:15">
      <c r="A807" s="11" t="s">
        <v>1122</v>
      </c>
      <c r="B807" s="12" t="s">
        <v>281</v>
      </c>
      <c r="C807" s="13" t="s">
        <v>404</v>
      </c>
      <c r="D807" s="13">
        <v>28</v>
      </c>
      <c r="E807" s="14">
        <v>450</v>
      </c>
      <c r="F807" s="15">
        <v>0</v>
      </c>
      <c r="G807" s="15">
        <v>0</v>
      </c>
      <c r="H807" s="15">
        <v>0</v>
      </c>
      <c r="I807" s="15">
        <v>0</v>
      </c>
      <c r="J807" s="15">
        <v>0</v>
      </c>
      <c r="K807" s="15">
        <v>0</v>
      </c>
      <c r="L807" s="15">
        <v>0</v>
      </c>
      <c r="M807" s="15">
        <v>0</v>
      </c>
      <c r="N807" s="15">
        <v>0</v>
      </c>
      <c r="O807" s="15">
        <v>0</v>
      </c>
    </row>
    <row r="808" spans="1:15">
      <c r="A808" s="11" t="s">
        <v>1123</v>
      </c>
      <c r="B808" s="12" t="s">
        <v>281</v>
      </c>
      <c r="C808" s="13" t="s">
        <v>404</v>
      </c>
      <c r="D808" s="13">
        <v>29</v>
      </c>
      <c r="E808" s="14">
        <v>450</v>
      </c>
      <c r="F808" s="15">
        <v>0</v>
      </c>
      <c r="G808" s="15">
        <v>0</v>
      </c>
      <c r="H808" s="15">
        <v>0</v>
      </c>
      <c r="I808" s="15">
        <v>0</v>
      </c>
      <c r="J808" s="15">
        <v>0</v>
      </c>
      <c r="K808" s="15">
        <v>0</v>
      </c>
      <c r="L808" s="15">
        <v>0</v>
      </c>
      <c r="M808" s="15">
        <v>0</v>
      </c>
      <c r="N808" s="15">
        <v>0</v>
      </c>
      <c r="O808" s="15">
        <v>0</v>
      </c>
    </row>
    <row r="809" spans="1:15">
      <c r="A809" s="11" t="s">
        <v>1124</v>
      </c>
      <c r="B809" s="12" t="s">
        <v>281</v>
      </c>
      <c r="C809" s="13" t="s">
        <v>404</v>
      </c>
      <c r="D809" s="13">
        <v>30</v>
      </c>
      <c r="E809" s="14">
        <v>450</v>
      </c>
      <c r="F809" s="15">
        <v>0</v>
      </c>
      <c r="G809" s="15">
        <v>0</v>
      </c>
      <c r="H809" s="15">
        <v>0</v>
      </c>
      <c r="I809" s="15">
        <v>0</v>
      </c>
      <c r="J809" s="15">
        <v>0</v>
      </c>
      <c r="K809" s="15">
        <v>0</v>
      </c>
      <c r="L809" s="15">
        <v>0</v>
      </c>
      <c r="M809" s="15">
        <v>0</v>
      </c>
      <c r="N809" s="15">
        <v>0</v>
      </c>
      <c r="O809" s="15">
        <v>0</v>
      </c>
    </row>
    <row r="810" spans="1:15">
      <c r="A810" s="11" t="s">
        <v>1125</v>
      </c>
      <c r="B810" s="12" t="s">
        <v>281</v>
      </c>
      <c r="C810" s="13" t="s">
        <v>404</v>
      </c>
      <c r="D810" s="13">
        <v>31</v>
      </c>
      <c r="E810" s="14">
        <v>450</v>
      </c>
      <c r="F810" s="15">
        <v>0</v>
      </c>
      <c r="G810" s="15">
        <v>0</v>
      </c>
      <c r="H810" s="15">
        <v>0</v>
      </c>
      <c r="I810" s="15">
        <v>0</v>
      </c>
      <c r="J810" s="15">
        <v>0</v>
      </c>
      <c r="K810" s="15">
        <v>0</v>
      </c>
      <c r="L810" s="15">
        <v>0</v>
      </c>
      <c r="M810" s="15">
        <v>0</v>
      </c>
      <c r="N810" s="15">
        <v>0</v>
      </c>
      <c r="O810" s="15">
        <v>0</v>
      </c>
    </row>
    <row r="811" spans="1:15">
      <c r="A811" s="11" t="s">
        <v>1126</v>
      </c>
      <c r="B811" s="12" t="s">
        <v>281</v>
      </c>
      <c r="C811" s="13" t="s">
        <v>404</v>
      </c>
      <c r="D811" s="13">
        <v>32</v>
      </c>
      <c r="E811" s="14">
        <v>450</v>
      </c>
      <c r="F811" s="15">
        <v>0</v>
      </c>
      <c r="G811" s="15">
        <v>0</v>
      </c>
      <c r="H811" s="15">
        <v>0</v>
      </c>
      <c r="I811" s="15">
        <v>0</v>
      </c>
      <c r="J811" s="15">
        <v>0</v>
      </c>
      <c r="K811" s="15">
        <v>0</v>
      </c>
      <c r="L811" s="15">
        <v>0</v>
      </c>
      <c r="M811" s="15">
        <v>0</v>
      </c>
      <c r="N811" s="15">
        <v>0</v>
      </c>
      <c r="O811" s="15">
        <v>0</v>
      </c>
    </row>
    <row r="812" spans="1:15">
      <c r="A812" s="11" t="s">
        <v>1127</v>
      </c>
      <c r="B812" s="12" t="s">
        <v>281</v>
      </c>
      <c r="C812" s="13" t="s">
        <v>404</v>
      </c>
      <c r="D812" s="13">
        <v>33</v>
      </c>
      <c r="E812" s="14">
        <v>450</v>
      </c>
      <c r="F812" s="15">
        <v>0</v>
      </c>
      <c r="G812" s="15">
        <v>0</v>
      </c>
      <c r="H812" s="15">
        <v>0</v>
      </c>
      <c r="I812" s="15">
        <v>0</v>
      </c>
      <c r="J812" s="15">
        <v>0</v>
      </c>
      <c r="K812" s="15">
        <v>0</v>
      </c>
      <c r="L812" s="15">
        <v>0</v>
      </c>
      <c r="M812" s="15">
        <v>0</v>
      </c>
      <c r="N812" s="15">
        <v>0</v>
      </c>
      <c r="O812" s="15">
        <v>0</v>
      </c>
    </row>
    <row r="813" spans="1:15">
      <c r="A813" s="11" t="s">
        <v>1128</v>
      </c>
      <c r="B813" s="12" t="s">
        <v>281</v>
      </c>
      <c r="C813" s="13" t="s">
        <v>404</v>
      </c>
      <c r="D813" s="13">
        <v>34</v>
      </c>
      <c r="E813" s="14">
        <v>450</v>
      </c>
      <c r="F813" s="15">
        <v>0</v>
      </c>
      <c r="G813" s="15">
        <v>0</v>
      </c>
      <c r="H813" s="15">
        <v>0</v>
      </c>
      <c r="I813" s="15">
        <v>0</v>
      </c>
      <c r="J813" s="15">
        <v>0</v>
      </c>
      <c r="K813" s="15">
        <v>0</v>
      </c>
      <c r="L813" s="15">
        <v>0</v>
      </c>
      <c r="M813" s="15">
        <v>0</v>
      </c>
      <c r="N813" s="15">
        <v>0</v>
      </c>
      <c r="O813" s="15">
        <v>0</v>
      </c>
    </row>
    <row r="814" spans="1:15">
      <c r="A814" s="11" t="s">
        <v>1129</v>
      </c>
      <c r="B814" s="12" t="s">
        <v>281</v>
      </c>
      <c r="C814" s="13" t="s">
        <v>404</v>
      </c>
      <c r="D814" s="13">
        <v>35</v>
      </c>
      <c r="E814" s="14">
        <v>450</v>
      </c>
      <c r="F814" s="15">
        <v>0</v>
      </c>
      <c r="G814" s="15">
        <v>0</v>
      </c>
      <c r="H814" s="15">
        <v>0</v>
      </c>
      <c r="I814" s="15">
        <v>0</v>
      </c>
      <c r="J814" s="15">
        <v>0</v>
      </c>
      <c r="K814" s="15">
        <v>0</v>
      </c>
      <c r="L814" s="15">
        <v>0</v>
      </c>
      <c r="M814" s="15">
        <v>0</v>
      </c>
      <c r="N814" s="15">
        <v>0</v>
      </c>
      <c r="O814" s="15">
        <v>0</v>
      </c>
    </row>
    <row r="815" spans="1:15">
      <c r="A815" s="11" t="s">
        <v>1130</v>
      </c>
      <c r="B815" s="12" t="s">
        <v>281</v>
      </c>
      <c r="C815" s="13" t="s">
        <v>404</v>
      </c>
      <c r="D815" s="13">
        <v>36</v>
      </c>
      <c r="E815" s="14">
        <v>450</v>
      </c>
      <c r="F815" s="15">
        <v>0</v>
      </c>
      <c r="G815" s="15">
        <v>0</v>
      </c>
      <c r="H815" s="15">
        <v>0</v>
      </c>
      <c r="I815" s="15">
        <v>0</v>
      </c>
      <c r="J815" s="15">
        <v>0</v>
      </c>
      <c r="K815" s="15">
        <v>0</v>
      </c>
      <c r="L815" s="15">
        <v>0</v>
      </c>
      <c r="M815" s="15">
        <v>0</v>
      </c>
      <c r="N815" s="15">
        <v>0</v>
      </c>
      <c r="O815" s="15">
        <v>0</v>
      </c>
    </row>
    <row r="816" spans="1:15">
      <c r="A816" s="11" t="s">
        <v>1131</v>
      </c>
      <c r="B816" s="12" t="s">
        <v>281</v>
      </c>
      <c r="C816" s="13" t="s">
        <v>404</v>
      </c>
      <c r="D816" s="13">
        <v>37</v>
      </c>
      <c r="E816" s="14">
        <v>450</v>
      </c>
      <c r="F816" s="15">
        <v>0</v>
      </c>
      <c r="G816" s="15">
        <v>0</v>
      </c>
      <c r="H816" s="15">
        <v>0</v>
      </c>
      <c r="I816" s="15">
        <v>0</v>
      </c>
      <c r="J816" s="15">
        <v>0</v>
      </c>
      <c r="K816" s="15">
        <v>0</v>
      </c>
      <c r="L816" s="15">
        <v>0</v>
      </c>
      <c r="M816" s="15">
        <v>0</v>
      </c>
      <c r="N816" s="15">
        <v>0</v>
      </c>
      <c r="O816" s="15">
        <v>0</v>
      </c>
    </row>
    <row r="817" spans="1:15">
      <c r="A817" s="11" t="s">
        <v>1132</v>
      </c>
      <c r="B817" s="12" t="s">
        <v>281</v>
      </c>
      <c r="C817" s="13" t="s">
        <v>404</v>
      </c>
      <c r="D817" s="13">
        <v>38</v>
      </c>
      <c r="E817" s="14">
        <v>450</v>
      </c>
      <c r="F817" s="15">
        <v>0</v>
      </c>
      <c r="G817" s="15">
        <v>0</v>
      </c>
      <c r="H817" s="15">
        <v>0</v>
      </c>
      <c r="I817" s="15">
        <v>0</v>
      </c>
      <c r="J817" s="15">
        <v>0</v>
      </c>
      <c r="K817" s="15">
        <v>0</v>
      </c>
      <c r="L817" s="15">
        <v>0</v>
      </c>
      <c r="M817" s="15">
        <v>0</v>
      </c>
      <c r="N817" s="15">
        <v>0</v>
      </c>
      <c r="O817" s="15">
        <v>0</v>
      </c>
    </row>
    <row r="818" spans="1:15">
      <c r="A818" s="11" t="s">
        <v>1133</v>
      </c>
      <c r="B818" s="12" t="s">
        <v>281</v>
      </c>
      <c r="C818" s="13" t="s">
        <v>404</v>
      </c>
      <c r="D818" s="13">
        <v>39</v>
      </c>
      <c r="E818" s="14">
        <v>450</v>
      </c>
      <c r="F818" s="15">
        <v>0</v>
      </c>
      <c r="G818" s="15">
        <v>0</v>
      </c>
      <c r="H818" s="15">
        <v>0</v>
      </c>
      <c r="I818" s="15">
        <v>0</v>
      </c>
      <c r="J818" s="15">
        <v>0</v>
      </c>
      <c r="K818" s="15">
        <v>0</v>
      </c>
      <c r="L818" s="15">
        <v>0</v>
      </c>
      <c r="M818" s="15">
        <v>0</v>
      </c>
      <c r="N818" s="15">
        <v>0</v>
      </c>
      <c r="O818" s="15">
        <v>0</v>
      </c>
    </row>
    <row r="819" spans="1:15">
      <c r="A819" s="11" t="s">
        <v>1134</v>
      </c>
      <c r="B819" s="12" t="s">
        <v>281</v>
      </c>
      <c r="C819" s="13" t="s">
        <v>404</v>
      </c>
      <c r="D819" s="13">
        <v>40</v>
      </c>
      <c r="E819" s="14">
        <v>450</v>
      </c>
      <c r="F819" s="15">
        <v>0</v>
      </c>
      <c r="G819" s="15">
        <v>0</v>
      </c>
      <c r="H819" s="15">
        <v>0</v>
      </c>
      <c r="I819" s="15">
        <v>0</v>
      </c>
      <c r="J819" s="15">
        <v>0</v>
      </c>
      <c r="K819" s="15">
        <v>0</v>
      </c>
      <c r="L819" s="15">
        <v>0</v>
      </c>
      <c r="M819" s="15">
        <v>0</v>
      </c>
      <c r="N819" s="15">
        <v>0</v>
      </c>
      <c r="O819" s="15">
        <v>0</v>
      </c>
    </row>
    <row r="820" spans="1:15">
      <c r="A820" s="11" t="s">
        <v>1135</v>
      </c>
      <c r="B820" s="12" t="s">
        <v>281</v>
      </c>
      <c r="C820" s="13" t="s">
        <v>404</v>
      </c>
      <c r="D820" s="13">
        <v>41</v>
      </c>
      <c r="E820" s="14">
        <v>450</v>
      </c>
      <c r="F820" s="15">
        <v>0</v>
      </c>
      <c r="G820" s="15">
        <v>0</v>
      </c>
      <c r="H820" s="15">
        <v>0</v>
      </c>
      <c r="I820" s="15">
        <v>0</v>
      </c>
      <c r="J820" s="15">
        <v>0</v>
      </c>
      <c r="K820" s="15">
        <v>0</v>
      </c>
      <c r="L820" s="15">
        <v>0</v>
      </c>
      <c r="M820" s="15">
        <v>0</v>
      </c>
      <c r="N820" s="15">
        <v>0</v>
      </c>
      <c r="O820" s="15">
        <v>0</v>
      </c>
    </row>
    <row r="821" spans="1:15">
      <c r="A821" s="11" t="s">
        <v>1136</v>
      </c>
      <c r="B821" s="12" t="s">
        <v>281</v>
      </c>
      <c r="C821" s="13" t="s">
        <v>404</v>
      </c>
      <c r="D821" s="13">
        <v>42</v>
      </c>
      <c r="E821" s="14">
        <v>450</v>
      </c>
      <c r="F821" s="15">
        <v>0</v>
      </c>
      <c r="G821" s="15">
        <v>0</v>
      </c>
      <c r="H821" s="15">
        <v>0</v>
      </c>
      <c r="I821" s="15">
        <v>0</v>
      </c>
      <c r="J821" s="15">
        <v>0</v>
      </c>
      <c r="K821" s="15">
        <v>0</v>
      </c>
      <c r="L821" s="15">
        <v>0</v>
      </c>
      <c r="M821" s="15">
        <v>0</v>
      </c>
      <c r="N821" s="15">
        <v>0</v>
      </c>
      <c r="O821" s="15">
        <v>0</v>
      </c>
    </row>
    <row r="822" spans="1:15">
      <c r="A822" s="11" t="s">
        <v>1137</v>
      </c>
      <c r="B822" s="12" t="s">
        <v>281</v>
      </c>
      <c r="C822" s="13" t="s">
        <v>404</v>
      </c>
      <c r="D822" s="13">
        <v>43</v>
      </c>
      <c r="E822" s="14">
        <v>450</v>
      </c>
      <c r="F822" s="15">
        <v>0</v>
      </c>
      <c r="G822" s="15">
        <v>0</v>
      </c>
      <c r="H822" s="15">
        <v>0</v>
      </c>
      <c r="I822" s="15">
        <v>0</v>
      </c>
      <c r="J822" s="15">
        <v>0</v>
      </c>
      <c r="K822" s="15">
        <v>0</v>
      </c>
      <c r="L822" s="15">
        <v>0</v>
      </c>
      <c r="M822" s="15">
        <v>0</v>
      </c>
      <c r="N822" s="15">
        <v>0</v>
      </c>
      <c r="O822" s="15">
        <v>0</v>
      </c>
    </row>
    <row r="823" spans="1:15">
      <c r="A823" s="11" t="s">
        <v>1138</v>
      </c>
      <c r="B823" s="12" t="s">
        <v>281</v>
      </c>
      <c r="C823" s="13" t="s">
        <v>404</v>
      </c>
      <c r="D823" s="13">
        <v>44</v>
      </c>
      <c r="E823" s="14">
        <v>450</v>
      </c>
      <c r="F823" s="15">
        <v>0</v>
      </c>
      <c r="G823" s="15">
        <v>0</v>
      </c>
      <c r="H823" s="15">
        <v>0</v>
      </c>
      <c r="I823" s="15">
        <v>0</v>
      </c>
      <c r="J823" s="15">
        <v>0</v>
      </c>
      <c r="K823" s="15">
        <v>0</v>
      </c>
      <c r="L823" s="15">
        <v>0</v>
      </c>
      <c r="M823" s="15">
        <v>0</v>
      </c>
      <c r="N823" s="15">
        <v>0</v>
      </c>
      <c r="O823" s="15">
        <v>0</v>
      </c>
    </row>
    <row r="824" spans="1:15">
      <c r="A824" s="11" t="s">
        <v>1139</v>
      </c>
      <c r="B824" s="12" t="s">
        <v>281</v>
      </c>
      <c r="C824" s="13" t="s">
        <v>404</v>
      </c>
      <c r="D824" s="13">
        <v>45</v>
      </c>
      <c r="E824" s="14">
        <v>450</v>
      </c>
      <c r="F824" s="15">
        <v>0</v>
      </c>
      <c r="G824" s="15">
        <v>0</v>
      </c>
      <c r="H824" s="15">
        <v>0</v>
      </c>
      <c r="I824" s="15">
        <v>0</v>
      </c>
      <c r="J824" s="15">
        <v>0</v>
      </c>
      <c r="K824" s="15">
        <v>0</v>
      </c>
      <c r="L824" s="15">
        <v>0</v>
      </c>
      <c r="M824" s="15">
        <v>0</v>
      </c>
      <c r="N824" s="15">
        <v>0</v>
      </c>
      <c r="O824" s="15">
        <v>0</v>
      </c>
    </row>
    <row r="825" spans="1:15">
      <c r="A825" s="11" t="s">
        <v>1140</v>
      </c>
      <c r="B825" s="12" t="s">
        <v>281</v>
      </c>
      <c r="C825" s="13" t="s">
        <v>404</v>
      </c>
      <c r="D825" s="13">
        <v>46</v>
      </c>
      <c r="E825" s="14">
        <v>450</v>
      </c>
      <c r="F825" s="15">
        <v>0</v>
      </c>
      <c r="G825" s="15">
        <v>0</v>
      </c>
      <c r="H825" s="15">
        <v>0</v>
      </c>
      <c r="I825" s="15">
        <v>0</v>
      </c>
      <c r="J825" s="15">
        <v>0</v>
      </c>
      <c r="K825" s="15">
        <v>0</v>
      </c>
      <c r="L825" s="15">
        <v>0</v>
      </c>
      <c r="M825" s="15">
        <v>0</v>
      </c>
      <c r="N825" s="15">
        <v>0</v>
      </c>
      <c r="O825" s="15">
        <v>0</v>
      </c>
    </row>
    <row r="826" spans="1:15">
      <c r="A826" s="11" t="s">
        <v>1141</v>
      </c>
      <c r="B826" s="12" t="s">
        <v>281</v>
      </c>
      <c r="C826" s="13" t="s">
        <v>404</v>
      </c>
      <c r="D826" s="13">
        <v>47</v>
      </c>
      <c r="E826" s="14">
        <v>450</v>
      </c>
      <c r="F826" s="15">
        <v>0</v>
      </c>
      <c r="G826" s="15">
        <v>0</v>
      </c>
      <c r="H826" s="15">
        <v>0</v>
      </c>
      <c r="I826" s="15">
        <v>0</v>
      </c>
      <c r="J826" s="15">
        <v>0</v>
      </c>
      <c r="K826" s="15">
        <v>0</v>
      </c>
      <c r="L826" s="15">
        <v>0</v>
      </c>
      <c r="M826" s="15">
        <v>0</v>
      </c>
      <c r="N826" s="15">
        <v>0</v>
      </c>
      <c r="O826" s="15">
        <v>0</v>
      </c>
    </row>
    <row r="827" spans="1:15">
      <c r="A827" s="11" t="s">
        <v>1142</v>
      </c>
      <c r="B827" s="12" t="s">
        <v>281</v>
      </c>
      <c r="C827" s="13" t="s">
        <v>404</v>
      </c>
      <c r="D827" s="13">
        <v>48</v>
      </c>
      <c r="E827" s="14">
        <v>450</v>
      </c>
      <c r="F827" s="15">
        <v>0</v>
      </c>
      <c r="G827" s="15">
        <v>0</v>
      </c>
      <c r="H827" s="15">
        <v>0</v>
      </c>
      <c r="I827" s="15">
        <v>0</v>
      </c>
      <c r="J827" s="15">
        <v>0</v>
      </c>
      <c r="K827" s="15">
        <v>0</v>
      </c>
      <c r="L827" s="15">
        <v>0</v>
      </c>
      <c r="M827" s="15">
        <v>0</v>
      </c>
      <c r="N827" s="15">
        <v>0</v>
      </c>
      <c r="O827" s="15">
        <v>0</v>
      </c>
    </row>
    <row r="828" spans="1:15">
      <c r="A828" s="11" t="s">
        <v>1143</v>
      </c>
      <c r="B828" s="12" t="s">
        <v>281</v>
      </c>
      <c r="C828" s="13" t="s">
        <v>404</v>
      </c>
      <c r="D828" s="13">
        <v>49</v>
      </c>
      <c r="E828" s="14">
        <v>450</v>
      </c>
      <c r="F828" s="15">
        <v>0</v>
      </c>
      <c r="G828" s="15">
        <v>0</v>
      </c>
      <c r="H828" s="15">
        <v>0</v>
      </c>
      <c r="I828" s="15">
        <v>0</v>
      </c>
      <c r="J828" s="15">
        <v>0</v>
      </c>
      <c r="K828" s="15">
        <v>0</v>
      </c>
      <c r="L828" s="15">
        <v>0</v>
      </c>
      <c r="M828" s="15">
        <v>0</v>
      </c>
      <c r="N828" s="15">
        <v>0</v>
      </c>
      <c r="O828" s="15">
        <v>0</v>
      </c>
    </row>
    <row r="829" spans="1:15">
      <c r="A829" s="11" t="s">
        <v>1144</v>
      </c>
      <c r="B829" s="12" t="s">
        <v>281</v>
      </c>
      <c r="C829" s="13" t="s">
        <v>404</v>
      </c>
      <c r="D829" s="13">
        <v>50</v>
      </c>
      <c r="E829" s="14">
        <v>450</v>
      </c>
      <c r="F829" s="15">
        <v>0</v>
      </c>
      <c r="G829" s="15">
        <v>0</v>
      </c>
      <c r="H829" s="15">
        <v>0</v>
      </c>
      <c r="I829" s="15">
        <v>0</v>
      </c>
      <c r="J829" s="15">
        <v>0</v>
      </c>
      <c r="K829" s="15">
        <v>0</v>
      </c>
      <c r="L829" s="15">
        <v>0</v>
      </c>
      <c r="M829" s="15">
        <v>0</v>
      </c>
      <c r="N829" s="15">
        <v>0</v>
      </c>
      <c r="O829" s="15">
        <v>0</v>
      </c>
    </row>
    <row r="830" spans="1:15">
      <c r="A830" s="11" t="s">
        <v>1145</v>
      </c>
      <c r="B830" s="12" t="s">
        <v>281</v>
      </c>
      <c r="C830" s="13" t="s">
        <v>404</v>
      </c>
      <c r="D830" s="13">
        <v>51</v>
      </c>
      <c r="E830" s="14">
        <v>450</v>
      </c>
      <c r="F830" s="15">
        <v>0</v>
      </c>
      <c r="G830" s="15">
        <v>0</v>
      </c>
      <c r="H830" s="15">
        <v>0</v>
      </c>
      <c r="I830" s="15">
        <v>0</v>
      </c>
      <c r="J830" s="15">
        <v>0</v>
      </c>
      <c r="K830" s="15">
        <v>0</v>
      </c>
      <c r="L830" s="15">
        <v>0</v>
      </c>
      <c r="M830" s="15">
        <v>0</v>
      </c>
      <c r="N830" s="15">
        <v>0</v>
      </c>
      <c r="O830" s="15">
        <v>0</v>
      </c>
    </row>
    <row r="831" spans="1:15">
      <c r="A831" s="11" t="s">
        <v>1146</v>
      </c>
      <c r="B831" s="12" t="s">
        <v>281</v>
      </c>
      <c r="C831" s="13" t="s">
        <v>404</v>
      </c>
      <c r="D831" s="13">
        <v>52</v>
      </c>
      <c r="E831" s="14">
        <v>450</v>
      </c>
      <c r="F831" s="15">
        <v>0</v>
      </c>
      <c r="G831" s="15">
        <v>0</v>
      </c>
      <c r="H831" s="15">
        <v>0</v>
      </c>
      <c r="I831" s="15">
        <v>0</v>
      </c>
      <c r="J831" s="15">
        <v>0</v>
      </c>
      <c r="K831" s="15">
        <v>0</v>
      </c>
      <c r="L831" s="15">
        <v>0</v>
      </c>
      <c r="M831" s="15">
        <v>0</v>
      </c>
      <c r="N831" s="15">
        <v>0</v>
      </c>
      <c r="O831" s="15">
        <v>0</v>
      </c>
    </row>
    <row r="832" spans="1:15">
      <c r="A832" s="11" t="s">
        <v>1147</v>
      </c>
      <c r="B832" s="12" t="s">
        <v>281</v>
      </c>
      <c r="C832" s="13" t="s">
        <v>404</v>
      </c>
      <c r="D832" s="13">
        <v>53</v>
      </c>
      <c r="E832" s="14">
        <v>450</v>
      </c>
      <c r="F832" s="15">
        <v>0</v>
      </c>
      <c r="G832" s="15">
        <v>0</v>
      </c>
      <c r="H832" s="15">
        <v>0</v>
      </c>
      <c r="I832" s="15">
        <v>0</v>
      </c>
      <c r="J832" s="15">
        <v>0</v>
      </c>
      <c r="K832" s="15">
        <v>0</v>
      </c>
      <c r="L832" s="15">
        <v>0</v>
      </c>
      <c r="M832" s="15">
        <v>0</v>
      </c>
      <c r="N832" s="15">
        <v>0</v>
      </c>
      <c r="O832" s="15">
        <v>0</v>
      </c>
    </row>
    <row r="833" spans="1:15">
      <c r="A833" s="11" t="s">
        <v>1148</v>
      </c>
      <c r="B833" s="12" t="s">
        <v>281</v>
      </c>
      <c r="C833" s="13" t="s">
        <v>404</v>
      </c>
      <c r="D833" s="13">
        <v>54</v>
      </c>
      <c r="E833" s="14">
        <v>450</v>
      </c>
      <c r="F833" s="15">
        <v>0</v>
      </c>
      <c r="G833" s="15">
        <v>0</v>
      </c>
      <c r="H833" s="15">
        <v>0</v>
      </c>
      <c r="I833" s="15">
        <v>0</v>
      </c>
      <c r="J833" s="15">
        <v>0</v>
      </c>
      <c r="K833" s="15">
        <v>0</v>
      </c>
      <c r="L833" s="15">
        <v>0</v>
      </c>
      <c r="M833" s="15">
        <v>0</v>
      </c>
      <c r="N833" s="15">
        <v>0</v>
      </c>
      <c r="O833" s="15">
        <v>0</v>
      </c>
    </row>
    <row r="834" spans="1:15">
      <c r="A834" s="11" t="s">
        <v>1149</v>
      </c>
      <c r="B834" s="12" t="s">
        <v>281</v>
      </c>
      <c r="C834" s="13" t="s">
        <v>404</v>
      </c>
      <c r="D834" s="13">
        <v>55</v>
      </c>
      <c r="E834" s="14">
        <v>450</v>
      </c>
      <c r="F834" s="15">
        <v>0</v>
      </c>
      <c r="G834" s="15">
        <v>0</v>
      </c>
      <c r="H834" s="15">
        <v>0</v>
      </c>
      <c r="I834" s="15">
        <v>0</v>
      </c>
      <c r="J834" s="15">
        <v>0</v>
      </c>
      <c r="K834" s="15">
        <v>0</v>
      </c>
      <c r="L834" s="15">
        <v>0</v>
      </c>
      <c r="M834" s="15">
        <v>0</v>
      </c>
      <c r="N834" s="15">
        <v>0</v>
      </c>
      <c r="O834" s="15">
        <v>0</v>
      </c>
    </row>
    <row r="835" spans="1:15">
      <c r="A835" s="11" t="s">
        <v>1150</v>
      </c>
      <c r="B835" s="12" t="s">
        <v>281</v>
      </c>
      <c r="C835" s="13" t="s">
        <v>404</v>
      </c>
      <c r="D835" s="13">
        <v>56</v>
      </c>
      <c r="E835" s="14">
        <v>450</v>
      </c>
      <c r="F835" s="15">
        <v>0</v>
      </c>
      <c r="G835" s="15">
        <v>0</v>
      </c>
      <c r="H835" s="15">
        <v>0</v>
      </c>
      <c r="I835" s="15">
        <v>0</v>
      </c>
      <c r="J835" s="15">
        <v>0</v>
      </c>
      <c r="K835" s="15">
        <v>0</v>
      </c>
      <c r="L835" s="15">
        <v>0</v>
      </c>
      <c r="M835" s="15">
        <v>0</v>
      </c>
      <c r="N835" s="15">
        <v>0</v>
      </c>
      <c r="O835" s="15">
        <v>0</v>
      </c>
    </row>
    <row r="836" spans="1:15">
      <c r="A836" s="11" t="s">
        <v>1151</v>
      </c>
      <c r="B836" s="12" t="s">
        <v>281</v>
      </c>
      <c r="C836" s="13" t="s">
        <v>404</v>
      </c>
      <c r="D836" s="13">
        <v>57</v>
      </c>
      <c r="E836" s="14">
        <v>450</v>
      </c>
      <c r="F836" s="15">
        <v>0</v>
      </c>
      <c r="G836" s="15">
        <v>0</v>
      </c>
      <c r="H836" s="15">
        <v>0</v>
      </c>
      <c r="I836" s="15">
        <v>0</v>
      </c>
      <c r="J836" s="15">
        <v>0</v>
      </c>
      <c r="K836" s="15">
        <v>0</v>
      </c>
      <c r="L836" s="15">
        <v>0</v>
      </c>
      <c r="M836" s="15">
        <v>0</v>
      </c>
      <c r="N836" s="15">
        <v>0</v>
      </c>
      <c r="O836" s="15">
        <v>0</v>
      </c>
    </row>
    <row r="837" spans="1:15">
      <c r="A837" s="11" t="s">
        <v>1152</v>
      </c>
      <c r="B837" s="12" t="s">
        <v>281</v>
      </c>
      <c r="C837" s="13" t="s">
        <v>404</v>
      </c>
      <c r="D837" s="13">
        <v>58</v>
      </c>
      <c r="E837" s="14">
        <v>450</v>
      </c>
      <c r="F837" s="15">
        <v>0</v>
      </c>
      <c r="G837" s="15">
        <v>0</v>
      </c>
      <c r="H837" s="15">
        <v>0</v>
      </c>
      <c r="I837" s="15">
        <v>0</v>
      </c>
      <c r="J837" s="15">
        <v>0</v>
      </c>
      <c r="K837" s="15">
        <v>0</v>
      </c>
      <c r="L837" s="15">
        <v>0</v>
      </c>
      <c r="M837" s="15">
        <v>0</v>
      </c>
      <c r="N837" s="15">
        <v>0</v>
      </c>
      <c r="O837" s="15">
        <v>0</v>
      </c>
    </row>
    <row r="838" spans="1:15">
      <c r="A838" s="11" t="s">
        <v>1153</v>
      </c>
      <c r="B838" s="12" t="s">
        <v>281</v>
      </c>
      <c r="C838" s="13" t="s">
        <v>404</v>
      </c>
      <c r="D838" s="13">
        <v>59</v>
      </c>
      <c r="E838" s="14">
        <v>450</v>
      </c>
      <c r="F838" s="15">
        <v>0</v>
      </c>
      <c r="G838" s="15">
        <v>0</v>
      </c>
      <c r="H838" s="15">
        <v>0</v>
      </c>
      <c r="I838" s="15">
        <v>0</v>
      </c>
      <c r="J838" s="15">
        <v>0</v>
      </c>
      <c r="K838" s="15">
        <v>0</v>
      </c>
      <c r="L838" s="15">
        <v>0</v>
      </c>
      <c r="M838" s="15">
        <v>0</v>
      </c>
      <c r="N838" s="15">
        <v>0</v>
      </c>
      <c r="O838" s="15">
        <v>0</v>
      </c>
    </row>
    <row r="839" spans="1:15">
      <c r="A839" s="11" t="s">
        <v>1154</v>
      </c>
      <c r="B839" s="12" t="s">
        <v>281</v>
      </c>
      <c r="C839" s="13" t="s">
        <v>404</v>
      </c>
      <c r="D839" s="13">
        <v>60</v>
      </c>
      <c r="E839" s="14">
        <v>450</v>
      </c>
      <c r="F839" s="15">
        <v>0</v>
      </c>
      <c r="G839" s="15">
        <v>0</v>
      </c>
      <c r="H839" s="15">
        <v>0</v>
      </c>
      <c r="I839" s="15">
        <v>0</v>
      </c>
      <c r="J839" s="15">
        <v>0</v>
      </c>
      <c r="K839" s="15">
        <v>0</v>
      </c>
      <c r="L839" s="15">
        <v>0</v>
      </c>
      <c r="M839" s="15">
        <v>0</v>
      </c>
      <c r="N839" s="15">
        <v>0</v>
      </c>
      <c r="O839" s="15">
        <v>0</v>
      </c>
    </row>
    <row r="840" spans="1:15">
      <c r="A840" s="11" t="s">
        <v>1155</v>
      </c>
      <c r="B840" s="12" t="s">
        <v>281</v>
      </c>
      <c r="C840" s="13" t="s">
        <v>404</v>
      </c>
      <c r="D840" s="13">
        <v>61</v>
      </c>
      <c r="E840" s="14">
        <v>450</v>
      </c>
      <c r="F840" s="15">
        <v>0</v>
      </c>
      <c r="G840" s="15">
        <v>0</v>
      </c>
      <c r="H840" s="15">
        <v>0</v>
      </c>
      <c r="I840" s="15">
        <v>0</v>
      </c>
      <c r="J840" s="15">
        <v>0</v>
      </c>
      <c r="K840" s="15">
        <v>0</v>
      </c>
      <c r="L840" s="15">
        <v>0</v>
      </c>
      <c r="M840" s="15">
        <v>0</v>
      </c>
      <c r="N840" s="15">
        <v>0</v>
      </c>
      <c r="O840" s="15">
        <v>0</v>
      </c>
    </row>
    <row r="841" spans="1:15">
      <c r="A841" s="11" t="s">
        <v>1156</v>
      </c>
      <c r="B841" s="12" t="s">
        <v>281</v>
      </c>
      <c r="C841" s="13" t="s">
        <v>404</v>
      </c>
      <c r="D841" s="13">
        <v>62</v>
      </c>
      <c r="E841" s="14">
        <v>450</v>
      </c>
      <c r="F841" s="15">
        <v>0</v>
      </c>
      <c r="G841" s="15">
        <v>0</v>
      </c>
      <c r="H841" s="15">
        <v>0</v>
      </c>
      <c r="I841" s="15">
        <v>0</v>
      </c>
      <c r="J841" s="15">
        <v>0</v>
      </c>
      <c r="K841" s="15">
        <v>0</v>
      </c>
      <c r="L841" s="15">
        <v>0</v>
      </c>
      <c r="M841" s="15">
        <v>0</v>
      </c>
      <c r="N841" s="15">
        <v>0</v>
      </c>
      <c r="O841" s="15">
        <v>0</v>
      </c>
    </row>
    <row r="842" spans="1:15">
      <c r="A842" s="11" t="s">
        <v>1157</v>
      </c>
      <c r="B842" s="12" t="s">
        <v>281</v>
      </c>
      <c r="C842" s="13" t="s">
        <v>404</v>
      </c>
      <c r="D842" s="13">
        <v>63</v>
      </c>
      <c r="E842" s="14">
        <v>450</v>
      </c>
      <c r="F842" s="15">
        <v>0</v>
      </c>
      <c r="G842" s="15">
        <v>0</v>
      </c>
      <c r="H842" s="15">
        <v>0</v>
      </c>
      <c r="I842" s="15">
        <v>0</v>
      </c>
      <c r="J842" s="15">
        <v>0</v>
      </c>
      <c r="K842" s="15">
        <v>0</v>
      </c>
      <c r="L842" s="15">
        <v>0</v>
      </c>
      <c r="M842" s="15">
        <v>0</v>
      </c>
      <c r="N842" s="15">
        <v>0</v>
      </c>
      <c r="O842" s="15">
        <v>0</v>
      </c>
    </row>
    <row r="843" spans="1:15">
      <c r="A843" s="11" t="s">
        <v>1158</v>
      </c>
      <c r="B843" s="12" t="s">
        <v>281</v>
      </c>
      <c r="C843" s="13" t="s">
        <v>404</v>
      </c>
      <c r="D843" s="13">
        <v>64</v>
      </c>
      <c r="E843" s="14">
        <v>450</v>
      </c>
      <c r="F843" s="15">
        <v>0</v>
      </c>
      <c r="G843" s="15">
        <v>0</v>
      </c>
      <c r="H843" s="15">
        <v>0</v>
      </c>
      <c r="I843" s="15">
        <v>0</v>
      </c>
      <c r="J843" s="15">
        <v>0</v>
      </c>
      <c r="K843" s="15">
        <v>0</v>
      </c>
      <c r="L843" s="15">
        <v>0</v>
      </c>
      <c r="M843" s="15">
        <v>0</v>
      </c>
      <c r="N843" s="15">
        <v>0</v>
      </c>
      <c r="O843" s="15">
        <v>0</v>
      </c>
    </row>
    <row r="844" spans="1:15">
      <c r="A844" s="11" t="s">
        <v>1159</v>
      </c>
      <c r="B844" s="12" t="s">
        <v>281</v>
      </c>
      <c r="C844" s="13" t="s">
        <v>404</v>
      </c>
      <c r="D844" s="13">
        <v>65</v>
      </c>
      <c r="E844" s="14">
        <v>450</v>
      </c>
      <c r="F844" s="15">
        <v>0</v>
      </c>
      <c r="G844" s="15">
        <v>0</v>
      </c>
      <c r="H844" s="15">
        <v>0</v>
      </c>
      <c r="I844" s="15">
        <v>0</v>
      </c>
      <c r="J844" s="15">
        <v>0</v>
      </c>
      <c r="K844" s="15">
        <v>0</v>
      </c>
      <c r="L844" s="15">
        <v>0</v>
      </c>
      <c r="M844" s="15">
        <v>0</v>
      </c>
      <c r="N844" s="15">
        <v>0</v>
      </c>
      <c r="O844" s="15">
        <v>0</v>
      </c>
    </row>
    <row r="845" spans="1:15">
      <c r="A845" s="11" t="s">
        <v>1160</v>
      </c>
      <c r="B845" s="12" t="s">
        <v>281</v>
      </c>
      <c r="C845" s="13" t="s">
        <v>404</v>
      </c>
      <c r="D845" s="13">
        <v>66</v>
      </c>
      <c r="E845" s="14">
        <v>450</v>
      </c>
      <c r="F845" s="15">
        <v>0</v>
      </c>
      <c r="G845" s="15">
        <v>0</v>
      </c>
      <c r="H845" s="15">
        <v>0</v>
      </c>
      <c r="I845" s="15">
        <v>0</v>
      </c>
      <c r="J845" s="15">
        <v>0</v>
      </c>
      <c r="K845" s="15">
        <v>0</v>
      </c>
      <c r="L845" s="15">
        <v>0</v>
      </c>
      <c r="M845" s="15">
        <v>0</v>
      </c>
      <c r="N845" s="15">
        <v>0</v>
      </c>
      <c r="O845" s="15">
        <v>0</v>
      </c>
    </row>
    <row r="846" spans="1:15">
      <c r="A846" s="11" t="s">
        <v>1161</v>
      </c>
      <c r="B846" s="12" t="s">
        <v>281</v>
      </c>
      <c r="C846" s="13" t="s">
        <v>404</v>
      </c>
      <c r="D846" s="13">
        <v>67</v>
      </c>
      <c r="E846" s="14">
        <v>450</v>
      </c>
      <c r="F846" s="15">
        <v>0</v>
      </c>
      <c r="G846" s="15">
        <v>0</v>
      </c>
      <c r="H846" s="15">
        <v>0</v>
      </c>
      <c r="I846" s="15">
        <v>0</v>
      </c>
      <c r="J846" s="15">
        <v>0</v>
      </c>
      <c r="K846" s="15">
        <v>0</v>
      </c>
      <c r="L846" s="15">
        <v>0</v>
      </c>
      <c r="M846" s="15">
        <v>0</v>
      </c>
      <c r="N846" s="15">
        <v>0</v>
      </c>
      <c r="O846" s="15">
        <v>0</v>
      </c>
    </row>
    <row r="847" spans="1:15">
      <c r="A847" s="11" t="s">
        <v>1162</v>
      </c>
      <c r="B847" s="12" t="s">
        <v>281</v>
      </c>
      <c r="C847" s="13" t="s">
        <v>404</v>
      </c>
      <c r="D847" s="13">
        <v>68</v>
      </c>
      <c r="E847" s="14">
        <v>450</v>
      </c>
      <c r="F847" s="15">
        <v>0</v>
      </c>
      <c r="G847" s="15">
        <v>0</v>
      </c>
      <c r="H847" s="15">
        <v>0</v>
      </c>
      <c r="I847" s="15">
        <v>0</v>
      </c>
      <c r="J847" s="15">
        <v>0</v>
      </c>
      <c r="K847" s="15">
        <v>0</v>
      </c>
      <c r="L847" s="15">
        <v>0</v>
      </c>
      <c r="M847" s="15">
        <v>0</v>
      </c>
      <c r="N847" s="15">
        <v>0</v>
      </c>
      <c r="O847" s="15">
        <v>0</v>
      </c>
    </row>
    <row r="848" spans="1:15">
      <c r="A848" s="11" t="s">
        <v>1163</v>
      </c>
      <c r="B848" s="12" t="s">
        <v>281</v>
      </c>
      <c r="C848" s="13" t="s">
        <v>404</v>
      </c>
      <c r="D848" s="13">
        <v>69</v>
      </c>
      <c r="E848" s="14">
        <v>450</v>
      </c>
      <c r="F848" s="15">
        <v>0</v>
      </c>
      <c r="G848" s="15">
        <v>0</v>
      </c>
      <c r="H848" s="15">
        <v>0</v>
      </c>
      <c r="I848" s="15">
        <v>0</v>
      </c>
      <c r="J848" s="15">
        <v>0</v>
      </c>
      <c r="K848" s="15">
        <v>0</v>
      </c>
      <c r="L848" s="15">
        <v>0</v>
      </c>
      <c r="M848" s="15">
        <v>0</v>
      </c>
      <c r="N848" s="15">
        <v>0</v>
      </c>
      <c r="O848" s="15">
        <v>0</v>
      </c>
    </row>
    <row r="849" spans="1:15">
      <c r="A849" s="11" t="s">
        <v>1164</v>
      </c>
      <c r="B849" s="12" t="s">
        <v>281</v>
      </c>
      <c r="C849" s="13" t="s">
        <v>404</v>
      </c>
      <c r="D849" s="13">
        <v>70</v>
      </c>
      <c r="E849" s="14">
        <v>450</v>
      </c>
      <c r="F849" s="15">
        <v>0</v>
      </c>
      <c r="G849" s="15">
        <v>0</v>
      </c>
      <c r="H849" s="15">
        <v>0</v>
      </c>
      <c r="I849" s="15">
        <v>0</v>
      </c>
      <c r="J849" s="15">
        <v>0</v>
      </c>
      <c r="K849" s="15">
        <v>0</v>
      </c>
      <c r="L849" s="15">
        <v>0</v>
      </c>
      <c r="M849" s="15">
        <v>0</v>
      </c>
      <c r="N849" s="15">
        <v>0</v>
      </c>
      <c r="O849" s="15">
        <v>0</v>
      </c>
    </row>
    <row r="850" spans="1:15">
      <c r="A850" s="11" t="s">
        <v>1165</v>
      </c>
      <c r="B850" s="12" t="s">
        <v>281</v>
      </c>
      <c r="C850" s="13" t="s">
        <v>404</v>
      </c>
      <c r="D850" s="13">
        <v>71</v>
      </c>
      <c r="E850" s="14">
        <v>450</v>
      </c>
      <c r="F850" s="15">
        <v>0</v>
      </c>
      <c r="G850" s="15">
        <v>0</v>
      </c>
      <c r="H850" s="15">
        <v>0</v>
      </c>
      <c r="I850" s="15">
        <v>0</v>
      </c>
      <c r="J850" s="15">
        <v>0</v>
      </c>
      <c r="K850" s="15">
        <v>0</v>
      </c>
      <c r="L850" s="15">
        <v>0</v>
      </c>
      <c r="M850" s="15">
        <v>0</v>
      </c>
      <c r="N850" s="15">
        <v>0</v>
      </c>
      <c r="O850" s="15">
        <v>0</v>
      </c>
    </row>
    <row r="851" spans="1:15">
      <c r="A851" s="11" t="s">
        <v>1166</v>
      </c>
      <c r="B851" s="12" t="s">
        <v>281</v>
      </c>
      <c r="C851" s="13" t="s">
        <v>404</v>
      </c>
      <c r="D851" s="13">
        <v>72</v>
      </c>
      <c r="E851" s="14">
        <v>450</v>
      </c>
      <c r="F851" s="15">
        <v>0</v>
      </c>
      <c r="G851" s="15">
        <v>0</v>
      </c>
      <c r="H851" s="15">
        <v>0</v>
      </c>
      <c r="I851" s="15">
        <v>0</v>
      </c>
      <c r="J851" s="15">
        <v>0</v>
      </c>
      <c r="K851" s="15">
        <v>0</v>
      </c>
      <c r="L851" s="15">
        <v>0</v>
      </c>
      <c r="M851" s="15">
        <v>0</v>
      </c>
      <c r="N851" s="15">
        <v>0</v>
      </c>
      <c r="O851" s="15">
        <v>0</v>
      </c>
    </row>
    <row r="852" spans="1:15">
      <c r="A852" s="11" t="s">
        <v>1167</v>
      </c>
      <c r="B852" s="12" t="s">
        <v>281</v>
      </c>
      <c r="C852" s="13" t="s">
        <v>404</v>
      </c>
      <c r="D852" s="13">
        <v>73</v>
      </c>
      <c r="E852" s="14">
        <v>450</v>
      </c>
      <c r="F852" s="15">
        <v>0</v>
      </c>
      <c r="G852" s="15">
        <v>0</v>
      </c>
      <c r="H852" s="15">
        <v>0</v>
      </c>
      <c r="I852" s="15">
        <v>0</v>
      </c>
      <c r="J852" s="15">
        <v>0</v>
      </c>
      <c r="K852" s="15">
        <v>0</v>
      </c>
      <c r="L852" s="15">
        <v>0</v>
      </c>
      <c r="M852" s="15">
        <v>0</v>
      </c>
      <c r="N852" s="15">
        <v>0</v>
      </c>
      <c r="O852" s="15">
        <v>0</v>
      </c>
    </row>
    <row r="853" spans="1:15">
      <c r="A853" s="11" t="s">
        <v>1168</v>
      </c>
      <c r="B853" s="12" t="s">
        <v>281</v>
      </c>
      <c r="C853" s="13" t="s">
        <v>404</v>
      </c>
      <c r="D853" s="13">
        <v>74</v>
      </c>
      <c r="E853" s="14">
        <v>450</v>
      </c>
      <c r="F853" s="15">
        <v>0</v>
      </c>
      <c r="G853" s="15">
        <v>0</v>
      </c>
      <c r="H853" s="15">
        <v>0</v>
      </c>
      <c r="I853" s="15">
        <v>0</v>
      </c>
      <c r="J853" s="15">
        <v>0</v>
      </c>
      <c r="K853" s="15">
        <v>0</v>
      </c>
      <c r="L853" s="15">
        <v>0</v>
      </c>
      <c r="M853" s="15">
        <v>0</v>
      </c>
      <c r="N853" s="15">
        <v>0</v>
      </c>
      <c r="O853" s="15">
        <v>0</v>
      </c>
    </row>
    <row r="854" spans="1:15">
      <c r="A854" s="11" t="s">
        <v>1169</v>
      </c>
      <c r="B854" s="12" t="s">
        <v>281</v>
      </c>
      <c r="C854" s="13" t="s">
        <v>404</v>
      </c>
      <c r="D854" s="13">
        <v>75</v>
      </c>
      <c r="E854" s="14">
        <v>450</v>
      </c>
      <c r="F854" s="15">
        <v>0</v>
      </c>
      <c r="G854" s="15">
        <v>0</v>
      </c>
      <c r="H854" s="15">
        <v>0</v>
      </c>
      <c r="I854" s="15">
        <v>0</v>
      </c>
      <c r="J854" s="15">
        <v>0</v>
      </c>
      <c r="K854" s="15">
        <v>0</v>
      </c>
      <c r="L854" s="15">
        <v>0</v>
      </c>
      <c r="M854" s="15">
        <v>0</v>
      </c>
      <c r="N854" s="15">
        <v>0</v>
      </c>
      <c r="O854" s="15">
        <v>0</v>
      </c>
    </row>
    <row r="855" spans="1:15">
      <c r="A855" s="11" t="s">
        <v>1170</v>
      </c>
      <c r="B855" s="12" t="s">
        <v>281</v>
      </c>
      <c r="C855" s="13" t="s">
        <v>404</v>
      </c>
      <c r="D855" s="13">
        <v>76</v>
      </c>
      <c r="E855" s="14">
        <v>450</v>
      </c>
      <c r="F855" s="15">
        <v>0</v>
      </c>
      <c r="G855" s="15">
        <v>0</v>
      </c>
      <c r="H855" s="15">
        <v>0</v>
      </c>
      <c r="I855" s="15">
        <v>0</v>
      </c>
      <c r="J855" s="15">
        <v>0</v>
      </c>
      <c r="K855" s="15">
        <v>0</v>
      </c>
      <c r="L855" s="15">
        <v>0</v>
      </c>
      <c r="M855" s="15">
        <v>0</v>
      </c>
      <c r="N855" s="15">
        <v>0</v>
      </c>
      <c r="O855" s="15">
        <v>0</v>
      </c>
    </row>
    <row r="856" spans="1:15">
      <c r="A856" s="11" t="s">
        <v>1171</v>
      </c>
      <c r="B856" s="12" t="s">
        <v>281</v>
      </c>
      <c r="C856" s="13" t="s">
        <v>404</v>
      </c>
      <c r="D856" s="13">
        <v>77</v>
      </c>
      <c r="E856" s="14">
        <v>450</v>
      </c>
      <c r="F856" s="15">
        <v>0</v>
      </c>
      <c r="G856" s="15">
        <v>0</v>
      </c>
      <c r="H856" s="15">
        <v>0</v>
      </c>
      <c r="I856" s="15">
        <v>0</v>
      </c>
      <c r="J856" s="15">
        <v>0</v>
      </c>
      <c r="K856" s="15">
        <v>0</v>
      </c>
      <c r="L856" s="15">
        <v>0</v>
      </c>
      <c r="M856" s="15">
        <v>0</v>
      </c>
      <c r="N856" s="15">
        <v>0</v>
      </c>
      <c r="O856" s="15">
        <v>0</v>
      </c>
    </row>
    <row r="857" spans="1:15">
      <c r="A857" s="11" t="s">
        <v>1172</v>
      </c>
      <c r="B857" s="12" t="s">
        <v>281</v>
      </c>
      <c r="C857" s="13" t="s">
        <v>404</v>
      </c>
      <c r="D857" s="13">
        <v>78</v>
      </c>
      <c r="E857" s="14">
        <v>450</v>
      </c>
      <c r="F857" s="15">
        <v>0</v>
      </c>
      <c r="G857" s="15">
        <v>0</v>
      </c>
      <c r="H857" s="15">
        <v>0</v>
      </c>
      <c r="I857" s="15">
        <v>0</v>
      </c>
      <c r="J857" s="15">
        <v>0</v>
      </c>
      <c r="K857" s="15">
        <v>0</v>
      </c>
      <c r="L857" s="15">
        <v>0</v>
      </c>
      <c r="M857" s="15">
        <v>0</v>
      </c>
      <c r="N857" s="15">
        <v>0</v>
      </c>
      <c r="O857" s="15">
        <v>0</v>
      </c>
    </row>
    <row r="858" spans="1:15">
      <c r="A858" s="11" t="s">
        <v>1173</v>
      </c>
      <c r="B858" s="12" t="s">
        <v>281</v>
      </c>
      <c r="C858" s="13" t="s">
        <v>404</v>
      </c>
      <c r="D858" s="13">
        <v>79</v>
      </c>
      <c r="E858" s="14">
        <v>450</v>
      </c>
      <c r="F858" s="15">
        <v>0</v>
      </c>
      <c r="G858" s="15">
        <v>0</v>
      </c>
      <c r="H858" s="15">
        <v>0</v>
      </c>
      <c r="I858" s="15">
        <v>0</v>
      </c>
      <c r="J858" s="15">
        <v>0</v>
      </c>
      <c r="K858" s="15">
        <v>0</v>
      </c>
      <c r="L858" s="15">
        <v>0</v>
      </c>
      <c r="M858" s="15">
        <v>0</v>
      </c>
      <c r="N858" s="15">
        <v>0</v>
      </c>
      <c r="O858" s="15">
        <v>0</v>
      </c>
    </row>
    <row r="859" spans="1:15">
      <c r="A859" s="11" t="s">
        <v>1174</v>
      </c>
      <c r="B859" s="12" t="s">
        <v>281</v>
      </c>
      <c r="C859" s="13" t="s">
        <v>404</v>
      </c>
      <c r="D859" s="13">
        <v>80</v>
      </c>
      <c r="E859" s="14">
        <v>450</v>
      </c>
      <c r="F859" s="15">
        <v>0</v>
      </c>
      <c r="G859" s="15">
        <v>0</v>
      </c>
      <c r="H859" s="15">
        <v>0</v>
      </c>
      <c r="I859" s="15">
        <v>0</v>
      </c>
      <c r="J859" s="15">
        <v>0</v>
      </c>
      <c r="K859" s="15">
        <v>0</v>
      </c>
      <c r="L859" s="15">
        <v>0</v>
      </c>
      <c r="M859" s="15">
        <v>0</v>
      </c>
      <c r="N859" s="15">
        <v>0</v>
      </c>
      <c r="O859" s="15">
        <v>0</v>
      </c>
    </row>
    <row r="860" spans="1:15">
      <c r="A860" s="11" t="s">
        <v>1175</v>
      </c>
      <c r="B860" s="12" t="s">
        <v>281</v>
      </c>
      <c r="C860" s="13" t="s">
        <v>404</v>
      </c>
      <c r="D860" s="13">
        <v>81</v>
      </c>
      <c r="E860" s="14">
        <v>450</v>
      </c>
      <c r="F860" s="15">
        <v>0</v>
      </c>
      <c r="G860" s="15">
        <v>0</v>
      </c>
      <c r="H860" s="15">
        <v>0</v>
      </c>
      <c r="I860" s="15">
        <v>0</v>
      </c>
      <c r="J860" s="15">
        <v>0</v>
      </c>
      <c r="K860" s="15">
        <v>0</v>
      </c>
      <c r="L860" s="15">
        <v>0</v>
      </c>
      <c r="M860" s="15">
        <v>0</v>
      </c>
      <c r="N860" s="15">
        <v>0</v>
      </c>
      <c r="O860" s="15">
        <v>0</v>
      </c>
    </row>
    <row r="861" spans="1:15">
      <c r="A861" s="11" t="s">
        <v>1176</v>
      </c>
      <c r="B861" s="12" t="s">
        <v>281</v>
      </c>
      <c r="C861" s="13" t="s">
        <v>404</v>
      </c>
      <c r="D861" s="13">
        <v>82</v>
      </c>
      <c r="E861" s="14">
        <v>450</v>
      </c>
      <c r="F861" s="15">
        <v>0</v>
      </c>
      <c r="G861" s="15">
        <v>0</v>
      </c>
      <c r="H861" s="15">
        <v>0</v>
      </c>
      <c r="I861" s="15">
        <v>0</v>
      </c>
      <c r="J861" s="15">
        <v>0</v>
      </c>
      <c r="K861" s="15">
        <v>0</v>
      </c>
      <c r="L861" s="15">
        <v>0</v>
      </c>
      <c r="M861" s="15">
        <v>0</v>
      </c>
      <c r="N861" s="15">
        <v>0</v>
      </c>
      <c r="O861" s="15">
        <v>0</v>
      </c>
    </row>
    <row r="862" spans="1:15">
      <c r="A862" s="11" t="s">
        <v>1177</v>
      </c>
      <c r="B862" s="12" t="s">
        <v>281</v>
      </c>
      <c r="C862" s="13" t="s">
        <v>404</v>
      </c>
      <c r="D862" s="13">
        <v>83</v>
      </c>
      <c r="E862" s="14">
        <v>450</v>
      </c>
      <c r="F862" s="15">
        <v>0</v>
      </c>
      <c r="G862" s="15">
        <v>0</v>
      </c>
      <c r="H862" s="15">
        <v>0</v>
      </c>
      <c r="I862" s="15">
        <v>0</v>
      </c>
      <c r="J862" s="15">
        <v>0</v>
      </c>
      <c r="K862" s="15">
        <v>0</v>
      </c>
      <c r="L862" s="15">
        <v>0</v>
      </c>
      <c r="M862" s="15">
        <v>0</v>
      </c>
      <c r="N862" s="15">
        <v>0</v>
      </c>
      <c r="O862" s="15">
        <v>0</v>
      </c>
    </row>
    <row r="863" spans="1:15">
      <c r="A863" s="11" t="s">
        <v>1178</v>
      </c>
      <c r="B863" s="12" t="s">
        <v>281</v>
      </c>
      <c r="C863" s="13" t="s">
        <v>404</v>
      </c>
      <c r="D863" s="13">
        <v>84</v>
      </c>
      <c r="E863" s="14">
        <v>450</v>
      </c>
      <c r="F863" s="15">
        <v>0</v>
      </c>
      <c r="G863" s="15">
        <v>0</v>
      </c>
      <c r="H863" s="15">
        <v>0</v>
      </c>
      <c r="I863" s="15">
        <v>0</v>
      </c>
      <c r="J863" s="15">
        <v>0</v>
      </c>
      <c r="K863" s="15">
        <v>0</v>
      </c>
      <c r="L863" s="15">
        <v>0</v>
      </c>
      <c r="M863" s="15">
        <v>0</v>
      </c>
      <c r="N863" s="15">
        <v>0</v>
      </c>
      <c r="O863" s="15">
        <v>0</v>
      </c>
    </row>
    <row r="864" spans="1:15">
      <c r="A864" s="11" t="s">
        <v>1179</v>
      </c>
      <c r="B864" s="12" t="s">
        <v>281</v>
      </c>
      <c r="C864" s="13" t="s">
        <v>404</v>
      </c>
      <c r="D864" s="13">
        <v>85</v>
      </c>
      <c r="E864" s="14">
        <v>450</v>
      </c>
      <c r="F864" s="15">
        <v>0</v>
      </c>
      <c r="G864" s="15">
        <v>0</v>
      </c>
      <c r="H864" s="15">
        <v>0</v>
      </c>
      <c r="I864" s="15">
        <v>0</v>
      </c>
      <c r="J864" s="15">
        <v>0</v>
      </c>
      <c r="K864" s="15">
        <v>0</v>
      </c>
      <c r="L864" s="15">
        <v>0</v>
      </c>
      <c r="M864" s="15">
        <v>0</v>
      </c>
      <c r="N864" s="15">
        <v>0</v>
      </c>
      <c r="O864" s="15">
        <v>0</v>
      </c>
    </row>
    <row r="865" spans="1:15">
      <c r="A865" s="11" t="s">
        <v>1180</v>
      </c>
      <c r="B865" s="12" t="s">
        <v>1181</v>
      </c>
      <c r="C865" s="13" t="s">
        <v>317</v>
      </c>
      <c r="D865" s="13">
        <v>0</v>
      </c>
      <c r="E865" s="14">
        <v>450</v>
      </c>
      <c r="F865" s="15">
        <v>0</v>
      </c>
      <c r="G865" s="15">
        <v>0</v>
      </c>
      <c r="H865" s="15">
        <v>0</v>
      </c>
      <c r="I865" s="15">
        <v>0</v>
      </c>
      <c r="J865" s="15">
        <v>0</v>
      </c>
      <c r="K865" s="15">
        <v>0</v>
      </c>
      <c r="L865" s="15">
        <v>0</v>
      </c>
      <c r="M865" s="15">
        <v>0</v>
      </c>
      <c r="N865" s="15">
        <v>0</v>
      </c>
      <c r="O865" s="15">
        <v>0</v>
      </c>
    </row>
    <row r="866" spans="1:15">
      <c r="A866" s="11" t="s">
        <v>1182</v>
      </c>
      <c r="B866" s="12" t="s">
        <v>1181</v>
      </c>
      <c r="C866" s="13" t="s">
        <v>317</v>
      </c>
      <c r="D866" s="13">
        <v>1</v>
      </c>
      <c r="E866" s="14">
        <v>450</v>
      </c>
      <c r="F866" s="15">
        <v>0</v>
      </c>
      <c r="G866" s="15">
        <v>0</v>
      </c>
      <c r="H866" s="15">
        <v>0</v>
      </c>
      <c r="I866" s="15">
        <v>0</v>
      </c>
      <c r="J866" s="15">
        <v>0</v>
      </c>
      <c r="K866" s="15">
        <v>0</v>
      </c>
      <c r="L866" s="15">
        <v>0</v>
      </c>
      <c r="M866" s="15">
        <v>0</v>
      </c>
      <c r="N866" s="15">
        <v>0</v>
      </c>
      <c r="O866" s="15">
        <v>0</v>
      </c>
    </row>
    <row r="867" spans="1:15">
      <c r="A867" s="11" t="s">
        <v>1183</v>
      </c>
      <c r="B867" s="12" t="s">
        <v>1181</v>
      </c>
      <c r="C867" s="13" t="s">
        <v>317</v>
      </c>
      <c r="D867" s="13">
        <v>2</v>
      </c>
      <c r="E867" s="14">
        <v>450</v>
      </c>
      <c r="F867" s="15">
        <v>0</v>
      </c>
      <c r="G867" s="15">
        <v>0</v>
      </c>
      <c r="H867" s="15">
        <v>0</v>
      </c>
      <c r="I867" s="15">
        <v>0</v>
      </c>
      <c r="J867" s="15">
        <v>0</v>
      </c>
      <c r="K867" s="15">
        <v>0</v>
      </c>
      <c r="L867" s="15">
        <v>0</v>
      </c>
      <c r="M867" s="15">
        <v>0</v>
      </c>
      <c r="N867" s="15">
        <v>0</v>
      </c>
      <c r="O867" s="15">
        <v>0</v>
      </c>
    </row>
    <row r="868" spans="1:15">
      <c r="A868" s="11" t="s">
        <v>1184</v>
      </c>
      <c r="B868" s="12" t="s">
        <v>1181</v>
      </c>
      <c r="C868" s="13" t="s">
        <v>317</v>
      </c>
      <c r="D868" s="13">
        <v>3</v>
      </c>
      <c r="E868" s="14">
        <v>450</v>
      </c>
      <c r="F868" s="15">
        <v>0</v>
      </c>
      <c r="G868" s="15">
        <v>0</v>
      </c>
      <c r="H868" s="15">
        <v>0</v>
      </c>
      <c r="I868" s="15">
        <v>0</v>
      </c>
      <c r="J868" s="15">
        <v>0</v>
      </c>
      <c r="K868" s="15">
        <v>0</v>
      </c>
      <c r="L868" s="15">
        <v>0</v>
      </c>
      <c r="M868" s="15">
        <v>0</v>
      </c>
      <c r="N868" s="15">
        <v>0</v>
      </c>
      <c r="O868" s="15">
        <v>0</v>
      </c>
    </row>
    <row r="869" spans="1:15">
      <c r="A869" s="11" t="s">
        <v>1185</v>
      </c>
      <c r="B869" s="12" t="s">
        <v>1181</v>
      </c>
      <c r="C869" s="13" t="s">
        <v>317</v>
      </c>
      <c r="D869" s="13">
        <v>4</v>
      </c>
      <c r="E869" s="14">
        <v>450</v>
      </c>
      <c r="F869" s="15">
        <v>0</v>
      </c>
      <c r="G869" s="15">
        <v>0</v>
      </c>
      <c r="H869" s="15">
        <v>0</v>
      </c>
      <c r="I869" s="15">
        <v>0</v>
      </c>
      <c r="J869" s="15">
        <v>0</v>
      </c>
      <c r="K869" s="15">
        <v>0</v>
      </c>
      <c r="L869" s="15">
        <v>0</v>
      </c>
      <c r="M869" s="15">
        <v>0</v>
      </c>
      <c r="N869" s="15">
        <v>0</v>
      </c>
      <c r="O869" s="15">
        <v>0</v>
      </c>
    </row>
    <row r="870" spans="1:15">
      <c r="A870" s="11" t="s">
        <v>1186</v>
      </c>
      <c r="B870" s="12" t="s">
        <v>1181</v>
      </c>
      <c r="C870" s="13" t="s">
        <v>317</v>
      </c>
      <c r="D870" s="13">
        <v>5</v>
      </c>
      <c r="E870" s="14">
        <v>450</v>
      </c>
      <c r="F870" s="15">
        <v>0</v>
      </c>
      <c r="G870" s="15">
        <v>0</v>
      </c>
      <c r="H870" s="15">
        <v>0</v>
      </c>
      <c r="I870" s="15">
        <v>0</v>
      </c>
      <c r="J870" s="15">
        <v>0</v>
      </c>
      <c r="K870" s="15">
        <v>0</v>
      </c>
      <c r="L870" s="15">
        <v>0</v>
      </c>
      <c r="M870" s="15">
        <v>0</v>
      </c>
      <c r="N870" s="15">
        <v>0</v>
      </c>
      <c r="O870" s="15">
        <v>0</v>
      </c>
    </row>
    <row r="871" spans="1:15">
      <c r="A871" s="11" t="s">
        <v>1187</v>
      </c>
      <c r="B871" s="12" t="s">
        <v>1181</v>
      </c>
      <c r="C871" s="13" t="s">
        <v>317</v>
      </c>
      <c r="D871" s="13">
        <v>6</v>
      </c>
      <c r="E871" s="14">
        <v>450</v>
      </c>
      <c r="F871" s="15">
        <v>0</v>
      </c>
      <c r="G871" s="15">
        <v>0</v>
      </c>
      <c r="H871" s="15">
        <v>0</v>
      </c>
      <c r="I871" s="15">
        <v>0</v>
      </c>
      <c r="J871" s="15">
        <v>0</v>
      </c>
      <c r="K871" s="15">
        <v>0</v>
      </c>
      <c r="L871" s="15">
        <v>0</v>
      </c>
      <c r="M871" s="15">
        <v>0</v>
      </c>
      <c r="N871" s="15">
        <v>0</v>
      </c>
      <c r="O871" s="15">
        <v>0</v>
      </c>
    </row>
    <row r="872" spans="1:15">
      <c r="A872" s="11" t="s">
        <v>1188</v>
      </c>
      <c r="B872" s="12" t="s">
        <v>1181</v>
      </c>
      <c r="C872" s="13" t="s">
        <v>317</v>
      </c>
      <c r="D872" s="13">
        <v>7</v>
      </c>
      <c r="E872" s="14">
        <v>450</v>
      </c>
      <c r="F872" s="15">
        <v>0</v>
      </c>
      <c r="G872" s="15">
        <v>0</v>
      </c>
      <c r="H872" s="15">
        <v>0</v>
      </c>
      <c r="I872" s="15">
        <v>0</v>
      </c>
      <c r="J872" s="15">
        <v>0</v>
      </c>
      <c r="K872" s="15">
        <v>0</v>
      </c>
      <c r="L872" s="15">
        <v>0</v>
      </c>
      <c r="M872" s="15">
        <v>0</v>
      </c>
      <c r="N872" s="15">
        <v>0</v>
      </c>
      <c r="O872" s="15">
        <v>0</v>
      </c>
    </row>
    <row r="873" spans="1:15">
      <c r="A873" s="11" t="s">
        <v>1189</v>
      </c>
      <c r="B873" s="12" t="s">
        <v>1181</v>
      </c>
      <c r="C873" s="13" t="s">
        <v>317</v>
      </c>
      <c r="D873" s="13">
        <v>8</v>
      </c>
      <c r="E873" s="14">
        <v>450</v>
      </c>
      <c r="F873" s="15">
        <v>0</v>
      </c>
      <c r="G873" s="15">
        <v>0</v>
      </c>
      <c r="H873" s="15">
        <v>0</v>
      </c>
      <c r="I873" s="15">
        <v>0</v>
      </c>
      <c r="J873" s="15">
        <v>0</v>
      </c>
      <c r="K873" s="15">
        <v>0</v>
      </c>
      <c r="L873" s="15">
        <v>0</v>
      </c>
      <c r="M873" s="15">
        <v>0</v>
      </c>
      <c r="N873" s="15">
        <v>0</v>
      </c>
      <c r="O873" s="15">
        <v>0</v>
      </c>
    </row>
    <row r="874" spans="1:15">
      <c r="A874" s="11" t="s">
        <v>1190</v>
      </c>
      <c r="B874" s="12" t="s">
        <v>1181</v>
      </c>
      <c r="C874" s="13" t="s">
        <v>317</v>
      </c>
      <c r="D874" s="13">
        <v>9</v>
      </c>
      <c r="E874" s="14">
        <v>450</v>
      </c>
      <c r="F874" s="15">
        <v>0</v>
      </c>
      <c r="G874" s="15">
        <v>0</v>
      </c>
      <c r="H874" s="15">
        <v>0</v>
      </c>
      <c r="I874" s="15">
        <v>0</v>
      </c>
      <c r="J874" s="15">
        <v>0</v>
      </c>
      <c r="K874" s="15">
        <v>0</v>
      </c>
      <c r="L874" s="15">
        <v>0</v>
      </c>
      <c r="M874" s="15">
        <v>0</v>
      </c>
      <c r="N874" s="15">
        <v>0</v>
      </c>
      <c r="O874" s="15">
        <v>0</v>
      </c>
    </row>
    <row r="875" spans="1:15">
      <c r="A875" s="11" t="s">
        <v>1191</v>
      </c>
      <c r="B875" s="12" t="s">
        <v>1181</v>
      </c>
      <c r="C875" s="13" t="s">
        <v>317</v>
      </c>
      <c r="D875" s="13">
        <v>10</v>
      </c>
      <c r="E875" s="14">
        <v>450</v>
      </c>
      <c r="F875" s="15">
        <v>0</v>
      </c>
      <c r="G875" s="15">
        <v>0</v>
      </c>
      <c r="H875" s="15">
        <v>0</v>
      </c>
      <c r="I875" s="15">
        <v>0</v>
      </c>
      <c r="J875" s="15">
        <v>0</v>
      </c>
      <c r="K875" s="15">
        <v>0</v>
      </c>
      <c r="L875" s="15">
        <v>0</v>
      </c>
      <c r="M875" s="15">
        <v>0</v>
      </c>
      <c r="N875" s="15">
        <v>0</v>
      </c>
      <c r="O875" s="15">
        <v>0</v>
      </c>
    </row>
    <row r="876" spans="1:15">
      <c r="A876" s="11" t="s">
        <v>1192</v>
      </c>
      <c r="B876" s="12" t="s">
        <v>1181</v>
      </c>
      <c r="C876" s="13" t="s">
        <v>317</v>
      </c>
      <c r="D876" s="13">
        <v>11</v>
      </c>
      <c r="E876" s="14">
        <v>450</v>
      </c>
      <c r="F876" s="15">
        <v>0</v>
      </c>
      <c r="G876" s="15">
        <v>0</v>
      </c>
      <c r="H876" s="15">
        <v>0</v>
      </c>
      <c r="I876" s="15">
        <v>0</v>
      </c>
      <c r="J876" s="15">
        <v>0</v>
      </c>
      <c r="K876" s="15">
        <v>0</v>
      </c>
      <c r="L876" s="15">
        <v>0</v>
      </c>
      <c r="M876" s="15">
        <v>0</v>
      </c>
      <c r="N876" s="15">
        <v>0</v>
      </c>
      <c r="O876" s="15">
        <v>0</v>
      </c>
    </row>
    <row r="877" spans="1:15">
      <c r="A877" s="11" t="s">
        <v>1193</v>
      </c>
      <c r="B877" s="12" t="s">
        <v>1181</v>
      </c>
      <c r="C877" s="13" t="s">
        <v>317</v>
      </c>
      <c r="D877" s="13">
        <v>12</v>
      </c>
      <c r="E877" s="14">
        <v>450</v>
      </c>
      <c r="F877" s="15">
        <v>0</v>
      </c>
      <c r="G877" s="15">
        <v>0</v>
      </c>
      <c r="H877" s="15">
        <v>0</v>
      </c>
      <c r="I877" s="15">
        <v>0</v>
      </c>
      <c r="J877" s="15">
        <v>0</v>
      </c>
      <c r="K877" s="15">
        <v>0</v>
      </c>
      <c r="L877" s="15">
        <v>0</v>
      </c>
      <c r="M877" s="15">
        <v>0</v>
      </c>
      <c r="N877" s="15">
        <v>0</v>
      </c>
      <c r="O877" s="15">
        <v>0</v>
      </c>
    </row>
    <row r="878" spans="1:15">
      <c r="A878" s="11" t="s">
        <v>1194</v>
      </c>
      <c r="B878" s="12" t="s">
        <v>1181</v>
      </c>
      <c r="C878" s="13" t="s">
        <v>317</v>
      </c>
      <c r="D878" s="13">
        <v>13</v>
      </c>
      <c r="E878" s="14">
        <v>450</v>
      </c>
      <c r="F878" s="15">
        <v>0</v>
      </c>
      <c r="G878" s="15">
        <v>0</v>
      </c>
      <c r="H878" s="15">
        <v>0</v>
      </c>
      <c r="I878" s="15">
        <v>0</v>
      </c>
      <c r="J878" s="15">
        <v>0</v>
      </c>
      <c r="K878" s="15">
        <v>0</v>
      </c>
      <c r="L878" s="15">
        <v>0</v>
      </c>
      <c r="M878" s="15">
        <v>0</v>
      </c>
      <c r="N878" s="15">
        <v>0</v>
      </c>
      <c r="O878" s="15">
        <v>0</v>
      </c>
    </row>
    <row r="879" spans="1:15">
      <c r="A879" s="11" t="s">
        <v>1195</v>
      </c>
      <c r="B879" s="12" t="s">
        <v>1181</v>
      </c>
      <c r="C879" s="13" t="s">
        <v>317</v>
      </c>
      <c r="D879" s="13">
        <v>14</v>
      </c>
      <c r="E879" s="14">
        <v>450</v>
      </c>
      <c r="F879" s="15">
        <v>0</v>
      </c>
      <c r="G879" s="15">
        <v>0</v>
      </c>
      <c r="H879" s="15">
        <v>0</v>
      </c>
      <c r="I879" s="15">
        <v>0</v>
      </c>
      <c r="J879" s="15">
        <v>0</v>
      </c>
      <c r="K879" s="15">
        <v>0</v>
      </c>
      <c r="L879" s="15">
        <v>0</v>
      </c>
      <c r="M879" s="15">
        <v>0</v>
      </c>
      <c r="N879" s="15">
        <v>0</v>
      </c>
      <c r="O879" s="15">
        <v>0</v>
      </c>
    </row>
    <row r="880" spans="1:15">
      <c r="A880" s="11" t="s">
        <v>1196</v>
      </c>
      <c r="B880" s="12" t="s">
        <v>1181</v>
      </c>
      <c r="C880" s="13" t="s">
        <v>317</v>
      </c>
      <c r="D880" s="13">
        <v>15</v>
      </c>
      <c r="E880" s="14">
        <v>450</v>
      </c>
      <c r="F880" s="15">
        <v>0</v>
      </c>
      <c r="G880" s="15">
        <v>0</v>
      </c>
      <c r="H880" s="15">
        <v>0</v>
      </c>
      <c r="I880" s="15">
        <v>0</v>
      </c>
      <c r="J880" s="15">
        <v>0</v>
      </c>
      <c r="K880" s="15">
        <v>0</v>
      </c>
      <c r="L880" s="15">
        <v>0</v>
      </c>
      <c r="M880" s="15">
        <v>0</v>
      </c>
      <c r="N880" s="15">
        <v>0</v>
      </c>
      <c r="O880" s="15">
        <v>0</v>
      </c>
    </row>
    <row r="881" spans="1:15">
      <c r="A881" s="11" t="s">
        <v>1197</v>
      </c>
      <c r="B881" s="12" t="s">
        <v>1181</v>
      </c>
      <c r="C881" s="13" t="s">
        <v>317</v>
      </c>
      <c r="D881" s="13">
        <v>16</v>
      </c>
      <c r="E881" s="14">
        <v>450</v>
      </c>
      <c r="F881" s="15">
        <v>0</v>
      </c>
      <c r="G881" s="15">
        <v>0</v>
      </c>
      <c r="H881" s="15">
        <v>0</v>
      </c>
      <c r="I881" s="15">
        <v>0</v>
      </c>
      <c r="J881" s="15">
        <v>0</v>
      </c>
      <c r="K881" s="15">
        <v>0</v>
      </c>
      <c r="L881" s="15">
        <v>0</v>
      </c>
      <c r="M881" s="15">
        <v>0</v>
      </c>
      <c r="N881" s="15">
        <v>0</v>
      </c>
      <c r="O881" s="15">
        <v>0</v>
      </c>
    </row>
    <row r="882" spans="1:15">
      <c r="A882" s="11" t="s">
        <v>1198</v>
      </c>
      <c r="B882" s="12" t="s">
        <v>1181</v>
      </c>
      <c r="C882" s="13" t="s">
        <v>317</v>
      </c>
      <c r="D882" s="13">
        <v>17</v>
      </c>
      <c r="E882" s="14">
        <v>450</v>
      </c>
      <c r="F882" s="15">
        <v>0</v>
      </c>
      <c r="G882" s="15">
        <v>0</v>
      </c>
      <c r="H882" s="15">
        <v>0</v>
      </c>
      <c r="I882" s="15">
        <v>0</v>
      </c>
      <c r="J882" s="15">
        <v>0</v>
      </c>
      <c r="K882" s="15">
        <v>0</v>
      </c>
      <c r="L882" s="15">
        <v>0</v>
      </c>
      <c r="M882" s="15">
        <v>0</v>
      </c>
      <c r="N882" s="15">
        <v>0</v>
      </c>
      <c r="O882" s="15">
        <v>0</v>
      </c>
    </row>
    <row r="883" spans="1:15">
      <c r="A883" s="11" t="s">
        <v>1199</v>
      </c>
      <c r="B883" s="12" t="s">
        <v>1181</v>
      </c>
      <c r="C883" s="13" t="s">
        <v>317</v>
      </c>
      <c r="D883" s="13">
        <v>18</v>
      </c>
      <c r="E883" s="14">
        <v>450</v>
      </c>
      <c r="F883" s="15">
        <v>0</v>
      </c>
      <c r="G883" s="15">
        <v>0</v>
      </c>
      <c r="H883" s="15">
        <v>0</v>
      </c>
      <c r="I883" s="15">
        <v>0</v>
      </c>
      <c r="J883" s="15">
        <v>0</v>
      </c>
      <c r="K883" s="15">
        <v>0</v>
      </c>
      <c r="L883" s="15">
        <v>0</v>
      </c>
      <c r="M883" s="15">
        <v>0</v>
      </c>
      <c r="N883" s="15">
        <v>0</v>
      </c>
      <c r="O883" s="15">
        <v>0</v>
      </c>
    </row>
    <row r="884" spans="1:15">
      <c r="A884" s="11" t="s">
        <v>1200</v>
      </c>
      <c r="B884" s="12" t="s">
        <v>1181</v>
      </c>
      <c r="C884" s="13" t="s">
        <v>317</v>
      </c>
      <c r="D884" s="13">
        <v>19</v>
      </c>
      <c r="E884" s="14">
        <v>450</v>
      </c>
      <c r="F884" s="15">
        <v>0</v>
      </c>
      <c r="G884" s="15">
        <v>0</v>
      </c>
      <c r="H884" s="15">
        <v>0</v>
      </c>
      <c r="I884" s="15">
        <v>0</v>
      </c>
      <c r="J884" s="15">
        <v>0</v>
      </c>
      <c r="K884" s="15">
        <v>0</v>
      </c>
      <c r="L884" s="15">
        <v>0</v>
      </c>
      <c r="M884" s="15">
        <v>0</v>
      </c>
      <c r="N884" s="15">
        <v>0</v>
      </c>
      <c r="O884" s="15">
        <v>0</v>
      </c>
    </row>
    <row r="885" spans="1:15">
      <c r="A885" s="11" t="s">
        <v>1201</v>
      </c>
      <c r="B885" s="12" t="s">
        <v>1181</v>
      </c>
      <c r="C885" s="13" t="s">
        <v>317</v>
      </c>
      <c r="D885" s="13">
        <v>20</v>
      </c>
      <c r="E885" s="14">
        <v>450</v>
      </c>
      <c r="F885" s="15">
        <v>0</v>
      </c>
      <c r="G885" s="15">
        <v>0</v>
      </c>
      <c r="H885" s="15">
        <v>0</v>
      </c>
      <c r="I885" s="15">
        <v>0</v>
      </c>
      <c r="J885" s="15">
        <v>0</v>
      </c>
      <c r="K885" s="15">
        <v>0</v>
      </c>
      <c r="L885" s="15">
        <v>0</v>
      </c>
      <c r="M885" s="15">
        <v>0</v>
      </c>
      <c r="N885" s="15">
        <v>0</v>
      </c>
      <c r="O885" s="15">
        <v>0</v>
      </c>
    </row>
    <row r="886" spans="1:15">
      <c r="A886" s="11" t="s">
        <v>1202</v>
      </c>
      <c r="B886" s="12" t="s">
        <v>1181</v>
      </c>
      <c r="C886" s="13" t="s">
        <v>317</v>
      </c>
      <c r="D886" s="13">
        <v>21</v>
      </c>
      <c r="E886" s="14">
        <v>450</v>
      </c>
      <c r="F886" s="15">
        <v>0</v>
      </c>
      <c r="G886" s="15">
        <v>0</v>
      </c>
      <c r="H886" s="15">
        <v>0</v>
      </c>
      <c r="I886" s="15">
        <v>0</v>
      </c>
      <c r="J886" s="15">
        <v>0</v>
      </c>
      <c r="K886" s="15">
        <v>0</v>
      </c>
      <c r="L886" s="15">
        <v>0</v>
      </c>
      <c r="M886" s="15">
        <v>0</v>
      </c>
      <c r="N886" s="15">
        <v>0</v>
      </c>
      <c r="O886" s="15">
        <v>0</v>
      </c>
    </row>
    <row r="887" spans="1:15">
      <c r="A887" s="11" t="s">
        <v>1203</v>
      </c>
      <c r="B887" s="12" t="s">
        <v>1181</v>
      </c>
      <c r="C887" s="13" t="s">
        <v>317</v>
      </c>
      <c r="D887" s="13">
        <v>22</v>
      </c>
      <c r="E887" s="14">
        <v>450</v>
      </c>
      <c r="F887" s="15">
        <v>0</v>
      </c>
      <c r="G887" s="15">
        <v>0</v>
      </c>
      <c r="H887" s="15">
        <v>0</v>
      </c>
      <c r="I887" s="15">
        <v>0</v>
      </c>
      <c r="J887" s="15">
        <v>0</v>
      </c>
      <c r="K887" s="15">
        <v>0</v>
      </c>
      <c r="L887" s="15">
        <v>0</v>
      </c>
      <c r="M887" s="15">
        <v>0</v>
      </c>
      <c r="N887" s="15">
        <v>0</v>
      </c>
      <c r="O887" s="15">
        <v>0</v>
      </c>
    </row>
    <row r="888" spans="1:15">
      <c r="A888" s="11" t="s">
        <v>1204</v>
      </c>
      <c r="B888" s="12" t="s">
        <v>1181</v>
      </c>
      <c r="C888" s="13" t="s">
        <v>317</v>
      </c>
      <c r="D888" s="13">
        <v>23</v>
      </c>
      <c r="E888" s="14">
        <v>450</v>
      </c>
      <c r="F888" s="15">
        <v>0</v>
      </c>
      <c r="G888" s="15">
        <v>0</v>
      </c>
      <c r="H888" s="15">
        <v>0</v>
      </c>
      <c r="I888" s="15">
        <v>0</v>
      </c>
      <c r="J888" s="15">
        <v>0</v>
      </c>
      <c r="K888" s="15">
        <v>0</v>
      </c>
      <c r="L888" s="15">
        <v>0</v>
      </c>
      <c r="M888" s="15">
        <v>0</v>
      </c>
      <c r="N888" s="15">
        <v>0</v>
      </c>
      <c r="O888" s="15">
        <v>0</v>
      </c>
    </row>
    <row r="889" spans="1:15">
      <c r="A889" s="11" t="s">
        <v>1205</v>
      </c>
      <c r="B889" s="12" t="s">
        <v>1181</v>
      </c>
      <c r="C889" s="13" t="s">
        <v>317</v>
      </c>
      <c r="D889" s="13">
        <v>24</v>
      </c>
      <c r="E889" s="14">
        <v>450</v>
      </c>
      <c r="F889" s="15">
        <v>0</v>
      </c>
      <c r="G889" s="15">
        <v>0</v>
      </c>
      <c r="H889" s="15">
        <v>0</v>
      </c>
      <c r="I889" s="15">
        <v>0</v>
      </c>
      <c r="J889" s="15">
        <v>0</v>
      </c>
      <c r="K889" s="15">
        <v>0</v>
      </c>
      <c r="L889" s="15">
        <v>0</v>
      </c>
      <c r="M889" s="15">
        <v>0</v>
      </c>
      <c r="N889" s="15">
        <v>0</v>
      </c>
      <c r="O889" s="15">
        <v>0</v>
      </c>
    </row>
    <row r="890" spans="1:15">
      <c r="A890" s="11" t="s">
        <v>1206</v>
      </c>
      <c r="B890" s="12" t="s">
        <v>1181</v>
      </c>
      <c r="C890" s="13" t="s">
        <v>317</v>
      </c>
      <c r="D890" s="13">
        <v>25</v>
      </c>
      <c r="E890" s="14">
        <v>450</v>
      </c>
      <c r="F890" s="15">
        <v>0</v>
      </c>
      <c r="G890" s="15">
        <v>0</v>
      </c>
      <c r="H890" s="15">
        <v>0</v>
      </c>
      <c r="I890" s="15">
        <v>0</v>
      </c>
      <c r="J890" s="15">
        <v>0</v>
      </c>
      <c r="K890" s="15">
        <v>0</v>
      </c>
      <c r="L890" s="15">
        <v>0</v>
      </c>
      <c r="M890" s="15">
        <v>0</v>
      </c>
      <c r="N890" s="15">
        <v>0</v>
      </c>
      <c r="O890" s="15">
        <v>0</v>
      </c>
    </row>
    <row r="891" spans="1:15">
      <c r="A891" s="11" t="s">
        <v>1207</v>
      </c>
      <c r="B891" s="12" t="s">
        <v>1181</v>
      </c>
      <c r="C891" s="13" t="s">
        <v>317</v>
      </c>
      <c r="D891" s="13">
        <v>26</v>
      </c>
      <c r="E891" s="14">
        <v>450</v>
      </c>
      <c r="F891" s="15">
        <v>0</v>
      </c>
      <c r="G891" s="15">
        <v>0</v>
      </c>
      <c r="H891" s="15">
        <v>0</v>
      </c>
      <c r="I891" s="15">
        <v>0</v>
      </c>
      <c r="J891" s="15">
        <v>0</v>
      </c>
      <c r="K891" s="15">
        <v>0</v>
      </c>
      <c r="L891" s="15">
        <v>0</v>
      </c>
      <c r="M891" s="15">
        <v>0</v>
      </c>
      <c r="N891" s="15">
        <v>0</v>
      </c>
      <c r="O891" s="15">
        <v>0</v>
      </c>
    </row>
    <row r="892" spans="1:15">
      <c r="A892" s="11" t="s">
        <v>1208</v>
      </c>
      <c r="B892" s="12" t="s">
        <v>1181</v>
      </c>
      <c r="C892" s="13" t="s">
        <v>317</v>
      </c>
      <c r="D892" s="13">
        <v>27</v>
      </c>
      <c r="E892" s="14">
        <v>450</v>
      </c>
      <c r="F892" s="15">
        <v>0</v>
      </c>
      <c r="G892" s="15">
        <v>0</v>
      </c>
      <c r="H892" s="15">
        <v>0</v>
      </c>
      <c r="I892" s="15">
        <v>0</v>
      </c>
      <c r="J892" s="15">
        <v>0</v>
      </c>
      <c r="K892" s="15">
        <v>0</v>
      </c>
      <c r="L892" s="15">
        <v>0</v>
      </c>
      <c r="M892" s="15">
        <v>0</v>
      </c>
      <c r="N892" s="15">
        <v>0</v>
      </c>
      <c r="O892" s="15">
        <v>0</v>
      </c>
    </row>
    <row r="893" spans="1:15">
      <c r="A893" s="11" t="s">
        <v>1209</v>
      </c>
      <c r="B893" s="12" t="s">
        <v>1181</v>
      </c>
      <c r="C893" s="13" t="s">
        <v>317</v>
      </c>
      <c r="D893" s="13">
        <v>28</v>
      </c>
      <c r="E893" s="14">
        <v>450</v>
      </c>
      <c r="F893" s="15">
        <v>0</v>
      </c>
      <c r="G893" s="15">
        <v>0</v>
      </c>
      <c r="H893" s="15">
        <v>0</v>
      </c>
      <c r="I893" s="15">
        <v>0</v>
      </c>
      <c r="J893" s="15">
        <v>0</v>
      </c>
      <c r="K893" s="15">
        <v>0</v>
      </c>
      <c r="L893" s="15">
        <v>0</v>
      </c>
      <c r="M893" s="15">
        <v>0</v>
      </c>
      <c r="N893" s="15">
        <v>0</v>
      </c>
      <c r="O893" s="15">
        <v>0</v>
      </c>
    </row>
    <row r="894" spans="1:15">
      <c r="A894" s="11" t="s">
        <v>1210</v>
      </c>
      <c r="B894" s="12" t="s">
        <v>1181</v>
      </c>
      <c r="C894" s="13" t="s">
        <v>317</v>
      </c>
      <c r="D894" s="13">
        <v>29</v>
      </c>
      <c r="E894" s="14">
        <v>450</v>
      </c>
      <c r="F894" s="15">
        <v>0</v>
      </c>
      <c r="G894" s="15">
        <v>0</v>
      </c>
      <c r="H894" s="15">
        <v>0</v>
      </c>
      <c r="I894" s="15">
        <v>0</v>
      </c>
      <c r="J894" s="15">
        <v>0</v>
      </c>
      <c r="K894" s="15">
        <v>0</v>
      </c>
      <c r="L894" s="15">
        <v>0</v>
      </c>
      <c r="M894" s="15">
        <v>0</v>
      </c>
      <c r="N894" s="15">
        <v>0</v>
      </c>
      <c r="O894" s="15">
        <v>0</v>
      </c>
    </row>
    <row r="895" spans="1:15">
      <c r="A895" s="11" t="s">
        <v>1211</v>
      </c>
      <c r="B895" s="12" t="s">
        <v>1181</v>
      </c>
      <c r="C895" s="13" t="s">
        <v>317</v>
      </c>
      <c r="D895" s="13">
        <v>30</v>
      </c>
      <c r="E895" s="14">
        <v>450</v>
      </c>
      <c r="F895" s="15">
        <v>0</v>
      </c>
      <c r="G895" s="15">
        <v>0</v>
      </c>
      <c r="H895" s="15">
        <v>0</v>
      </c>
      <c r="I895" s="15">
        <v>0</v>
      </c>
      <c r="J895" s="15">
        <v>0</v>
      </c>
      <c r="K895" s="15">
        <v>0</v>
      </c>
      <c r="L895" s="15">
        <v>0</v>
      </c>
      <c r="M895" s="15">
        <v>0</v>
      </c>
      <c r="N895" s="15">
        <v>0</v>
      </c>
      <c r="O895" s="15">
        <v>0</v>
      </c>
    </row>
    <row r="896" spans="1:15">
      <c r="A896" s="11" t="s">
        <v>1212</v>
      </c>
      <c r="B896" s="12" t="s">
        <v>1181</v>
      </c>
      <c r="C896" s="13" t="s">
        <v>317</v>
      </c>
      <c r="D896" s="13">
        <v>31</v>
      </c>
      <c r="E896" s="14">
        <v>450</v>
      </c>
      <c r="F896" s="15">
        <v>0</v>
      </c>
      <c r="G896" s="15">
        <v>0</v>
      </c>
      <c r="H896" s="15">
        <v>0</v>
      </c>
      <c r="I896" s="15">
        <v>0</v>
      </c>
      <c r="J896" s="15">
        <v>0</v>
      </c>
      <c r="K896" s="15">
        <v>0</v>
      </c>
      <c r="L896" s="15">
        <v>0</v>
      </c>
      <c r="M896" s="15">
        <v>0</v>
      </c>
      <c r="N896" s="15">
        <v>0</v>
      </c>
      <c r="O896" s="15">
        <v>0</v>
      </c>
    </row>
    <row r="897" spans="1:15">
      <c r="A897" s="11" t="s">
        <v>1213</v>
      </c>
      <c r="B897" s="12" t="s">
        <v>1181</v>
      </c>
      <c r="C897" s="13" t="s">
        <v>317</v>
      </c>
      <c r="D897" s="13">
        <v>32</v>
      </c>
      <c r="E897" s="14">
        <v>450</v>
      </c>
      <c r="F897" s="15">
        <v>0</v>
      </c>
      <c r="G897" s="15">
        <v>0</v>
      </c>
      <c r="H897" s="15">
        <v>0</v>
      </c>
      <c r="I897" s="15">
        <v>0</v>
      </c>
      <c r="J897" s="15">
        <v>0</v>
      </c>
      <c r="K897" s="15">
        <v>0</v>
      </c>
      <c r="L897" s="15">
        <v>0</v>
      </c>
      <c r="M897" s="15">
        <v>0</v>
      </c>
      <c r="N897" s="15">
        <v>0</v>
      </c>
      <c r="O897" s="15">
        <v>0</v>
      </c>
    </row>
    <row r="898" spans="1:15">
      <c r="A898" s="11" t="s">
        <v>1214</v>
      </c>
      <c r="B898" s="12" t="s">
        <v>1181</v>
      </c>
      <c r="C898" s="13" t="s">
        <v>317</v>
      </c>
      <c r="D898" s="13">
        <v>33</v>
      </c>
      <c r="E898" s="14">
        <v>450</v>
      </c>
      <c r="F898" s="15">
        <v>0</v>
      </c>
      <c r="G898" s="15">
        <v>0</v>
      </c>
      <c r="H898" s="15">
        <v>0</v>
      </c>
      <c r="I898" s="15">
        <v>0</v>
      </c>
      <c r="J898" s="15">
        <v>0</v>
      </c>
      <c r="K898" s="15">
        <v>0</v>
      </c>
      <c r="L898" s="15">
        <v>0</v>
      </c>
      <c r="M898" s="15">
        <v>0</v>
      </c>
      <c r="N898" s="15">
        <v>0</v>
      </c>
      <c r="O898" s="15">
        <v>0</v>
      </c>
    </row>
    <row r="899" spans="1:15">
      <c r="A899" s="11" t="s">
        <v>1215</v>
      </c>
      <c r="B899" s="12" t="s">
        <v>1181</v>
      </c>
      <c r="C899" s="13" t="s">
        <v>317</v>
      </c>
      <c r="D899" s="13">
        <v>34</v>
      </c>
      <c r="E899" s="14">
        <v>450</v>
      </c>
      <c r="F899" s="15">
        <v>0</v>
      </c>
      <c r="G899" s="15">
        <v>0</v>
      </c>
      <c r="H899" s="15">
        <v>0</v>
      </c>
      <c r="I899" s="15">
        <v>0</v>
      </c>
      <c r="J899" s="15">
        <v>0</v>
      </c>
      <c r="K899" s="15">
        <v>0</v>
      </c>
      <c r="L899" s="15">
        <v>0</v>
      </c>
      <c r="M899" s="15">
        <v>0</v>
      </c>
      <c r="N899" s="15">
        <v>0</v>
      </c>
      <c r="O899" s="15">
        <v>0</v>
      </c>
    </row>
    <row r="900" spans="1:15">
      <c r="A900" s="11" t="s">
        <v>1216</v>
      </c>
      <c r="B900" s="12" t="s">
        <v>1181</v>
      </c>
      <c r="C900" s="13" t="s">
        <v>317</v>
      </c>
      <c r="D900" s="13">
        <v>35</v>
      </c>
      <c r="E900" s="14">
        <v>450</v>
      </c>
      <c r="F900" s="15">
        <v>0</v>
      </c>
      <c r="G900" s="15">
        <v>0</v>
      </c>
      <c r="H900" s="15">
        <v>0</v>
      </c>
      <c r="I900" s="15">
        <v>0</v>
      </c>
      <c r="J900" s="15">
        <v>0</v>
      </c>
      <c r="K900" s="15">
        <v>0</v>
      </c>
      <c r="L900" s="15">
        <v>0</v>
      </c>
      <c r="M900" s="15">
        <v>0</v>
      </c>
      <c r="N900" s="15">
        <v>0</v>
      </c>
      <c r="O900" s="15">
        <v>0</v>
      </c>
    </row>
    <row r="901" spans="1:15">
      <c r="A901" s="11" t="s">
        <v>1217</v>
      </c>
      <c r="B901" s="12" t="s">
        <v>1181</v>
      </c>
      <c r="C901" s="13" t="s">
        <v>317</v>
      </c>
      <c r="D901" s="13">
        <v>36</v>
      </c>
      <c r="E901" s="14">
        <v>450</v>
      </c>
      <c r="F901" s="15">
        <v>0</v>
      </c>
      <c r="G901" s="15">
        <v>0</v>
      </c>
      <c r="H901" s="15">
        <v>0</v>
      </c>
      <c r="I901" s="15">
        <v>0</v>
      </c>
      <c r="J901" s="15">
        <v>0</v>
      </c>
      <c r="K901" s="15">
        <v>0</v>
      </c>
      <c r="L901" s="15">
        <v>0</v>
      </c>
      <c r="M901" s="15">
        <v>0</v>
      </c>
      <c r="N901" s="15">
        <v>0</v>
      </c>
      <c r="O901" s="15">
        <v>0</v>
      </c>
    </row>
    <row r="902" spans="1:15">
      <c r="A902" s="11" t="s">
        <v>1218</v>
      </c>
      <c r="B902" s="12" t="s">
        <v>1181</v>
      </c>
      <c r="C902" s="13" t="s">
        <v>317</v>
      </c>
      <c r="D902" s="13">
        <v>37</v>
      </c>
      <c r="E902" s="14">
        <v>450</v>
      </c>
      <c r="F902" s="15">
        <v>0</v>
      </c>
      <c r="G902" s="15">
        <v>0</v>
      </c>
      <c r="H902" s="15">
        <v>0</v>
      </c>
      <c r="I902" s="15">
        <v>0</v>
      </c>
      <c r="J902" s="15">
        <v>0</v>
      </c>
      <c r="K902" s="15">
        <v>0</v>
      </c>
      <c r="L902" s="15">
        <v>0</v>
      </c>
      <c r="M902" s="15">
        <v>0</v>
      </c>
      <c r="N902" s="15">
        <v>0</v>
      </c>
      <c r="O902" s="15">
        <v>0</v>
      </c>
    </row>
    <row r="903" spans="1:15">
      <c r="A903" s="11" t="s">
        <v>1219</v>
      </c>
      <c r="B903" s="12" t="s">
        <v>1181</v>
      </c>
      <c r="C903" s="13" t="s">
        <v>317</v>
      </c>
      <c r="D903" s="13">
        <v>38</v>
      </c>
      <c r="E903" s="14">
        <v>450</v>
      </c>
      <c r="F903" s="15">
        <v>0</v>
      </c>
      <c r="G903" s="15">
        <v>0</v>
      </c>
      <c r="H903" s="15">
        <v>0</v>
      </c>
      <c r="I903" s="15">
        <v>0</v>
      </c>
      <c r="J903" s="15">
        <v>0</v>
      </c>
      <c r="K903" s="15">
        <v>0</v>
      </c>
      <c r="L903" s="15">
        <v>0</v>
      </c>
      <c r="M903" s="15">
        <v>0</v>
      </c>
      <c r="N903" s="15">
        <v>0</v>
      </c>
      <c r="O903" s="15">
        <v>0</v>
      </c>
    </row>
    <row r="904" spans="1:15">
      <c r="A904" s="11" t="s">
        <v>1220</v>
      </c>
      <c r="B904" s="12" t="s">
        <v>1181</v>
      </c>
      <c r="C904" s="13" t="s">
        <v>317</v>
      </c>
      <c r="D904" s="13">
        <v>39</v>
      </c>
      <c r="E904" s="14">
        <v>450</v>
      </c>
      <c r="F904" s="15">
        <v>0</v>
      </c>
      <c r="G904" s="15">
        <v>0</v>
      </c>
      <c r="H904" s="15">
        <v>0</v>
      </c>
      <c r="I904" s="15">
        <v>0</v>
      </c>
      <c r="J904" s="15">
        <v>0</v>
      </c>
      <c r="K904" s="15">
        <v>0</v>
      </c>
      <c r="L904" s="15">
        <v>0</v>
      </c>
      <c r="M904" s="15">
        <v>0</v>
      </c>
      <c r="N904" s="15">
        <v>0</v>
      </c>
      <c r="O904" s="15">
        <v>0</v>
      </c>
    </row>
    <row r="905" spans="1:15">
      <c r="A905" s="11" t="s">
        <v>1221</v>
      </c>
      <c r="B905" s="12" t="s">
        <v>1181</v>
      </c>
      <c r="C905" s="13" t="s">
        <v>317</v>
      </c>
      <c r="D905" s="13">
        <v>40</v>
      </c>
      <c r="E905" s="14">
        <v>450</v>
      </c>
      <c r="F905" s="15">
        <v>0</v>
      </c>
      <c r="G905" s="15">
        <v>0</v>
      </c>
      <c r="H905" s="15">
        <v>0</v>
      </c>
      <c r="I905" s="15">
        <v>0</v>
      </c>
      <c r="J905" s="15">
        <v>0</v>
      </c>
      <c r="K905" s="15">
        <v>0</v>
      </c>
      <c r="L905" s="15">
        <v>0</v>
      </c>
      <c r="M905" s="15">
        <v>0</v>
      </c>
      <c r="N905" s="15">
        <v>0</v>
      </c>
      <c r="O905" s="15">
        <v>0</v>
      </c>
    </row>
    <row r="906" spans="1:15">
      <c r="A906" s="11" t="s">
        <v>1222</v>
      </c>
      <c r="B906" s="12" t="s">
        <v>1181</v>
      </c>
      <c r="C906" s="13" t="s">
        <v>317</v>
      </c>
      <c r="D906" s="13">
        <v>41</v>
      </c>
      <c r="E906" s="14">
        <v>450</v>
      </c>
      <c r="F906" s="15">
        <v>0</v>
      </c>
      <c r="G906" s="15">
        <v>0</v>
      </c>
      <c r="H906" s="15">
        <v>0</v>
      </c>
      <c r="I906" s="15">
        <v>0</v>
      </c>
      <c r="J906" s="15">
        <v>0</v>
      </c>
      <c r="K906" s="15">
        <v>0</v>
      </c>
      <c r="L906" s="15">
        <v>0</v>
      </c>
      <c r="M906" s="15">
        <v>0</v>
      </c>
      <c r="N906" s="15">
        <v>0</v>
      </c>
      <c r="O906" s="15">
        <v>0</v>
      </c>
    </row>
    <row r="907" spans="1:15">
      <c r="A907" s="11" t="s">
        <v>1223</v>
      </c>
      <c r="B907" s="12" t="s">
        <v>1181</v>
      </c>
      <c r="C907" s="13" t="s">
        <v>317</v>
      </c>
      <c r="D907" s="13">
        <v>42</v>
      </c>
      <c r="E907" s="14">
        <v>450</v>
      </c>
      <c r="F907" s="15">
        <v>0</v>
      </c>
      <c r="G907" s="15">
        <v>0</v>
      </c>
      <c r="H907" s="15">
        <v>0</v>
      </c>
      <c r="I907" s="15">
        <v>0</v>
      </c>
      <c r="J907" s="15">
        <v>0</v>
      </c>
      <c r="K907" s="15">
        <v>0</v>
      </c>
      <c r="L907" s="15">
        <v>0</v>
      </c>
      <c r="M907" s="15">
        <v>0</v>
      </c>
      <c r="N907" s="15">
        <v>0</v>
      </c>
      <c r="O907" s="15">
        <v>0</v>
      </c>
    </row>
    <row r="908" spans="1:15">
      <c r="A908" s="11" t="s">
        <v>1224</v>
      </c>
      <c r="B908" s="12" t="s">
        <v>1181</v>
      </c>
      <c r="C908" s="13" t="s">
        <v>317</v>
      </c>
      <c r="D908" s="13">
        <v>43</v>
      </c>
      <c r="E908" s="14">
        <v>450</v>
      </c>
      <c r="F908" s="15">
        <v>0</v>
      </c>
      <c r="G908" s="15">
        <v>0</v>
      </c>
      <c r="H908" s="15">
        <v>0</v>
      </c>
      <c r="I908" s="15">
        <v>0</v>
      </c>
      <c r="J908" s="15">
        <v>0</v>
      </c>
      <c r="K908" s="15">
        <v>0</v>
      </c>
      <c r="L908" s="15">
        <v>0</v>
      </c>
      <c r="M908" s="15">
        <v>0</v>
      </c>
      <c r="N908" s="15">
        <v>0</v>
      </c>
      <c r="O908" s="15">
        <v>0</v>
      </c>
    </row>
    <row r="909" spans="1:15">
      <c r="A909" s="11" t="s">
        <v>1225</v>
      </c>
      <c r="B909" s="12" t="s">
        <v>1181</v>
      </c>
      <c r="C909" s="13" t="s">
        <v>317</v>
      </c>
      <c r="D909" s="13">
        <v>44</v>
      </c>
      <c r="E909" s="14">
        <v>450</v>
      </c>
      <c r="F909" s="15">
        <v>0</v>
      </c>
      <c r="G909" s="15">
        <v>0</v>
      </c>
      <c r="H909" s="15">
        <v>0</v>
      </c>
      <c r="I909" s="15">
        <v>0</v>
      </c>
      <c r="J909" s="15">
        <v>0</v>
      </c>
      <c r="K909" s="15">
        <v>0</v>
      </c>
      <c r="L909" s="15">
        <v>0</v>
      </c>
      <c r="M909" s="15">
        <v>0</v>
      </c>
      <c r="N909" s="15">
        <v>0</v>
      </c>
      <c r="O909" s="15">
        <v>0</v>
      </c>
    </row>
    <row r="910" spans="1:15">
      <c r="A910" s="11" t="s">
        <v>1226</v>
      </c>
      <c r="B910" s="12" t="s">
        <v>1181</v>
      </c>
      <c r="C910" s="13" t="s">
        <v>317</v>
      </c>
      <c r="D910" s="13">
        <v>45</v>
      </c>
      <c r="E910" s="14">
        <v>450</v>
      </c>
      <c r="F910" s="15">
        <v>0</v>
      </c>
      <c r="G910" s="15">
        <v>0</v>
      </c>
      <c r="H910" s="15">
        <v>0</v>
      </c>
      <c r="I910" s="15">
        <v>0</v>
      </c>
      <c r="J910" s="15">
        <v>0</v>
      </c>
      <c r="K910" s="15">
        <v>0</v>
      </c>
      <c r="L910" s="15">
        <v>0</v>
      </c>
      <c r="M910" s="15">
        <v>0</v>
      </c>
      <c r="N910" s="15">
        <v>0</v>
      </c>
      <c r="O910" s="15">
        <v>0</v>
      </c>
    </row>
    <row r="911" spans="1:15">
      <c r="A911" s="11" t="s">
        <v>1227</v>
      </c>
      <c r="B911" s="12" t="s">
        <v>1181</v>
      </c>
      <c r="C911" s="13" t="s">
        <v>317</v>
      </c>
      <c r="D911" s="13">
        <v>46</v>
      </c>
      <c r="E911" s="14">
        <v>450</v>
      </c>
      <c r="F911" s="15">
        <v>0</v>
      </c>
      <c r="G911" s="15">
        <v>0</v>
      </c>
      <c r="H911" s="15">
        <v>0</v>
      </c>
      <c r="I911" s="15">
        <v>0</v>
      </c>
      <c r="J911" s="15">
        <v>0</v>
      </c>
      <c r="K911" s="15">
        <v>0</v>
      </c>
      <c r="L911" s="15">
        <v>0</v>
      </c>
      <c r="M911" s="15">
        <v>0</v>
      </c>
      <c r="N911" s="15">
        <v>0</v>
      </c>
      <c r="O911" s="15">
        <v>0</v>
      </c>
    </row>
    <row r="912" spans="1:15">
      <c r="A912" s="11" t="s">
        <v>1228</v>
      </c>
      <c r="B912" s="12" t="s">
        <v>1181</v>
      </c>
      <c r="C912" s="13" t="s">
        <v>317</v>
      </c>
      <c r="D912" s="13">
        <v>47</v>
      </c>
      <c r="E912" s="14">
        <v>450</v>
      </c>
      <c r="F912" s="15">
        <v>0</v>
      </c>
      <c r="G912" s="15">
        <v>0</v>
      </c>
      <c r="H912" s="15">
        <v>0</v>
      </c>
      <c r="I912" s="15">
        <v>0</v>
      </c>
      <c r="J912" s="15">
        <v>0</v>
      </c>
      <c r="K912" s="15">
        <v>0</v>
      </c>
      <c r="L912" s="15">
        <v>0</v>
      </c>
      <c r="M912" s="15">
        <v>0</v>
      </c>
      <c r="N912" s="15">
        <v>0</v>
      </c>
      <c r="O912" s="15">
        <v>0</v>
      </c>
    </row>
    <row r="913" spans="1:15">
      <c r="A913" s="11" t="s">
        <v>1229</v>
      </c>
      <c r="B913" s="12" t="s">
        <v>1181</v>
      </c>
      <c r="C913" s="13" t="s">
        <v>317</v>
      </c>
      <c r="D913" s="13">
        <v>48</v>
      </c>
      <c r="E913" s="14">
        <v>450</v>
      </c>
      <c r="F913" s="15">
        <v>0</v>
      </c>
      <c r="G913" s="15">
        <v>0</v>
      </c>
      <c r="H913" s="15">
        <v>0</v>
      </c>
      <c r="I913" s="15">
        <v>0</v>
      </c>
      <c r="J913" s="15">
        <v>0</v>
      </c>
      <c r="K913" s="15">
        <v>0</v>
      </c>
      <c r="L913" s="15">
        <v>0</v>
      </c>
      <c r="M913" s="15">
        <v>0</v>
      </c>
      <c r="N913" s="15">
        <v>0</v>
      </c>
      <c r="O913" s="15">
        <v>0</v>
      </c>
    </row>
    <row r="914" spans="1:15">
      <c r="A914" s="11" t="s">
        <v>1230</v>
      </c>
      <c r="B914" s="12" t="s">
        <v>1181</v>
      </c>
      <c r="C914" s="13" t="s">
        <v>317</v>
      </c>
      <c r="D914" s="13">
        <v>49</v>
      </c>
      <c r="E914" s="14">
        <v>450</v>
      </c>
      <c r="F914" s="15">
        <v>0</v>
      </c>
      <c r="G914" s="15">
        <v>0</v>
      </c>
      <c r="H914" s="15">
        <v>0</v>
      </c>
      <c r="I914" s="15">
        <v>0</v>
      </c>
      <c r="J914" s="15">
        <v>0</v>
      </c>
      <c r="K914" s="15">
        <v>0</v>
      </c>
      <c r="L914" s="15">
        <v>0</v>
      </c>
      <c r="M914" s="15">
        <v>0</v>
      </c>
      <c r="N914" s="15">
        <v>0</v>
      </c>
      <c r="O914" s="15">
        <v>0</v>
      </c>
    </row>
    <row r="915" spans="1:15">
      <c r="A915" s="11" t="s">
        <v>1231</v>
      </c>
      <c r="B915" s="12" t="s">
        <v>1181</v>
      </c>
      <c r="C915" s="13" t="s">
        <v>317</v>
      </c>
      <c r="D915" s="13">
        <v>50</v>
      </c>
      <c r="E915" s="14">
        <v>450</v>
      </c>
      <c r="F915" s="15">
        <v>0</v>
      </c>
      <c r="G915" s="15">
        <v>0</v>
      </c>
      <c r="H915" s="15">
        <v>0</v>
      </c>
      <c r="I915" s="15">
        <v>0</v>
      </c>
      <c r="J915" s="15">
        <v>0</v>
      </c>
      <c r="K915" s="15">
        <v>0</v>
      </c>
      <c r="L915" s="15">
        <v>0</v>
      </c>
      <c r="M915" s="15">
        <v>0</v>
      </c>
      <c r="N915" s="15">
        <v>0</v>
      </c>
      <c r="O915" s="15">
        <v>0</v>
      </c>
    </row>
    <row r="916" spans="1:15">
      <c r="A916" s="11" t="s">
        <v>1232</v>
      </c>
      <c r="B916" s="12" t="s">
        <v>1181</v>
      </c>
      <c r="C916" s="13" t="s">
        <v>317</v>
      </c>
      <c r="D916" s="13">
        <v>51</v>
      </c>
      <c r="E916" s="14">
        <v>450</v>
      </c>
      <c r="F916" s="15">
        <v>0</v>
      </c>
      <c r="G916" s="15">
        <v>0</v>
      </c>
      <c r="H916" s="15">
        <v>0</v>
      </c>
      <c r="I916" s="15">
        <v>0</v>
      </c>
      <c r="J916" s="15">
        <v>0</v>
      </c>
      <c r="K916" s="15">
        <v>0</v>
      </c>
      <c r="L916" s="15">
        <v>0</v>
      </c>
      <c r="M916" s="15">
        <v>0</v>
      </c>
      <c r="N916" s="15">
        <v>0</v>
      </c>
      <c r="O916" s="15">
        <v>0</v>
      </c>
    </row>
    <row r="917" spans="1:15">
      <c r="A917" s="11" t="s">
        <v>1233</v>
      </c>
      <c r="B917" s="12" t="s">
        <v>1181</v>
      </c>
      <c r="C917" s="13" t="s">
        <v>317</v>
      </c>
      <c r="D917" s="13">
        <v>52</v>
      </c>
      <c r="E917" s="14">
        <v>450</v>
      </c>
      <c r="F917" s="15">
        <v>0</v>
      </c>
      <c r="G917" s="15">
        <v>0</v>
      </c>
      <c r="H917" s="15">
        <v>0</v>
      </c>
      <c r="I917" s="15">
        <v>0</v>
      </c>
      <c r="J917" s="15">
        <v>0</v>
      </c>
      <c r="K917" s="15">
        <v>0</v>
      </c>
      <c r="L917" s="15">
        <v>0</v>
      </c>
      <c r="M917" s="15">
        <v>0</v>
      </c>
      <c r="N917" s="15">
        <v>0</v>
      </c>
      <c r="O917" s="15">
        <v>0</v>
      </c>
    </row>
    <row r="918" spans="1:15">
      <c r="A918" s="11" t="s">
        <v>1234</v>
      </c>
      <c r="B918" s="12" t="s">
        <v>1181</v>
      </c>
      <c r="C918" s="13" t="s">
        <v>317</v>
      </c>
      <c r="D918" s="13">
        <v>53</v>
      </c>
      <c r="E918" s="14">
        <v>450</v>
      </c>
      <c r="F918" s="15">
        <v>0</v>
      </c>
      <c r="G918" s="15">
        <v>0</v>
      </c>
      <c r="H918" s="15">
        <v>0</v>
      </c>
      <c r="I918" s="15">
        <v>0</v>
      </c>
      <c r="J918" s="15">
        <v>0</v>
      </c>
      <c r="K918" s="15">
        <v>0</v>
      </c>
      <c r="L918" s="15">
        <v>0</v>
      </c>
      <c r="M918" s="15">
        <v>0</v>
      </c>
      <c r="N918" s="15">
        <v>0</v>
      </c>
      <c r="O918" s="15">
        <v>0</v>
      </c>
    </row>
    <row r="919" spans="1:15">
      <c r="A919" s="11" t="s">
        <v>1235</v>
      </c>
      <c r="B919" s="12" t="s">
        <v>1181</v>
      </c>
      <c r="C919" s="13" t="s">
        <v>317</v>
      </c>
      <c r="D919" s="13">
        <v>54</v>
      </c>
      <c r="E919" s="14">
        <v>450</v>
      </c>
      <c r="F919" s="15">
        <v>0</v>
      </c>
      <c r="G919" s="15">
        <v>0</v>
      </c>
      <c r="H919" s="15">
        <v>0</v>
      </c>
      <c r="I919" s="15">
        <v>0</v>
      </c>
      <c r="J919" s="15">
        <v>0</v>
      </c>
      <c r="K919" s="15">
        <v>0</v>
      </c>
      <c r="L919" s="15">
        <v>0</v>
      </c>
      <c r="M919" s="15">
        <v>0</v>
      </c>
      <c r="N919" s="15">
        <v>0</v>
      </c>
      <c r="O919" s="15">
        <v>0</v>
      </c>
    </row>
    <row r="920" spans="1:15">
      <c r="A920" s="11" t="s">
        <v>1236</v>
      </c>
      <c r="B920" s="12" t="s">
        <v>1181</v>
      </c>
      <c r="C920" s="13" t="s">
        <v>317</v>
      </c>
      <c r="D920" s="13">
        <v>55</v>
      </c>
      <c r="E920" s="14">
        <v>450</v>
      </c>
      <c r="F920" s="15">
        <v>0</v>
      </c>
      <c r="G920" s="15">
        <v>0</v>
      </c>
      <c r="H920" s="15">
        <v>0</v>
      </c>
      <c r="I920" s="15">
        <v>0</v>
      </c>
      <c r="J920" s="15">
        <v>0</v>
      </c>
      <c r="K920" s="15">
        <v>0</v>
      </c>
      <c r="L920" s="15">
        <v>0</v>
      </c>
      <c r="M920" s="15">
        <v>0</v>
      </c>
      <c r="N920" s="15">
        <v>0</v>
      </c>
      <c r="O920" s="15">
        <v>0</v>
      </c>
    </row>
    <row r="921" spans="1:15">
      <c r="A921" s="11" t="s">
        <v>1237</v>
      </c>
      <c r="B921" s="12" t="s">
        <v>1181</v>
      </c>
      <c r="C921" s="13" t="s">
        <v>317</v>
      </c>
      <c r="D921" s="13">
        <v>56</v>
      </c>
      <c r="E921" s="14">
        <v>450</v>
      </c>
      <c r="F921" s="15">
        <v>0</v>
      </c>
      <c r="G921" s="15">
        <v>0</v>
      </c>
      <c r="H921" s="15">
        <v>0</v>
      </c>
      <c r="I921" s="15">
        <v>0</v>
      </c>
      <c r="J921" s="15">
        <v>0</v>
      </c>
      <c r="K921" s="15">
        <v>0</v>
      </c>
      <c r="L921" s="15">
        <v>0</v>
      </c>
      <c r="M921" s="15">
        <v>0</v>
      </c>
      <c r="N921" s="15">
        <v>0</v>
      </c>
      <c r="O921" s="15">
        <v>0</v>
      </c>
    </row>
    <row r="922" spans="1:15">
      <c r="A922" s="11" t="s">
        <v>1238</v>
      </c>
      <c r="B922" s="12" t="s">
        <v>1181</v>
      </c>
      <c r="C922" s="13" t="s">
        <v>317</v>
      </c>
      <c r="D922" s="13">
        <v>57</v>
      </c>
      <c r="E922" s="14">
        <v>450</v>
      </c>
      <c r="F922" s="15">
        <v>0</v>
      </c>
      <c r="G922" s="15">
        <v>0</v>
      </c>
      <c r="H922" s="15">
        <v>0</v>
      </c>
      <c r="I922" s="15">
        <v>0</v>
      </c>
      <c r="J922" s="15">
        <v>0</v>
      </c>
      <c r="K922" s="15">
        <v>0</v>
      </c>
      <c r="L922" s="15">
        <v>0</v>
      </c>
      <c r="M922" s="15">
        <v>0</v>
      </c>
      <c r="N922" s="15">
        <v>0</v>
      </c>
      <c r="O922" s="15">
        <v>0</v>
      </c>
    </row>
    <row r="923" spans="1:15">
      <c r="A923" s="11" t="s">
        <v>1239</v>
      </c>
      <c r="B923" s="12" t="s">
        <v>1181</v>
      </c>
      <c r="C923" s="13" t="s">
        <v>317</v>
      </c>
      <c r="D923" s="13">
        <v>58</v>
      </c>
      <c r="E923" s="14">
        <v>450</v>
      </c>
      <c r="F923" s="15">
        <v>0</v>
      </c>
      <c r="G923" s="15">
        <v>0</v>
      </c>
      <c r="H923" s="15">
        <v>0</v>
      </c>
      <c r="I923" s="15">
        <v>0</v>
      </c>
      <c r="J923" s="15">
        <v>0</v>
      </c>
      <c r="K923" s="15">
        <v>0</v>
      </c>
      <c r="L923" s="15">
        <v>0</v>
      </c>
      <c r="M923" s="15">
        <v>0</v>
      </c>
      <c r="N923" s="15">
        <v>0</v>
      </c>
      <c r="O923" s="15">
        <v>0</v>
      </c>
    </row>
    <row r="924" spans="1:15">
      <c r="A924" s="11" t="s">
        <v>1240</v>
      </c>
      <c r="B924" s="12" t="s">
        <v>1181</v>
      </c>
      <c r="C924" s="13" t="s">
        <v>317</v>
      </c>
      <c r="D924" s="13">
        <v>59</v>
      </c>
      <c r="E924" s="14">
        <v>450</v>
      </c>
      <c r="F924" s="15">
        <v>0</v>
      </c>
      <c r="G924" s="15">
        <v>0</v>
      </c>
      <c r="H924" s="15">
        <v>0</v>
      </c>
      <c r="I924" s="15">
        <v>0</v>
      </c>
      <c r="J924" s="15">
        <v>0</v>
      </c>
      <c r="K924" s="15">
        <v>0</v>
      </c>
      <c r="L924" s="15">
        <v>0</v>
      </c>
      <c r="M924" s="15">
        <v>0</v>
      </c>
      <c r="N924" s="15">
        <v>0</v>
      </c>
      <c r="O924" s="15">
        <v>0</v>
      </c>
    </row>
    <row r="925" spans="1:15">
      <c r="A925" s="11" t="s">
        <v>1241</v>
      </c>
      <c r="B925" s="12" t="s">
        <v>1181</v>
      </c>
      <c r="C925" s="13" t="s">
        <v>317</v>
      </c>
      <c r="D925" s="13">
        <v>60</v>
      </c>
      <c r="E925" s="14">
        <v>450</v>
      </c>
      <c r="F925" s="15">
        <v>0</v>
      </c>
      <c r="G925" s="15">
        <v>0</v>
      </c>
      <c r="H925" s="15">
        <v>0</v>
      </c>
      <c r="I925" s="15">
        <v>0</v>
      </c>
      <c r="J925" s="15">
        <v>0</v>
      </c>
      <c r="K925" s="15">
        <v>0</v>
      </c>
      <c r="L925" s="15">
        <v>0</v>
      </c>
      <c r="M925" s="15">
        <v>0</v>
      </c>
      <c r="N925" s="15">
        <v>0</v>
      </c>
      <c r="O925" s="15">
        <v>0</v>
      </c>
    </row>
    <row r="926" spans="1:15">
      <c r="A926" s="11" t="s">
        <v>1242</v>
      </c>
      <c r="B926" s="12" t="s">
        <v>1181</v>
      </c>
      <c r="C926" s="13" t="s">
        <v>317</v>
      </c>
      <c r="D926" s="13">
        <v>61</v>
      </c>
      <c r="E926" s="14">
        <v>450</v>
      </c>
      <c r="F926" s="15">
        <v>0</v>
      </c>
      <c r="G926" s="15">
        <v>0</v>
      </c>
      <c r="H926" s="15">
        <v>0</v>
      </c>
      <c r="I926" s="15">
        <v>0</v>
      </c>
      <c r="J926" s="15">
        <v>0</v>
      </c>
      <c r="K926" s="15">
        <v>0</v>
      </c>
      <c r="L926" s="15">
        <v>0</v>
      </c>
      <c r="M926" s="15">
        <v>0</v>
      </c>
      <c r="N926" s="15">
        <v>0</v>
      </c>
      <c r="O926" s="15">
        <v>0</v>
      </c>
    </row>
    <row r="927" spans="1:15">
      <c r="A927" s="11" t="s">
        <v>1243</v>
      </c>
      <c r="B927" s="12" t="s">
        <v>1181</v>
      </c>
      <c r="C927" s="13" t="s">
        <v>317</v>
      </c>
      <c r="D927" s="13">
        <v>62</v>
      </c>
      <c r="E927" s="14">
        <v>450</v>
      </c>
      <c r="F927" s="15">
        <v>0</v>
      </c>
      <c r="G927" s="15">
        <v>0</v>
      </c>
      <c r="H927" s="15">
        <v>0</v>
      </c>
      <c r="I927" s="15">
        <v>0</v>
      </c>
      <c r="J927" s="15">
        <v>0</v>
      </c>
      <c r="K927" s="15">
        <v>0</v>
      </c>
      <c r="L927" s="15">
        <v>0</v>
      </c>
      <c r="M927" s="15">
        <v>0</v>
      </c>
      <c r="N927" s="15">
        <v>0</v>
      </c>
      <c r="O927" s="15">
        <v>0</v>
      </c>
    </row>
    <row r="928" spans="1:15">
      <c r="A928" s="11" t="s">
        <v>1244</v>
      </c>
      <c r="B928" s="12" t="s">
        <v>1181</v>
      </c>
      <c r="C928" s="13" t="s">
        <v>317</v>
      </c>
      <c r="D928" s="13">
        <v>63</v>
      </c>
      <c r="E928" s="14">
        <v>450</v>
      </c>
      <c r="F928" s="15">
        <v>0</v>
      </c>
      <c r="G928" s="15">
        <v>0</v>
      </c>
      <c r="H928" s="15">
        <v>0</v>
      </c>
      <c r="I928" s="15">
        <v>0</v>
      </c>
      <c r="J928" s="15">
        <v>0</v>
      </c>
      <c r="K928" s="15">
        <v>0</v>
      </c>
      <c r="L928" s="15">
        <v>0</v>
      </c>
      <c r="M928" s="15">
        <v>0</v>
      </c>
      <c r="N928" s="15">
        <v>0</v>
      </c>
      <c r="O928" s="15">
        <v>0</v>
      </c>
    </row>
    <row r="929" spans="1:15">
      <c r="A929" s="11" t="s">
        <v>1245</v>
      </c>
      <c r="B929" s="12" t="s">
        <v>1181</v>
      </c>
      <c r="C929" s="13" t="s">
        <v>317</v>
      </c>
      <c r="D929" s="13">
        <v>64</v>
      </c>
      <c r="E929" s="14">
        <v>450</v>
      </c>
      <c r="F929" s="15">
        <v>0</v>
      </c>
      <c r="G929" s="15">
        <v>0</v>
      </c>
      <c r="H929" s="15">
        <v>0</v>
      </c>
      <c r="I929" s="15">
        <v>0</v>
      </c>
      <c r="J929" s="15">
        <v>0</v>
      </c>
      <c r="K929" s="15">
        <v>0</v>
      </c>
      <c r="L929" s="15">
        <v>0</v>
      </c>
      <c r="M929" s="15">
        <v>0</v>
      </c>
      <c r="N929" s="15">
        <v>0</v>
      </c>
      <c r="O929" s="15">
        <v>0</v>
      </c>
    </row>
    <row r="930" spans="1:15">
      <c r="A930" s="11" t="s">
        <v>1246</v>
      </c>
      <c r="B930" s="12" t="s">
        <v>1181</v>
      </c>
      <c r="C930" s="13" t="s">
        <v>317</v>
      </c>
      <c r="D930" s="13">
        <v>65</v>
      </c>
      <c r="E930" s="14">
        <v>450</v>
      </c>
      <c r="F930" s="15">
        <v>0</v>
      </c>
      <c r="G930" s="15">
        <v>0</v>
      </c>
      <c r="H930" s="15">
        <v>0</v>
      </c>
      <c r="I930" s="15">
        <v>0</v>
      </c>
      <c r="J930" s="15">
        <v>0</v>
      </c>
      <c r="K930" s="15">
        <v>0</v>
      </c>
      <c r="L930" s="15">
        <v>0</v>
      </c>
      <c r="M930" s="15">
        <v>0</v>
      </c>
      <c r="N930" s="15">
        <v>0</v>
      </c>
      <c r="O930" s="15">
        <v>0</v>
      </c>
    </row>
    <row r="931" spans="1:15">
      <c r="A931" s="11" t="s">
        <v>1247</v>
      </c>
      <c r="B931" s="12" t="s">
        <v>1181</v>
      </c>
      <c r="C931" s="13" t="s">
        <v>317</v>
      </c>
      <c r="D931" s="13">
        <v>66</v>
      </c>
      <c r="E931" s="14">
        <v>450</v>
      </c>
      <c r="F931" s="15">
        <v>0</v>
      </c>
      <c r="G931" s="15">
        <v>0</v>
      </c>
      <c r="H931" s="15">
        <v>0</v>
      </c>
      <c r="I931" s="15">
        <v>0</v>
      </c>
      <c r="J931" s="15">
        <v>0</v>
      </c>
      <c r="K931" s="15">
        <v>0</v>
      </c>
      <c r="L931" s="15">
        <v>0</v>
      </c>
      <c r="M931" s="15">
        <v>0</v>
      </c>
      <c r="N931" s="15">
        <v>0</v>
      </c>
      <c r="O931" s="15">
        <v>0</v>
      </c>
    </row>
    <row r="932" spans="1:15">
      <c r="A932" s="11" t="s">
        <v>1248</v>
      </c>
      <c r="B932" s="12" t="s">
        <v>1181</v>
      </c>
      <c r="C932" s="13" t="s">
        <v>317</v>
      </c>
      <c r="D932" s="13">
        <v>67</v>
      </c>
      <c r="E932" s="14">
        <v>450</v>
      </c>
      <c r="F932" s="15">
        <v>0</v>
      </c>
      <c r="G932" s="15">
        <v>0</v>
      </c>
      <c r="H932" s="15">
        <v>0</v>
      </c>
      <c r="I932" s="15">
        <v>0</v>
      </c>
      <c r="J932" s="15">
        <v>0</v>
      </c>
      <c r="K932" s="15">
        <v>0</v>
      </c>
      <c r="L932" s="15">
        <v>0</v>
      </c>
      <c r="M932" s="15">
        <v>0</v>
      </c>
      <c r="N932" s="15">
        <v>0</v>
      </c>
      <c r="O932" s="15">
        <v>0</v>
      </c>
    </row>
    <row r="933" spans="1:15">
      <c r="A933" s="11" t="s">
        <v>1249</v>
      </c>
      <c r="B933" s="12" t="s">
        <v>1181</v>
      </c>
      <c r="C933" s="13" t="s">
        <v>317</v>
      </c>
      <c r="D933" s="13">
        <v>68</v>
      </c>
      <c r="E933" s="14">
        <v>450</v>
      </c>
      <c r="F933" s="15">
        <v>0</v>
      </c>
      <c r="G933" s="15">
        <v>0</v>
      </c>
      <c r="H933" s="15">
        <v>0</v>
      </c>
      <c r="I933" s="15">
        <v>0</v>
      </c>
      <c r="J933" s="15">
        <v>0</v>
      </c>
      <c r="K933" s="15">
        <v>0</v>
      </c>
      <c r="L933" s="15">
        <v>0</v>
      </c>
      <c r="M933" s="15">
        <v>0</v>
      </c>
      <c r="N933" s="15">
        <v>0</v>
      </c>
      <c r="O933" s="15">
        <v>0</v>
      </c>
    </row>
    <row r="934" spans="1:15">
      <c r="A934" s="11" t="s">
        <v>1250</v>
      </c>
      <c r="B934" s="12" t="s">
        <v>1181</v>
      </c>
      <c r="C934" s="13" t="s">
        <v>317</v>
      </c>
      <c r="D934" s="13">
        <v>69</v>
      </c>
      <c r="E934" s="14">
        <v>450</v>
      </c>
      <c r="F934" s="15">
        <v>0</v>
      </c>
      <c r="G934" s="15">
        <v>0</v>
      </c>
      <c r="H934" s="15">
        <v>0</v>
      </c>
      <c r="I934" s="15">
        <v>0</v>
      </c>
      <c r="J934" s="15">
        <v>0</v>
      </c>
      <c r="K934" s="15">
        <v>0</v>
      </c>
      <c r="L934" s="15">
        <v>0</v>
      </c>
      <c r="M934" s="15">
        <v>0</v>
      </c>
      <c r="N934" s="15">
        <v>0</v>
      </c>
      <c r="O934" s="15">
        <v>0</v>
      </c>
    </row>
    <row r="935" spans="1:15">
      <c r="A935" s="11" t="s">
        <v>1251</v>
      </c>
      <c r="B935" s="12" t="s">
        <v>1181</v>
      </c>
      <c r="C935" s="13" t="s">
        <v>317</v>
      </c>
      <c r="D935" s="13">
        <v>70</v>
      </c>
      <c r="E935" s="14">
        <v>450</v>
      </c>
      <c r="F935" s="15">
        <v>0</v>
      </c>
      <c r="G935" s="15">
        <v>0</v>
      </c>
      <c r="H935" s="15">
        <v>0</v>
      </c>
      <c r="I935" s="15">
        <v>0</v>
      </c>
      <c r="J935" s="15">
        <v>0</v>
      </c>
      <c r="K935" s="15">
        <v>0</v>
      </c>
      <c r="L935" s="15">
        <v>0</v>
      </c>
      <c r="M935" s="15">
        <v>0</v>
      </c>
      <c r="N935" s="15">
        <v>0</v>
      </c>
      <c r="O935" s="15">
        <v>0</v>
      </c>
    </row>
    <row r="936" spans="1:15">
      <c r="A936" s="11" t="s">
        <v>1252</v>
      </c>
      <c r="B936" s="12" t="s">
        <v>1181</v>
      </c>
      <c r="C936" s="13" t="s">
        <v>317</v>
      </c>
      <c r="D936" s="13">
        <v>71</v>
      </c>
      <c r="E936" s="14">
        <v>450</v>
      </c>
      <c r="F936" s="15">
        <v>0</v>
      </c>
      <c r="G936" s="15">
        <v>0</v>
      </c>
      <c r="H936" s="15">
        <v>0</v>
      </c>
      <c r="I936" s="15">
        <v>0</v>
      </c>
      <c r="J936" s="15">
        <v>0</v>
      </c>
      <c r="K936" s="15">
        <v>0</v>
      </c>
      <c r="L936" s="15">
        <v>0</v>
      </c>
      <c r="M936" s="15">
        <v>0</v>
      </c>
      <c r="N936" s="15">
        <v>0</v>
      </c>
      <c r="O936" s="15">
        <v>0</v>
      </c>
    </row>
    <row r="937" spans="1:15">
      <c r="A937" s="11" t="s">
        <v>1253</v>
      </c>
      <c r="B937" s="12" t="s">
        <v>1181</v>
      </c>
      <c r="C937" s="13" t="s">
        <v>317</v>
      </c>
      <c r="D937" s="13">
        <v>72</v>
      </c>
      <c r="E937" s="14">
        <v>450</v>
      </c>
      <c r="F937" s="15">
        <v>0</v>
      </c>
      <c r="G937" s="15">
        <v>0</v>
      </c>
      <c r="H937" s="15">
        <v>0</v>
      </c>
      <c r="I937" s="15">
        <v>0</v>
      </c>
      <c r="J937" s="15">
        <v>0</v>
      </c>
      <c r="K937" s="15">
        <v>0</v>
      </c>
      <c r="L937" s="15">
        <v>0</v>
      </c>
      <c r="M937" s="15">
        <v>0</v>
      </c>
      <c r="N937" s="15">
        <v>0</v>
      </c>
      <c r="O937" s="15">
        <v>0</v>
      </c>
    </row>
    <row r="938" spans="1:15">
      <c r="A938" s="11" t="s">
        <v>1254</v>
      </c>
      <c r="B938" s="12" t="s">
        <v>1181</v>
      </c>
      <c r="C938" s="13" t="s">
        <v>317</v>
      </c>
      <c r="D938" s="13">
        <v>73</v>
      </c>
      <c r="E938" s="14">
        <v>450</v>
      </c>
      <c r="F938" s="15">
        <v>0</v>
      </c>
      <c r="G938" s="15">
        <v>0</v>
      </c>
      <c r="H938" s="15">
        <v>0</v>
      </c>
      <c r="I938" s="15">
        <v>0</v>
      </c>
      <c r="J938" s="15">
        <v>0</v>
      </c>
      <c r="K938" s="15">
        <v>0</v>
      </c>
      <c r="L938" s="15">
        <v>0</v>
      </c>
      <c r="M938" s="15">
        <v>0</v>
      </c>
      <c r="N938" s="15">
        <v>0</v>
      </c>
      <c r="O938" s="15">
        <v>0</v>
      </c>
    </row>
    <row r="939" spans="1:15">
      <c r="A939" s="11" t="s">
        <v>1255</v>
      </c>
      <c r="B939" s="12" t="s">
        <v>1181</v>
      </c>
      <c r="C939" s="13" t="s">
        <v>317</v>
      </c>
      <c r="D939" s="13">
        <v>74</v>
      </c>
      <c r="E939" s="14">
        <v>450</v>
      </c>
      <c r="F939" s="15">
        <v>0</v>
      </c>
      <c r="G939" s="15">
        <v>0</v>
      </c>
      <c r="H939" s="15">
        <v>0</v>
      </c>
      <c r="I939" s="15">
        <v>0</v>
      </c>
      <c r="J939" s="15">
        <v>0</v>
      </c>
      <c r="K939" s="15">
        <v>0</v>
      </c>
      <c r="L939" s="15">
        <v>0</v>
      </c>
      <c r="M939" s="15">
        <v>0</v>
      </c>
      <c r="N939" s="15">
        <v>0</v>
      </c>
      <c r="O939" s="15">
        <v>0</v>
      </c>
    </row>
    <row r="940" spans="1:15">
      <c r="A940" s="11" t="s">
        <v>1256</v>
      </c>
      <c r="B940" s="12" t="s">
        <v>1181</v>
      </c>
      <c r="C940" s="13" t="s">
        <v>317</v>
      </c>
      <c r="D940" s="13">
        <v>75</v>
      </c>
      <c r="E940" s="14">
        <v>450</v>
      </c>
      <c r="F940" s="15">
        <v>0</v>
      </c>
      <c r="G940" s="15">
        <v>0</v>
      </c>
      <c r="H940" s="15">
        <v>0</v>
      </c>
      <c r="I940" s="15">
        <v>0</v>
      </c>
      <c r="J940" s="15">
        <v>0</v>
      </c>
      <c r="K940" s="15">
        <v>0</v>
      </c>
      <c r="L940" s="15">
        <v>0</v>
      </c>
      <c r="M940" s="15">
        <v>0</v>
      </c>
      <c r="N940" s="15">
        <v>0</v>
      </c>
      <c r="O940" s="15">
        <v>0</v>
      </c>
    </row>
    <row r="941" spans="1:15">
      <c r="A941" s="11" t="s">
        <v>1257</v>
      </c>
      <c r="B941" s="12" t="s">
        <v>1181</v>
      </c>
      <c r="C941" s="13" t="s">
        <v>317</v>
      </c>
      <c r="D941" s="13">
        <v>76</v>
      </c>
      <c r="E941" s="14">
        <v>450</v>
      </c>
      <c r="F941" s="15">
        <v>0</v>
      </c>
      <c r="G941" s="15">
        <v>0</v>
      </c>
      <c r="H941" s="15">
        <v>0</v>
      </c>
      <c r="I941" s="15">
        <v>0</v>
      </c>
      <c r="J941" s="15">
        <v>0</v>
      </c>
      <c r="K941" s="15">
        <v>0</v>
      </c>
      <c r="L941" s="15">
        <v>0</v>
      </c>
      <c r="M941" s="15">
        <v>0</v>
      </c>
      <c r="N941" s="15">
        <v>0</v>
      </c>
      <c r="O941" s="15">
        <v>0</v>
      </c>
    </row>
    <row r="942" spans="1:15">
      <c r="A942" s="11" t="s">
        <v>1258</v>
      </c>
      <c r="B942" s="12" t="s">
        <v>1181</v>
      </c>
      <c r="C942" s="13" t="s">
        <v>317</v>
      </c>
      <c r="D942" s="13">
        <v>77</v>
      </c>
      <c r="E942" s="14">
        <v>450</v>
      </c>
      <c r="F942" s="15">
        <v>0</v>
      </c>
      <c r="G942" s="15">
        <v>0</v>
      </c>
      <c r="H942" s="15">
        <v>0</v>
      </c>
      <c r="I942" s="15">
        <v>0</v>
      </c>
      <c r="J942" s="15">
        <v>0</v>
      </c>
      <c r="K942" s="15">
        <v>0</v>
      </c>
      <c r="L942" s="15">
        <v>0</v>
      </c>
      <c r="M942" s="15">
        <v>0</v>
      </c>
      <c r="N942" s="15">
        <v>0</v>
      </c>
      <c r="O942" s="15">
        <v>0</v>
      </c>
    </row>
    <row r="943" spans="1:15">
      <c r="A943" s="11" t="s">
        <v>1259</v>
      </c>
      <c r="B943" s="12" t="s">
        <v>1181</v>
      </c>
      <c r="C943" s="13" t="s">
        <v>317</v>
      </c>
      <c r="D943" s="13">
        <v>78</v>
      </c>
      <c r="E943" s="14">
        <v>450</v>
      </c>
      <c r="F943" s="15">
        <v>0</v>
      </c>
      <c r="G943" s="15">
        <v>0</v>
      </c>
      <c r="H943" s="15">
        <v>0</v>
      </c>
      <c r="I943" s="15">
        <v>0</v>
      </c>
      <c r="J943" s="15">
        <v>0</v>
      </c>
      <c r="K943" s="15">
        <v>0</v>
      </c>
      <c r="L943" s="15">
        <v>0</v>
      </c>
      <c r="M943" s="15">
        <v>0</v>
      </c>
      <c r="N943" s="15">
        <v>0</v>
      </c>
      <c r="O943" s="15">
        <v>0</v>
      </c>
    </row>
    <row r="944" spans="1:15">
      <c r="A944" s="11" t="s">
        <v>1260</v>
      </c>
      <c r="B944" s="12" t="s">
        <v>1181</v>
      </c>
      <c r="C944" s="13" t="s">
        <v>317</v>
      </c>
      <c r="D944" s="13">
        <v>79</v>
      </c>
      <c r="E944" s="14">
        <v>450</v>
      </c>
      <c r="F944" s="15">
        <v>0</v>
      </c>
      <c r="G944" s="15">
        <v>0</v>
      </c>
      <c r="H944" s="15">
        <v>0</v>
      </c>
      <c r="I944" s="15">
        <v>0</v>
      </c>
      <c r="J944" s="15">
        <v>0</v>
      </c>
      <c r="K944" s="15">
        <v>0</v>
      </c>
      <c r="L944" s="15">
        <v>0</v>
      </c>
      <c r="M944" s="15">
        <v>0</v>
      </c>
      <c r="N944" s="15">
        <v>0</v>
      </c>
      <c r="O944" s="15">
        <v>0</v>
      </c>
    </row>
    <row r="945" spans="1:15">
      <c r="A945" s="11" t="s">
        <v>1261</v>
      </c>
      <c r="B945" s="12" t="s">
        <v>1181</v>
      </c>
      <c r="C945" s="13" t="s">
        <v>317</v>
      </c>
      <c r="D945" s="13">
        <v>80</v>
      </c>
      <c r="E945" s="14">
        <v>450</v>
      </c>
      <c r="F945" s="15">
        <v>0</v>
      </c>
      <c r="G945" s="15">
        <v>0</v>
      </c>
      <c r="H945" s="15">
        <v>0</v>
      </c>
      <c r="I945" s="15">
        <v>0</v>
      </c>
      <c r="J945" s="15">
        <v>0</v>
      </c>
      <c r="K945" s="15">
        <v>0</v>
      </c>
      <c r="L945" s="15">
        <v>0</v>
      </c>
      <c r="M945" s="15">
        <v>0</v>
      </c>
      <c r="N945" s="15">
        <v>0</v>
      </c>
      <c r="O945" s="15">
        <v>0</v>
      </c>
    </row>
    <row r="946" spans="1:15">
      <c r="A946" s="11" t="s">
        <v>1262</v>
      </c>
      <c r="B946" s="12" t="s">
        <v>1181</v>
      </c>
      <c r="C946" s="13" t="s">
        <v>317</v>
      </c>
      <c r="D946" s="13">
        <v>81</v>
      </c>
      <c r="E946" s="14">
        <v>450</v>
      </c>
      <c r="F946" s="15">
        <v>0</v>
      </c>
      <c r="G946" s="15">
        <v>0</v>
      </c>
      <c r="H946" s="15">
        <v>0</v>
      </c>
      <c r="I946" s="15">
        <v>0</v>
      </c>
      <c r="J946" s="15">
        <v>0</v>
      </c>
      <c r="K946" s="15">
        <v>0</v>
      </c>
      <c r="L946" s="15">
        <v>0</v>
      </c>
      <c r="M946" s="15">
        <v>0</v>
      </c>
      <c r="N946" s="15">
        <v>0</v>
      </c>
      <c r="O946" s="15">
        <v>0</v>
      </c>
    </row>
    <row r="947" spans="1:15">
      <c r="A947" s="11" t="s">
        <v>1263</v>
      </c>
      <c r="B947" s="12" t="s">
        <v>1181</v>
      </c>
      <c r="C947" s="13" t="s">
        <v>317</v>
      </c>
      <c r="D947" s="13">
        <v>82</v>
      </c>
      <c r="E947" s="14">
        <v>450</v>
      </c>
      <c r="F947" s="15">
        <v>0</v>
      </c>
      <c r="G947" s="15">
        <v>0</v>
      </c>
      <c r="H947" s="15">
        <v>0</v>
      </c>
      <c r="I947" s="15">
        <v>0</v>
      </c>
      <c r="J947" s="15">
        <v>0</v>
      </c>
      <c r="K947" s="15">
        <v>0</v>
      </c>
      <c r="L947" s="15">
        <v>0</v>
      </c>
      <c r="M947" s="15">
        <v>0</v>
      </c>
      <c r="N947" s="15">
        <v>0</v>
      </c>
      <c r="O947" s="15">
        <v>0</v>
      </c>
    </row>
    <row r="948" spans="1:15">
      <c r="A948" s="11" t="s">
        <v>1264</v>
      </c>
      <c r="B948" s="12" t="s">
        <v>1181</v>
      </c>
      <c r="C948" s="13" t="s">
        <v>317</v>
      </c>
      <c r="D948" s="13">
        <v>83</v>
      </c>
      <c r="E948" s="14">
        <v>450</v>
      </c>
      <c r="F948" s="15">
        <v>0</v>
      </c>
      <c r="G948" s="15">
        <v>0</v>
      </c>
      <c r="H948" s="15">
        <v>0</v>
      </c>
      <c r="I948" s="15">
        <v>0</v>
      </c>
      <c r="J948" s="15">
        <v>0</v>
      </c>
      <c r="K948" s="15">
        <v>0</v>
      </c>
      <c r="L948" s="15">
        <v>0</v>
      </c>
      <c r="M948" s="15">
        <v>0</v>
      </c>
      <c r="N948" s="15">
        <v>0</v>
      </c>
      <c r="O948" s="15">
        <v>0</v>
      </c>
    </row>
    <row r="949" spans="1:15">
      <c r="A949" s="11" t="s">
        <v>1265</v>
      </c>
      <c r="B949" s="12" t="s">
        <v>1181</v>
      </c>
      <c r="C949" s="13" t="s">
        <v>317</v>
      </c>
      <c r="D949" s="13">
        <v>84</v>
      </c>
      <c r="E949" s="14">
        <v>450</v>
      </c>
      <c r="F949" s="15">
        <v>0</v>
      </c>
      <c r="G949" s="15">
        <v>0</v>
      </c>
      <c r="H949" s="15">
        <v>0</v>
      </c>
      <c r="I949" s="15">
        <v>0</v>
      </c>
      <c r="J949" s="15">
        <v>0</v>
      </c>
      <c r="K949" s="15">
        <v>0</v>
      </c>
      <c r="L949" s="15">
        <v>0</v>
      </c>
      <c r="M949" s="15">
        <v>0</v>
      </c>
      <c r="N949" s="15">
        <v>0</v>
      </c>
      <c r="O949" s="15">
        <v>0</v>
      </c>
    </row>
    <row r="950" spans="1:15">
      <c r="A950" s="11" t="s">
        <v>1266</v>
      </c>
      <c r="B950" s="12" t="s">
        <v>1181</v>
      </c>
      <c r="C950" s="13" t="s">
        <v>317</v>
      </c>
      <c r="D950" s="13">
        <v>85</v>
      </c>
      <c r="E950" s="14">
        <v>450</v>
      </c>
      <c r="F950" s="15">
        <v>0</v>
      </c>
      <c r="G950" s="15">
        <v>0</v>
      </c>
      <c r="H950" s="15">
        <v>0</v>
      </c>
      <c r="I950" s="15">
        <v>0</v>
      </c>
      <c r="J950" s="15">
        <v>0</v>
      </c>
      <c r="K950" s="15">
        <v>0</v>
      </c>
      <c r="L950" s="15">
        <v>0</v>
      </c>
      <c r="M950" s="15">
        <v>0</v>
      </c>
      <c r="N950" s="15">
        <v>0</v>
      </c>
      <c r="O950" s="15">
        <v>0</v>
      </c>
    </row>
    <row r="951" spans="1:15">
      <c r="A951" s="11" t="s">
        <v>1267</v>
      </c>
      <c r="B951" s="12" t="s">
        <v>1181</v>
      </c>
      <c r="C951" s="13" t="s">
        <v>404</v>
      </c>
      <c r="D951" s="13">
        <v>0</v>
      </c>
      <c r="E951" s="14">
        <v>450</v>
      </c>
      <c r="F951" s="15">
        <v>0</v>
      </c>
      <c r="G951" s="15">
        <v>0</v>
      </c>
      <c r="H951" s="15">
        <v>0</v>
      </c>
      <c r="I951" s="15">
        <v>0</v>
      </c>
      <c r="J951" s="15">
        <v>0</v>
      </c>
      <c r="K951" s="15">
        <v>0</v>
      </c>
      <c r="L951" s="15">
        <v>0</v>
      </c>
      <c r="M951" s="15">
        <v>0</v>
      </c>
      <c r="N951" s="15">
        <v>0</v>
      </c>
      <c r="O951" s="15">
        <v>0</v>
      </c>
    </row>
    <row r="952" spans="1:15">
      <c r="A952" s="11" t="s">
        <v>1268</v>
      </c>
      <c r="B952" s="12" t="s">
        <v>1181</v>
      </c>
      <c r="C952" s="13" t="s">
        <v>404</v>
      </c>
      <c r="D952" s="13">
        <v>1</v>
      </c>
      <c r="E952" s="14">
        <v>450</v>
      </c>
      <c r="F952" s="15">
        <v>0</v>
      </c>
      <c r="G952" s="15">
        <v>0</v>
      </c>
      <c r="H952" s="15">
        <v>0</v>
      </c>
      <c r="I952" s="15">
        <v>0</v>
      </c>
      <c r="J952" s="15">
        <v>0</v>
      </c>
      <c r="K952" s="15">
        <v>0</v>
      </c>
      <c r="L952" s="15">
        <v>0</v>
      </c>
      <c r="M952" s="15">
        <v>0</v>
      </c>
      <c r="N952" s="15">
        <v>0</v>
      </c>
      <c r="O952" s="15">
        <v>0</v>
      </c>
    </row>
    <row r="953" spans="1:15">
      <c r="A953" s="11" t="s">
        <v>1269</v>
      </c>
      <c r="B953" s="12" t="s">
        <v>1181</v>
      </c>
      <c r="C953" s="13" t="s">
        <v>404</v>
      </c>
      <c r="D953" s="13">
        <v>2</v>
      </c>
      <c r="E953" s="14">
        <v>450</v>
      </c>
      <c r="F953" s="15">
        <v>0</v>
      </c>
      <c r="G953" s="15">
        <v>0</v>
      </c>
      <c r="H953" s="15">
        <v>0</v>
      </c>
      <c r="I953" s="15">
        <v>0</v>
      </c>
      <c r="J953" s="15">
        <v>0</v>
      </c>
      <c r="K953" s="15">
        <v>0</v>
      </c>
      <c r="L953" s="15">
        <v>0</v>
      </c>
      <c r="M953" s="15">
        <v>0</v>
      </c>
      <c r="N953" s="15">
        <v>0</v>
      </c>
      <c r="O953" s="15">
        <v>0</v>
      </c>
    </row>
    <row r="954" spans="1:15">
      <c r="A954" s="11" t="s">
        <v>1270</v>
      </c>
      <c r="B954" s="12" t="s">
        <v>1181</v>
      </c>
      <c r="C954" s="13" t="s">
        <v>404</v>
      </c>
      <c r="D954" s="13">
        <v>3</v>
      </c>
      <c r="E954" s="14">
        <v>450</v>
      </c>
      <c r="F954" s="15">
        <v>0</v>
      </c>
      <c r="G954" s="15">
        <v>0</v>
      </c>
      <c r="H954" s="15">
        <v>0</v>
      </c>
      <c r="I954" s="15">
        <v>0</v>
      </c>
      <c r="J954" s="15">
        <v>0</v>
      </c>
      <c r="K954" s="15">
        <v>0</v>
      </c>
      <c r="L954" s="15">
        <v>0</v>
      </c>
      <c r="M954" s="15">
        <v>0</v>
      </c>
      <c r="N954" s="15">
        <v>0</v>
      </c>
      <c r="O954" s="15">
        <v>0</v>
      </c>
    </row>
    <row r="955" spans="1:15">
      <c r="A955" s="11" t="s">
        <v>1271</v>
      </c>
      <c r="B955" s="12" t="s">
        <v>1181</v>
      </c>
      <c r="C955" s="13" t="s">
        <v>404</v>
      </c>
      <c r="D955" s="13">
        <v>4</v>
      </c>
      <c r="E955" s="14">
        <v>450</v>
      </c>
      <c r="F955" s="15">
        <v>0</v>
      </c>
      <c r="G955" s="15">
        <v>0</v>
      </c>
      <c r="H955" s="15">
        <v>0</v>
      </c>
      <c r="I955" s="15">
        <v>0</v>
      </c>
      <c r="J955" s="15">
        <v>0</v>
      </c>
      <c r="K955" s="15">
        <v>0</v>
      </c>
      <c r="L955" s="15">
        <v>0</v>
      </c>
      <c r="M955" s="15">
        <v>0</v>
      </c>
      <c r="N955" s="15">
        <v>0</v>
      </c>
      <c r="O955" s="15">
        <v>0</v>
      </c>
    </row>
    <row r="956" spans="1:15">
      <c r="A956" s="11" t="s">
        <v>1272</v>
      </c>
      <c r="B956" s="12" t="s">
        <v>1181</v>
      </c>
      <c r="C956" s="13" t="s">
        <v>404</v>
      </c>
      <c r="D956" s="13">
        <v>5</v>
      </c>
      <c r="E956" s="14">
        <v>450</v>
      </c>
      <c r="F956" s="15">
        <v>0</v>
      </c>
      <c r="G956" s="15">
        <v>0</v>
      </c>
      <c r="H956" s="15">
        <v>0</v>
      </c>
      <c r="I956" s="15">
        <v>0</v>
      </c>
      <c r="J956" s="15">
        <v>0</v>
      </c>
      <c r="K956" s="15">
        <v>0</v>
      </c>
      <c r="L956" s="15">
        <v>0</v>
      </c>
      <c r="M956" s="15">
        <v>0</v>
      </c>
      <c r="N956" s="15">
        <v>0</v>
      </c>
      <c r="O956" s="15">
        <v>0</v>
      </c>
    </row>
    <row r="957" spans="1:15">
      <c r="A957" s="11" t="s">
        <v>1273</v>
      </c>
      <c r="B957" s="12" t="s">
        <v>1181</v>
      </c>
      <c r="C957" s="13" t="s">
        <v>404</v>
      </c>
      <c r="D957" s="13">
        <v>6</v>
      </c>
      <c r="E957" s="14">
        <v>450</v>
      </c>
      <c r="F957" s="15">
        <v>0</v>
      </c>
      <c r="G957" s="15">
        <v>0</v>
      </c>
      <c r="H957" s="15">
        <v>0</v>
      </c>
      <c r="I957" s="15">
        <v>0</v>
      </c>
      <c r="J957" s="15">
        <v>0</v>
      </c>
      <c r="K957" s="15">
        <v>0</v>
      </c>
      <c r="L957" s="15">
        <v>0</v>
      </c>
      <c r="M957" s="15">
        <v>0</v>
      </c>
      <c r="N957" s="15">
        <v>0</v>
      </c>
      <c r="O957" s="15">
        <v>0</v>
      </c>
    </row>
    <row r="958" spans="1:15">
      <c r="A958" s="11" t="s">
        <v>1274</v>
      </c>
      <c r="B958" s="12" t="s">
        <v>1181</v>
      </c>
      <c r="C958" s="13" t="s">
        <v>404</v>
      </c>
      <c r="D958" s="13">
        <v>7</v>
      </c>
      <c r="E958" s="14">
        <v>450</v>
      </c>
      <c r="F958" s="15">
        <v>0</v>
      </c>
      <c r="G958" s="15">
        <v>0</v>
      </c>
      <c r="H958" s="15">
        <v>0</v>
      </c>
      <c r="I958" s="15">
        <v>0</v>
      </c>
      <c r="J958" s="15">
        <v>0</v>
      </c>
      <c r="K958" s="15">
        <v>0</v>
      </c>
      <c r="L958" s="15">
        <v>0</v>
      </c>
      <c r="M958" s="15">
        <v>0</v>
      </c>
      <c r="N958" s="15">
        <v>0</v>
      </c>
      <c r="O958" s="15">
        <v>0</v>
      </c>
    </row>
    <row r="959" spans="1:15">
      <c r="A959" s="11" t="s">
        <v>1275</v>
      </c>
      <c r="B959" s="12" t="s">
        <v>1181</v>
      </c>
      <c r="C959" s="13" t="s">
        <v>404</v>
      </c>
      <c r="D959" s="13">
        <v>8</v>
      </c>
      <c r="E959" s="14">
        <v>450</v>
      </c>
      <c r="F959" s="15">
        <v>0</v>
      </c>
      <c r="G959" s="15">
        <v>0</v>
      </c>
      <c r="H959" s="15">
        <v>0</v>
      </c>
      <c r="I959" s="15">
        <v>0</v>
      </c>
      <c r="J959" s="15">
        <v>0</v>
      </c>
      <c r="K959" s="15">
        <v>0</v>
      </c>
      <c r="L959" s="15">
        <v>0</v>
      </c>
      <c r="M959" s="15">
        <v>0</v>
      </c>
      <c r="N959" s="15">
        <v>0</v>
      </c>
      <c r="O959" s="15">
        <v>0</v>
      </c>
    </row>
    <row r="960" spans="1:15">
      <c r="A960" s="11" t="s">
        <v>1276</v>
      </c>
      <c r="B960" s="12" t="s">
        <v>1181</v>
      </c>
      <c r="C960" s="13" t="s">
        <v>404</v>
      </c>
      <c r="D960" s="13">
        <v>9</v>
      </c>
      <c r="E960" s="14">
        <v>450</v>
      </c>
      <c r="F960" s="15">
        <v>0</v>
      </c>
      <c r="G960" s="15">
        <v>0</v>
      </c>
      <c r="H960" s="15">
        <v>0</v>
      </c>
      <c r="I960" s="15">
        <v>0</v>
      </c>
      <c r="J960" s="15">
        <v>0</v>
      </c>
      <c r="K960" s="15">
        <v>0</v>
      </c>
      <c r="L960" s="15">
        <v>0</v>
      </c>
      <c r="M960" s="15">
        <v>0</v>
      </c>
      <c r="N960" s="15">
        <v>0</v>
      </c>
      <c r="O960" s="15">
        <v>0</v>
      </c>
    </row>
    <row r="961" spans="1:15">
      <c r="A961" s="11" t="s">
        <v>1277</v>
      </c>
      <c r="B961" s="12" t="s">
        <v>1181</v>
      </c>
      <c r="C961" s="13" t="s">
        <v>404</v>
      </c>
      <c r="D961" s="13">
        <v>10</v>
      </c>
      <c r="E961" s="14">
        <v>450</v>
      </c>
      <c r="F961" s="15">
        <v>0</v>
      </c>
      <c r="G961" s="15">
        <v>0</v>
      </c>
      <c r="H961" s="15">
        <v>0</v>
      </c>
      <c r="I961" s="15">
        <v>0</v>
      </c>
      <c r="J961" s="15">
        <v>0</v>
      </c>
      <c r="K961" s="15">
        <v>0</v>
      </c>
      <c r="L961" s="15">
        <v>0</v>
      </c>
      <c r="M961" s="15">
        <v>0</v>
      </c>
      <c r="N961" s="15">
        <v>0</v>
      </c>
      <c r="O961" s="15">
        <v>0</v>
      </c>
    </row>
    <row r="962" spans="1:15">
      <c r="A962" s="11" t="s">
        <v>1278</v>
      </c>
      <c r="B962" s="12" t="s">
        <v>1181</v>
      </c>
      <c r="C962" s="13" t="s">
        <v>404</v>
      </c>
      <c r="D962" s="13">
        <v>11</v>
      </c>
      <c r="E962" s="14">
        <v>450</v>
      </c>
      <c r="F962" s="15">
        <v>0</v>
      </c>
      <c r="G962" s="15">
        <v>0</v>
      </c>
      <c r="H962" s="15">
        <v>0</v>
      </c>
      <c r="I962" s="15">
        <v>0</v>
      </c>
      <c r="J962" s="15">
        <v>0</v>
      </c>
      <c r="K962" s="15">
        <v>0</v>
      </c>
      <c r="L962" s="15">
        <v>0</v>
      </c>
      <c r="M962" s="15">
        <v>0</v>
      </c>
      <c r="N962" s="15">
        <v>0</v>
      </c>
      <c r="O962" s="15">
        <v>0</v>
      </c>
    </row>
    <row r="963" spans="1:15">
      <c r="A963" s="11" t="s">
        <v>1279</v>
      </c>
      <c r="B963" s="12" t="s">
        <v>1181</v>
      </c>
      <c r="C963" s="13" t="s">
        <v>404</v>
      </c>
      <c r="D963" s="13">
        <v>12</v>
      </c>
      <c r="E963" s="14">
        <v>450</v>
      </c>
      <c r="F963" s="15">
        <v>0</v>
      </c>
      <c r="G963" s="15">
        <v>0</v>
      </c>
      <c r="H963" s="15">
        <v>0</v>
      </c>
      <c r="I963" s="15">
        <v>0</v>
      </c>
      <c r="J963" s="15">
        <v>0</v>
      </c>
      <c r="K963" s="15">
        <v>0</v>
      </c>
      <c r="L963" s="15">
        <v>0</v>
      </c>
      <c r="M963" s="15">
        <v>0</v>
      </c>
      <c r="N963" s="15">
        <v>0</v>
      </c>
      <c r="O963" s="15">
        <v>0</v>
      </c>
    </row>
    <row r="964" spans="1:15">
      <c r="A964" s="11" t="s">
        <v>1280</v>
      </c>
      <c r="B964" s="12" t="s">
        <v>1181</v>
      </c>
      <c r="C964" s="13" t="s">
        <v>404</v>
      </c>
      <c r="D964" s="13">
        <v>13</v>
      </c>
      <c r="E964" s="14">
        <v>450</v>
      </c>
      <c r="F964" s="15">
        <v>0</v>
      </c>
      <c r="G964" s="15">
        <v>0</v>
      </c>
      <c r="H964" s="15">
        <v>0</v>
      </c>
      <c r="I964" s="15">
        <v>0</v>
      </c>
      <c r="J964" s="15">
        <v>0</v>
      </c>
      <c r="K964" s="15">
        <v>0</v>
      </c>
      <c r="L964" s="15">
        <v>0</v>
      </c>
      <c r="M964" s="15">
        <v>0</v>
      </c>
      <c r="N964" s="15">
        <v>0</v>
      </c>
      <c r="O964" s="15">
        <v>0</v>
      </c>
    </row>
    <row r="965" spans="1:15">
      <c r="A965" s="11" t="s">
        <v>1281</v>
      </c>
      <c r="B965" s="12" t="s">
        <v>1181</v>
      </c>
      <c r="C965" s="13" t="s">
        <v>404</v>
      </c>
      <c r="D965" s="13">
        <v>14</v>
      </c>
      <c r="E965" s="14">
        <v>450</v>
      </c>
      <c r="F965" s="15">
        <v>0</v>
      </c>
      <c r="G965" s="15">
        <v>0</v>
      </c>
      <c r="H965" s="15">
        <v>0</v>
      </c>
      <c r="I965" s="15">
        <v>0</v>
      </c>
      <c r="J965" s="15">
        <v>0</v>
      </c>
      <c r="K965" s="15">
        <v>0</v>
      </c>
      <c r="L965" s="15">
        <v>0</v>
      </c>
      <c r="M965" s="15">
        <v>0</v>
      </c>
      <c r="N965" s="15">
        <v>0</v>
      </c>
      <c r="O965" s="15">
        <v>0</v>
      </c>
    </row>
    <row r="966" spans="1:15">
      <c r="A966" s="11" t="s">
        <v>1282</v>
      </c>
      <c r="B966" s="12" t="s">
        <v>1181</v>
      </c>
      <c r="C966" s="13" t="s">
        <v>404</v>
      </c>
      <c r="D966" s="13">
        <v>15</v>
      </c>
      <c r="E966" s="14">
        <v>450</v>
      </c>
      <c r="F966" s="15">
        <v>0</v>
      </c>
      <c r="G966" s="15">
        <v>0</v>
      </c>
      <c r="H966" s="15">
        <v>0</v>
      </c>
      <c r="I966" s="15">
        <v>0</v>
      </c>
      <c r="J966" s="15">
        <v>0</v>
      </c>
      <c r="K966" s="15">
        <v>0</v>
      </c>
      <c r="L966" s="15">
        <v>0</v>
      </c>
      <c r="M966" s="15">
        <v>0</v>
      </c>
      <c r="N966" s="15">
        <v>0</v>
      </c>
      <c r="O966" s="15">
        <v>0</v>
      </c>
    </row>
    <row r="967" spans="1:15">
      <c r="A967" s="11" t="s">
        <v>1283</v>
      </c>
      <c r="B967" s="12" t="s">
        <v>1181</v>
      </c>
      <c r="C967" s="13" t="s">
        <v>404</v>
      </c>
      <c r="D967" s="13">
        <v>16</v>
      </c>
      <c r="E967" s="14">
        <v>450</v>
      </c>
      <c r="F967" s="15">
        <v>0</v>
      </c>
      <c r="G967" s="15">
        <v>0</v>
      </c>
      <c r="H967" s="15">
        <v>0</v>
      </c>
      <c r="I967" s="15">
        <v>0</v>
      </c>
      <c r="J967" s="15">
        <v>0</v>
      </c>
      <c r="K967" s="15">
        <v>0</v>
      </c>
      <c r="L967" s="15">
        <v>0</v>
      </c>
      <c r="M967" s="15">
        <v>0</v>
      </c>
      <c r="N967" s="15">
        <v>0</v>
      </c>
      <c r="O967" s="15">
        <v>0</v>
      </c>
    </row>
    <row r="968" spans="1:15">
      <c r="A968" s="11" t="s">
        <v>1284</v>
      </c>
      <c r="B968" s="12" t="s">
        <v>1181</v>
      </c>
      <c r="C968" s="13" t="s">
        <v>404</v>
      </c>
      <c r="D968" s="13">
        <v>17</v>
      </c>
      <c r="E968" s="14">
        <v>450</v>
      </c>
      <c r="F968" s="15">
        <v>0</v>
      </c>
      <c r="G968" s="15">
        <v>0</v>
      </c>
      <c r="H968" s="15">
        <v>0</v>
      </c>
      <c r="I968" s="15">
        <v>0</v>
      </c>
      <c r="J968" s="15">
        <v>0</v>
      </c>
      <c r="K968" s="15">
        <v>0</v>
      </c>
      <c r="L968" s="15">
        <v>0</v>
      </c>
      <c r="M968" s="15">
        <v>0</v>
      </c>
      <c r="N968" s="15">
        <v>0</v>
      </c>
      <c r="O968" s="15">
        <v>0</v>
      </c>
    </row>
    <row r="969" spans="1:15">
      <c r="A969" s="11" t="s">
        <v>1285</v>
      </c>
      <c r="B969" s="12" t="s">
        <v>1181</v>
      </c>
      <c r="C969" s="13" t="s">
        <v>404</v>
      </c>
      <c r="D969" s="13">
        <v>18</v>
      </c>
      <c r="E969" s="14">
        <v>450</v>
      </c>
      <c r="F969" s="15">
        <v>0</v>
      </c>
      <c r="G969" s="15">
        <v>0</v>
      </c>
      <c r="H969" s="15">
        <v>0</v>
      </c>
      <c r="I969" s="15">
        <v>0</v>
      </c>
      <c r="J969" s="15">
        <v>0</v>
      </c>
      <c r="K969" s="15">
        <v>0</v>
      </c>
      <c r="L969" s="15">
        <v>0</v>
      </c>
      <c r="M969" s="15">
        <v>0</v>
      </c>
      <c r="N969" s="15">
        <v>0</v>
      </c>
      <c r="O969" s="15">
        <v>0</v>
      </c>
    </row>
    <row r="970" spans="1:15">
      <c r="A970" s="11" t="s">
        <v>1286</v>
      </c>
      <c r="B970" s="12" t="s">
        <v>1181</v>
      </c>
      <c r="C970" s="13" t="s">
        <v>404</v>
      </c>
      <c r="D970" s="13">
        <v>19</v>
      </c>
      <c r="E970" s="14">
        <v>450</v>
      </c>
      <c r="F970" s="15">
        <v>0</v>
      </c>
      <c r="G970" s="15">
        <v>0</v>
      </c>
      <c r="H970" s="15">
        <v>0</v>
      </c>
      <c r="I970" s="15">
        <v>0</v>
      </c>
      <c r="J970" s="15">
        <v>0</v>
      </c>
      <c r="K970" s="15">
        <v>0</v>
      </c>
      <c r="L970" s="15">
        <v>0</v>
      </c>
      <c r="M970" s="15">
        <v>0</v>
      </c>
      <c r="N970" s="15">
        <v>0</v>
      </c>
      <c r="O970" s="15">
        <v>0</v>
      </c>
    </row>
    <row r="971" spans="1:15">
      <c r="A971" s="11" t="s">
        <v>1287</v>
      </c>
      <c r="B971" s="12" t="s">
        <v>1181</v>
      </c>
      <c r="C971" s="13" t="s">
        <v>404</v>
      </c>
      <c r="D971" s="13">
        <v>20</v>
      </c>
      <c r="E971" s="14">
        <v>450</v>
      </c>
      <c r="F971" s="15">
        <v>0</v>
      </c>
      <c r="G971" s="15">
        <v>0</v>
      </c>
      <c r="H971" s="15">
        <v>0</v>
      </c>
      <c r="I971" s="15">
        <v>0</v>
      </c>
      <c r="J971" s="15">
        <v>0</v>
      </c>
      <c r="K971" s="15">
        <v>0</v>
      </c>
      <c r="L971" s="15">
        <v>0</v>
      </c>
      <c r="M971" s="15">
        <v>0</v>
      </c>
      <c r="N971" s="15">
        <v>0</v>
      </c>
      <c r="O971" s="15">
        <v>0</v>
      </c>
    </row>
    <row r="972" spans="1:15">
      <c r="A972" s="11" t="s">
        <v>1288</v>
      </c>
      <c r="B972" s="12" t="s">
        <v>1181</v>
      </c>
      <c r="C972" s="13" t="s">
        <v>404</v>
      </c>
      <c r="D972" s="13">
        <v>21</v>
      </c>
      <c r="E972" s="14">
        <v>450</v>
      </c>
      <c r="F972" s="15">
        <v>0</v>
      </c>
      <c r="G972" s="15">
        <v>0</v>
      </c>
      <c r="H972" s="15">
        <v>0</v>
      </c>
      <c r="I972" s="15">
        <v>0</v>
      </c>
      <c r="J972" s="15">
        <v>0</v>
      </c>
      <c r="K972" s="15">
        <v>0</v>
      </c>
      <c r="L972" s="15">
        <v>0</v>
      </c>
      <c r="M972" s="15">
        <v>0</v>
      </c>
      <c r="N972" s="15">
        <v>0</v>
      </c>
      <c r="O972" s="15">
        <v>0</v>
      </c>
    </row>
    <row r="973" spans="1:15">
      <c r="A973" s="11" t="s">
        <v>1289</v>
      </c>
      <c r="B973" s="12" t="s">
        <v>1181</v>
      </c>
      <c r="C973" s="13" t="s">
        <v>404</v>
      </c>
      <c r="D973" s="13">
        <v>22</v>
      </c>
      <c r="E973" s="14">
        <v>450</v>
      </c>
      <c r="F973" s="15">
        <v>0</v>
      </c>
      <c r="G973" s="15">
        <v>0</v>
      </c>
      <c r="H973" s="15">
        <v>0</v>
      </c>
      <c r="I973" s="15">
        <v>0</v>
      </c>
      <c r="J973" s="15">
        <v>0</v>
      </c>
      <c r="K973" s="15">
        <v>0</v>
      </c>
      <c r="L973" s="15">
        <v>0</v>
      </c>
      <c r="M973" s="15">
        <v>0</v>
      </c>
      <c r="N973" s="15">
        <v>0</v>
      </c>
      <c r="O973" s="15">
        <v>0</v>
      </c>
    </row>
    <row r="974" spans="1:15">
      <c r="A974" s="11" t="s">
        <v>1290</v>
      </c>
      <c r="B974" s="12" t="s">
        <v>1181</v>
      </c>
      <c r="C974" s="13" t="s">
        <v>404</v>
      </c>
      <c r="D974" s="13">
        <v>23</v>
      </c>
      <c r="E974" s="14">
        <v>450</v>
      </c>
      <c r="F974" s="15">
        <v>0</v>
      </c>
      <c r="G974" s="15">
        <v>0</v>
      </c>
      <c r="H974" s="15">
        <v>0</v>
      </c>
      <c r="I974" s="15">
        <v>0</v>
      </c>
      <c r="J974" s="15">
        <v>0</v>
      </c>
      <c r="K974" s="15">
        <v>0</v>
      </c>
      <c r="L974" s="15">
        <v>0</v>
      </c>
      <c r="M974" s="15">
        <v>0</v>
      </c>
      <c r="N974" s="15">
        <v>0</v>
      </c>
      <c r="O974" s="15">
        <v>0</v>
      </c>
    </row>
    <row r="975" spans="1:15">
      <c r="A975" s="11" t="s">
        <v>1291</v>
      </c>
      <c r="B975" s="12" t="s">
        <v>1181</v>
      </c>
      <c r="C975" s="13" t="s">
        <v>404</v>
      </c>
      <c r="D975" s="13">
        <v>24</v>
      </c>
      <c r="E975" s="14">
        <v>450</v>
      </c>
      <c r="F975" s="15">
        <v>0</v>
      </c>
      <c r="G975" s="15">
        <v>0</v>
      </c>
      <c r="H975" s="15">
        <v>0</v>
      </c>
      <c r="I975" s="15">
        <v>0</v>
      </c>
      <c r="J975" s="15">
        <v>0</v>
      </c>
      <c r="K975" s="15">
        <v>0</v>
      </c>
      <c r="L975" s="15">
        <v>0</v>
      </c>
      <c r="M975" s="15">
        <v>0</v>
      </c>
      <c r="N975" s="15">
        <v>0</v>
      </c>
      <c r="O975" s="15">
        <v>0</v>
      </c>
    </row>
    <row r="976" spans="1:15">
      <c r="A976" s="11" t="s">
        <v>1292</v>
      </c>
      <c r="B976" s="12" t="s">
        <v>1181</v>
      </c>
      <c r="C976" s="13" t="s">
        <v>404</v>
      </c>
      <c r="D976" s="13">
        <v>25</v>
      </c>
      <c r="E976" s="14">
        <v>450</v>
      </c>
      <c r="F976" s="15">
        <v>0</v>
      </c>
      <c r="G976" s="15">
        <v>0</v>
      </c>
      <c r="H976" s="15">
        <v>0</v>
      </c>
      <c r="I976" s="15">
        <v>0</v>
      </c>
      <c r="J976" s="15">
        <v>0</v>
      </c>
      <c r="K976" s="15">
        <v>0</v>
      </c>
      <c r="L976" s="15">
        <v>0</v>
      </c>
      <c r="M976" s="15">
        <v>0</v>
      </c>
      <c r="N976" s="15">
        <v>0</v>
      </c>
      <c r="O976" s="15">
        <v>0</v>
      </c>
    </row>
    <row r="977" spans="1:15">
      <c r="A977" s="11" t="s">
        <v>1293</v>
      </c>
      <c r="B977" s="12" t="s">
        <v>1181</v>
      </c>
      <c r="C977" s="13" t="s">
        <v>404</v>
      </c>
      <c r="D977" s="13">
        <v>26</v>
      </c>
      <c r="E977" s="14">
        <v>450</v>
      </c>
      <c r="F977" s="15">
        <v>0</v>
      </c>
      <c r="G977" s="15">
        <v>0</v>
      </c>
      <c r="H977" s="15">
        <v>0</v>
      </c>
      <c r="I977" s="15">
        <v>0</v>
      </c>
      <c r="J977" s="15">
        <v>0</v>
      </c>
      <c r="K977" s="15">
        <v>0</v>
      </c>
      <c r="L977" s="15">
        <v>0</v>
      </c>
      <c r="M977" s="15">
        <v>0</v>
      </c>
      <c r="N977" s="15">
        <v>0</v>
      </c>
      <c r="O977" s="15">
        <v>0</v>
      </c>
    </row>
    <row r="978" spans="1:15">
      <c r="A978" s="11" t="s">
        <v>1294</v>
      </c>
      <c r="B978" s="12" t="s">
        <v>1181</v>
      </c>
      <c r="C978" s="13" t="s">
        <v>404</v>
      </c>
      <c r="D978" s="13">
        <v>27</v>
      </c>
      <c r="E978" s="14">
        <v>450</v>
      </c>
      <c r="F978" s="15">
        <v>0</v>
      </c>
      <c r="G978" s="15">
        <v>0</v>
      </c>
      <c r="H978" s="15">
        <v>0</v>
      </c>
      <c r="I978" s="15">
        <v>0</v>
      </c>
      <c r="J978" s="15">
        <v>0</v>
      </c>
      <c r="K978" s="15">
        <v>0</v>
      </c>
      <c r="L978" s="15">
        <v>0</v>
      </c>
      <c r="M978" s="15">
        <v>0</v>
      </c>
      <c r="N978" s="15">
        <v>0</v>
      </c>
      <c r="O978" s="15">
        <v>0</v>
      </c>
    </row>
    <row r="979" spans="1:15">
      <c r="A979" s="11" t="s">
        <v>1295</v>
      </c>
      <c r="B979" s="12" t="s">
        <v>1181</v>
      </c>
      <c r="C979" s="13" t="s">
        <v>404</v>
      </c>
      <c r="D979" s="13">
        <v>28</v>
      </c>
      <c r="E979" s="14">
        <v>450</v>
      </c>
      <c r="F979" s="15">
        <v>0</v>
      </c>
      <c r="G979" s="15">
        <v>0</v>
      </c>
      <c r="H979" s="15">
        <v>0</v>
      </c>
      <c r="I979" s="15">
        <v>0</v>
      </c>
      <c r="J979" s="15">
        <v>0</v>
      </c>
      <c r="K979" s="15">
        <v>0</v>
      </c>
      <c r="L979" s="15">
        <v>0</v>
      </c>
      <c r="M979" s="15">
        <v>0</v>
      </c>
      <c r="N979" s="15">
        <v>0</v>
      </c>
      <c r="O979" s="15">
        <v>0</v>
      </c>
    </row>
    <row r="980" spans="1:15">
      <c r="A980" s="11" t="s">
        <v>1296</v>
      </c>
      <c r="B980" s="12" t="s">
        <v>1181</v>
      </c>
      <c r="C980" s="13" t="s">
        <v>404</v>
      </c>
      <c r="D980" s="13">
        <v>29</v>
      </c>
      <c r="E980" s="14">
        <v>450</v>
      </c>
      <c r="F980" s="15">
        <v>0</v>
      </c>
      <c r="G980" s="15">
        <v>0</v>
      </c>
      <c r="H980" s="15">
        <v>0</v>
      </c>
      <c r="I980" s="15">
        <v>0</v>
      </c>
      <c r="J980" s="15">
        <v>0</v>
      </c>
      <c r="K980" s="15">
        <v>0</v>
      </c>
      <c r="L980" s="15">
        <v>0</v>
      </c>
      <c r="M980" s="15">
        <v>0</v>
      </c>
      <c r="N980" s="15">
        <v>0</v>
      </c>
      <c r="O980" s="15">
        <v>0</v>
      </c>
    </row>
    <row r="981" spans="1:15">
      <c r="A981" s="11" t="s">
        <v>1297</v>
      </c>
      <c r="B981" s="12" t="s">
        <v>1181</v>
      </c>
      <c r="C981" s="13" t="s">
        <v>404</v>
      </c>
      <c r="D981" s="13">
        <v>30</v>
      </c>
      <c r="E981" s="14">
        <v>450</v>
      </c>
      <c r="F981" s="15">
        <v>0</v>
      </c>
      <c r="G981" s="15">
        <v>0</v>
      </c>
      <c r="H981" s="15">
        <v>0</v>
      </c>
      <c r="I981" s="15">
        <v>0</v>
      </c>
      <c r="J981" s="15">
        <v>0</v>
      </c>
      <c r="K981" s="15">
        <v>0</v>
      </c>
      <c r="L981" s="15">
        <v>0</v>
      </c>
      <c r="M981" s="15">
        <v>0</v>
      </c>
      <c r="N981" s="15">
        <v>0</v>
      </c>
      <c r="O981" s="15">
        <v>0</v>
      </c>
    </row>
    <row r="982" spans="1:15">
      <c r="A982" s="11" t="s">
        <v>1298</v>
      </c>
      <c r="B982" s="12" t="s">
        <v>1181</v>
      </c>
      <c r="C982" s="13" t="s">
        <v>404</v>
      </c>
      <c r="D982" s="13">
        <v>31</v>
      </c>
      <c r="E982" s="14">
        <v>450</v>
      </c>
      <c r="F982" s="15">
        <v>0</v>
      </c>
      <c r="G982" s="15">
        <v>0</v>
      </c>
      <c r="H982" s="15">
        <v>0</v>
      </c>
      <c r="I982" s="15">
        <v>0</v>
      </c>
      <c r="J982" s="15">
        <v>0</v>
      </c>
      <c r="K982" s="15">
        <v>0</v>
      </c>
      <c r="L982" s="15">
        <v>0</v>
      </c>
      <c r="M982" s="15">
        <v>0</v>
      </c>
      <c r="N982" s="15">
        <v>0</v>
      </c>
      <c r="O982" s="15">
        <v>0</v>
      </c>
    </row>
    <row r="983" spans="1:15">
      <c r="A983" s="11" t="s">
        <v>1299</v>
      </c>
      <c r="B983" s="12" t="s">
        <v>1181</v>
      </c>
      <c r="C983" s="13" t="s">
        <v>404</v>
      </c>
      <c r="D983" s="13">
        <v>32</v>
      </c>
      <c r="E983" s="14">
        <v>450</v>
      </c>
      <c r="F983" s="15">
        <v>0</v>
      </c>
      <c r="G983" s="15">
        <v>0</v>
      </c>
      <c r="H983" s="15">
        <v>0</v>
      </c>
      <c r="I983" s="15">
        <v>0</v>
      </c>
      <c r="J983" s="15">
        <v>0</v>
      </c>
      <c r="K983" s="15">
        <v>0</v>
      </c>
      <c r="L983" s="15">
        <v>0</v>
      </c>
      <c r="M983" s="15">
        <v>0</v>
      </c>
      <c r="N983" s="15">
        <v>0</v>
      </c>
      <c r="O983" s="15">
        <v>0</v>
      </c>
    </row>
    <row r="984" spans="1:15">
      <c r="A984" s="11" t="s">
        <v>1300</v>
      </c>
      <c r="B984" s="12" t="s">
        <v>1181</v>
      </c>
      <c r="C984" s="13" t="s">
        <v>404</v>
      </c>
      <c r="D984" s="13">
        <v>33</v>
      </c>
      <c r="E984" s="14">
        <v>450</v>
      </c>
      <c r="F984" s="15">
        <v>0</v>
      </c>
      <c r="G984" s="15">
        <v>0</v>
      </c>
      <c r="H984" s="15">
        <v>0</v>
      </c>
      <c r="I984" s="15">
        <v>0</v>
      </c>
      <c r="J984" s="15">
        <v>0</v>
      </c>
      <c r="K984" s="15">
        <v>0</v>
      </c>
      <c r="L984" s="15">
        <v>0</v>
      </c>
      <c r="M984" s="15">
        <v>0</v>
      </c>
      <c r="N984" s="15">
        <v>0</v>
      </c>
      <c r="O984" s="15">
        <v>0</v>
      </c>
    </row>
    <row r="985" spans="1:15">
      <c r="A985" s="11" t="s">
        <v>1301</v>
      </c>
      <c r="B985" s="12" t="s">
        <v>1181</v>
      </c>
      <c r="C985" s="13" t="s">
        <v>404</v>
      </c>
      <c r="D985" s="13">
        <v>34</v>
      </c>
      <c r="E985" s="14">
        <v>450</v>
      </c>
      <c r="F985" s="15">
        <v>0</v>
      </c>
      <c r="G985" s="15">
        <v>0</v>
      </c>
      <c r="H985" s="15">
        <v>0</v>
      </c>
      <c r="I985" s="15">
        <v>0</v>
      </c>
      <c r="J985" s="15">
        <v>0</v>
      </c>
      <c r="K985" s="15">
        <v>0</v>
      </c>
      <c r="L985" s="15">
        <v>0</v>
      </c>
      <c r="M985" s="15">
        <v>0</v>
      </c>
      <c r="N985" s="15">
        <v>0</v>
      </c>
      <c r="O985" s="15">
        <v>0</v>
      </c>
    </row>
    <row r="986" spans="1:15">
      <c r="A986" s="11" t="s">
        <v>1302</v>
      </c>
      <c r="B986" s="12" t="s">
        <v>1181</v>
      </c>
      <c r="C986" s="13" t="s">
        <v>404</v>
      </c>
      <c r="D986" s="13">
        <v>35</v>
      </c>
      <c r="E986" s="14">
        <v>450</v>
      </c>
      <c r="F986" s="15">
        <v>0</v>
      </c>
      <c r="G986" s="15">
        <v>0</v>
      </c>
      <c r="H986" s="15">
        <v>0</v>
      </c>
      <c r="I986" s="15">
        <v>0</v>
      </c>
      <c r="J986" s="15">
        <v>0</v>
      </c>
      <c r="K986" s="15">
        <v>0</v>
      </c>
      <c r="L986" s="15">
        <v>0</v>
      </c>
      <c r="M986" s="15">
        <v>0</v>
      </c>
      <c r="N986" s="15">
        <v>0</v>
      </c>
      <c r="O986" s="15">
        <v>0</v>
      </c>
    </row>
    <row r="987" spans="1:15">
      <c r="A987" s="11" t="s">
        <v>1303</v>
      </c>
      <c r="B987" s="12" t="s">
        <v>1181</v>
      </c>
      <c r="C987" s="13" t="s">
        <v>404</v>
      </c>
      <c r="D987" s="13">
        <v>36</v>
      </c>
      <c r="E987" s="14">
        <v>450</v>
      </c>
      <c r="F987" s="15">
        <v>0</v>
      </c>
      <c r="G987" s="15">
        <v>0</v>
      </c>
      <c r="H987" s="15">
        <v>0</v>
      </c>
      <c r="I987" s="15">
        <v>0</v>
      </c>
      <c r="J987" s="15">
        <v>0</v>
      </c>
      <c r="K987" s="15">
        <v>0</v>
      </c>
      <c r="L987" s="15">
        <v>0</v>
      </c>
      <c r="M987" s="15">
        <v>0</v>
      </c>
      <c r="N987" s="15">
        <v>0</v>
      </c>
      <c r="O987" s="15">
        <v>0</v>
      </c>
    </row>
    <row r="988" spans="1:15">
      <c r="A988" s="11" t="s">
        <v>1304</v>
      </c>
      <c r="B988" s="12" t="s">
        <v>1181</v>
      </c>
      <c r="C988" s="13" t="s">
        <v>404</v>
      </c>
      <c r="D988" s="13">
        <v>37</v>
      </c>
      <c r="E988" s="14">
        <v>450</v>
      </c>
      <c r="F988" s="15">
        <v>0</v>
      </c>
      <c r="G988" s="15">
        <v>0</v>
      </c>
      <c r="H988" s="15">
        <v>0</v>
      </c>
      <c r="I988" s="15">
        <v>0</v>
      </c>
      <c r="J988" s="15">
        <v>0</v>
      </c>
      <c r="K988" s="15">
        <v>0</v>
      </c>
      <c r="L988" s="15">
        <v>0</v>
      </c>
      <c r="M988" s="15">
        <v>0</v>
      </c>
      <c r="N988" s="15">
        <v>0</v>
      </c>
      <c r="O988" s="15">
        <v>0</v>
      </c>
    </row>
    <row r="989" spans="1:15">
      <c r="A989" s="11" t="s">
        <v>1305</v>
      </c>
      <c r="B989" s="12" t="s">
        <v>1181</v>
      </c>
      <c r="C989" s="13" t="s">
        <v>404</v>
      </c>
      <c r="D989" s="13">
        <v>38</v>
      </c>
      <c r="E989" s="14">
        <v>450</v>
      </c>
      <c r="F989" s="15">
        <v>0</v>
      </c>
      <c r="G989" s="15">
        <v>0</v>
      </c>
      <c r="H989" s="15">
        <v>0</v>
      </c>
      <c r="I989" s="15">
        <v>0</v>
      </c>
      <c r="J989" s="15">
        <v>0</v>
      </c>
      <c r="K989" s="15">
        <v>0</v>
      </c>
      <c r="L989" s="15">
        <v>0</v>
      </c>
      <c r="M989" s="15">
        <v>0</v>
      </c>
      <c r="N989" s="15">
        <v>0</v>
      </c>
      <c r="O989" s="15">
        <v>0</v>
      </c>
    </row>
    <row r="990" spans="1:15">
      <c r="A990" s="11" t="s">
        <v>1306</v>
      </c>
      <c r="B990" s="12" t="s">
        <v>1181</v>
      </c>
      <c r="C990" s="13" t="s">
        <v>404</v>
      </c>
      <c r="D990" s="13">
        <v>39</v>
      </c>
      <c r="E990" s="14">
        <v>450</v>
      </c>
      <c r="F990" s="15">
        <v>0</v>
      </c>
      <c r="G990" s="15">
        <v>0</v>
      </c>
      <c r="H990" s="15">
        <v>0</v>
      </c>
      <c r="I990" s="15">
        <v>0</v>
      </c>
      <c r="J990" s="15">
        <v>0</v>
      </c>
      <c r="K990" s="15">
        <v>0</v>
      </c>
      <c r="L990" s="15">
        <v>0</v>
      </c>
      <c r="M990" s="15">
        <v>0</v>
      </c>
      <c r="N990" s="15">
        <v>0</v>
      </c>
      <c r="O990" s="15">
        <v>0</v>
      </c>
    </row>
    <row r="991" spans="1:15">
      <c r="A991" s="11" t="s">
        <v>1307</v>
      </c>
      <c r="B991" s="12" t="s">
        <v>1181</v>
      </c>
      <c r="C991" s="13" t="s">
        <v>404</v>
      </c>
      <c r="D991" s="13">
        <v>40</v>
      </c>
      <c r="E991" s="14">
        <v>450</v>
      </c>
      <c r="F991" s="15">
        <v>0</v>
      </c>
      <c r="G991" s="15">
        <v>0</v>
      </c>
      <c r="H991" s="15">
        <v>0</v>
      </c>
      <c r="I991" s="15">
        <v>0</v>
      </c>
      <c r="J991" s="15">
        <v>0</v>
      </c>
      <c r="K991" s="15">
        <v>0</v>
      </c>
      <c r="L991" s="15">
        <v>0</v>
      </c>
      <c r="M991" s="15">
        <v>0</v>
      </c>
      <c r="N991" s="15">
        <v>0</v>
      </c>
      <c r="O991" s="15">
        <v>0</v>
      </c>
    </row>
    <row r="992" spans="1:15">
      <c r="A992" s="11" t="s">
        <v>1308</v>
      </c>
      <c r="B992" s="12" t="s">
        <v>1181</v>
      </c>
      <c r="C992" s="13" t="s">
        <v>404</v>
      </c>
      <c r="D992" s="13">
        <v>41</v>
      </c>
      <c r="E992" s="14">
        <v>450</v>
      </c>
      <c r="F992" s="15">
        <v>0</v>
      </c>
      <c r="G992" s="15">
        <v>0</v>
      </c>
      <c r="H992" s="15">
        <v>0</v>
      </c>
      <c r="I992" s="15">
        <v>0</v>
      </c>
      <c r="J992" s="15">
        <v>0</v>
      </c>
      <c r="K992" s="15">
        <v>0</v>
      </c>
      <c r="L992" s="15">
        <v>0</v>
      </c>
      <c r="M992" s="15">
        <v>0</v>
      </c>
      <c r="N992" s="15">
        <v>0</v>
      </c>
      <c r="O992" s="15">
        <v>0</v>
      </c>
    </row>
    <row r="993" spans="1:15">
      <c r="A993" s="11" t="s">
        <v>1309</v>
      </c>
      <c r="B993" s="12" t="s">
        <v>1181</v>
      </c>
      <c r="C993" s="13" t="s">
        <v>404</v>
      </c>
      <c r="D993" s="13">
        <v>42</v>
      </c>
      <c r="E993" s="14">
        <v>450</v>
      </c>
      <c r="F993" s="15">
        <v>0</v>
      </c>
      <c r="G993" s="15">
        <v>0</v>
      </c>
      <c r="H993" s="15">
        <v>0</v>
      </c>
      <c r="I993" s="15">
        <v>0</v>
      </c>
      <c r="J993" s="15">
        <v>0</v>
      </c>
      <c r="K993" s="15">
        <v>0</v>
      </c>
      <c r="L993" s="15">
        <v>0</v>
      </c>
      <c r="M993" s="15">
        <v>0</v>
      </c>
      <c r="N993" s="15">
        <v>0</v>
      </c>
      <c r="O993" s="15">
        <v>0</v>
      </c>
    </row>
    <row r="994" spans="1:15">
      <c r="A994" s="11" t="s">
        <v>1310</v>
      </c>
      <c r="B994" s="12" t="s">
        <v>1181</v>
      </c>
      <c r="C994" s="13" t="s">
        <v>404</v>
      </c>
      <c r="D994" s="13">
        <v>43</v>
      </c>
      <c r="E994" s="14">
        <v>450</v>
      </c>
      <c r="F994" s="15">
        <v>0</v>
      </c>
      <c r="G994" s="15">
        <v>0</v>
      </c>
      <c r="H994" s="15">
        <v>0</v>
      </c>
      <c r="I994" s="15">
        <v>0</v>
      </c>
      <c r="J994" s="15">
        <v>0</v>
      </c>
      <c r="K994" s="15">
        <v>0</v>
      </c>
      <c r="L994" s="15">
        <v>0</v>
      </c>
      <c r="M994" s="15">
        <v>0</v>
      </c>
      <c r="N994" s="15">
        <v>0</v>
      </c>
      <c r="O994" s="15">
        <v>0</v>
      </c>
    </row>
    <row r="995" spans="1:15">
      <c r="A995" s="11" t="s">
        <v>1311</v>
      </c>
      <c r="B995" s="12" t="s">
        <v>1181</v>
      </c>
      <c r="C995" s="13" t="s">
        <v>404</v>
      </c>
      <c r="D995" s="13">
        <v>44</v>
      </c>
      <c r="E995" s="14">
        <v>450</v>
      </c>
      <c r="F995" s="15">
        <v>0</v>
      </c>
      <c r="G995" s="15">
        <v>0</v>
      </c>
      <c r="H995" s="15">
        <v>0</v>
      </c>
      <c r="I995" s="15">
        <v>0</v>
      </c>
      <c r="J995" s="15">
        <v>0</v>
      </c>
      <c r="K995" s="15">
        <v>0</v>
      </c>
      <c r="L995" s="15">
        <v>0</v>
      </c>
      <c r="M995" s="15">
        <v>0</v>
      </c>
      <c r="N995" s="15">
        <v>0</v>
      </c>
      <c r="O995" s="15">
        <v>0</v>
      </c>
    </row>
    <row r="996" spans="1:15">
      <c r="A996" s="11" t="s">
        <v>1312</v>
      </c>
      <c r="B996" s="12" t="s">
        <v>1181</v>
      </c>
      <c r="C996" s="13" t="s">
        <v>404</v>
      </c>
      <c r="D996" s="13">
        <v>45</v>
      </c>
      <c r="E996" s="14">
        <v>450</v>
      </c>
      <c r="F996" s="15">
        <v>0</v>
      </c>
      <c r="G996" s="15">
        <v>0</v>
      </c>
      <c r="H996" s="15">
        <v>0</v>
      </c>
      <c r="I996" s="15">
        <v>0</v>
      </c>
      <c r="J996" s="15">
        <v>0</v>
      </c>
      <c r="K996" s="15">
        <v>0</v>
      </c>
      <c r="L996" s="15">
        <v>0</v>
      </c>
      <c r="M996" s="15">
        <v>0</v>
      </c>
      <c r="N996" s="15">
        <v>0</v>
      </c>
      <c r="O996" s="15">
        <v>0</v>
      </c>
    </row>
    <row r="997" spans="1:15">
      <c r="A997" s="11" t="s">
        <v>1313</v>
      </c>
      <c r="B997" s="12" t="s">
        <v>1181</v>
      </c>
      <c r="C997" s="13" t="s">
        <v>404</v>
      </c>
      <c r="D997" s="13">
        <v>46</v>
      </c>
      <c r="E997" s="14">
        <v>450</v>
      </c>
      <c r="F997" s="15">
        <v>0</v>
      </c>
      <c r="G997" s="15">
        <v>0</v>
      </c>
      <c r="H997" s="15">
        <v>0</v>
      </c>
      <c r="I997" s="15">
        <v>0</v>
      </c>
      <c r="J997" s="15">
        <v>0</v>
      </c>
      <c r="K997" s="15">
        <v>0</v>
      </c>
      <c r="L997" s="15">
        <v>0</v>
      </c>
      <c r="M997" s="15">
        <v>0</v>
      </c>
      <c r="N997" s="15">
        <v>0</v>
      </c>
      <c r="O997" s="15">
        <v>0</v>
      </c>
    </row>
    <row r="998" spans="1:15">
      <c r="A998" s="11" t="s">
        <v>1314</v>
      </c>
      <c r="B998" s="12" t="s">
        <v>1181</v>
      </c>
      <c r="C998" s="13" t="s">
        <v>404</v>
      </c>
      <c r="D998" s="13">
        <v>47</v>
      </c>
      <c r="E998" s="14">
        <v>450</v>
      </c>
      <c r="F998" s="15">
        <v>0</v>
      </c>
      <c r="G998" s="15">
        <v>0</v>
      </c>
      <c r="H998" s="15">
        <v>0</v>
      </c>
      <c r="I998" s="15">
        <v>0</v>
      </c>
      <c r="J998" s="15">
        <v>0</v>
      </c>
      <c r="K998" s="15">
        <v>0</v>
      </c>
      <c r="L998" s="15">
        <v>0</v>
      </c>
      <c r="M998" s="15">
        <v>0</v>
      </c>
      <c r="N998" s="15">
        <v>0</v>
      </c>
      <c r="O998" s="15">
        <v>0</v>
      </c>
    </row>
    <row r="999" spans="1:15">
      <c r="A999" s="11" t="s">
        <v>1315</v>
      </c>
      <c r="B999" s="12" t="s">
        <v>1181</v>
      </c>
      <c r="C999" s="13" t="s">
        <v>404</v>
      </c>
      <c r="D999" s="13">
        <v>48</v>
      </c>
      <c r="E999" s="14">
        <v>450</v>
      </c>
      <c r="F999" s="15">
        <v>0</v>
      </c>
      <c r="G999" s="15">
        <v>0</v>
      </c>
      <c r="H999" s="15">
        <v>0</v>
      </c>
      <c r="I999" s="15">
        <v>0</v>
      </c>
      <c r="J999" s="15">
        <v>0</v>
      </c>
      <c r="K999" s="15">
        <v>0</v>
      </c>
      <c r="L999" s="15">
        <v>0</v>
      </c>
      <c r="M999" s="15">
        <v>0</v>
      </c>
      <c r="N999" s="15">
        <v>0</v>
      </c>
      <c r="O999" s="15">
        <v>0</v>
      </c>
    </row>
    <row r="1000" spans="1:15">
      <c r="A1000" s="11" t="s">
        <v>1316</v>
      </c>
      <c r="B1000" s="12" t="s">
        <v>1181</v>
      </c>
      <c r="C1000" s="13" t="s">
        <v>404</v>
      </c>
      <c r="D1000" s="13">
        <v>49</v>
      </c>
      <c r="E1000" s="14">
        <v>450</v>
      </c>
      <c r="F1000" s="15">
        <v>0</v>
      </c>
      <c r="G1000" s="15">
        <v>0</v>
      </c>
      <c r="H1000" s="15">
        <v>0</v>
      </c>
      <c r="I1000" s="15">
        <v>0</v>
      </c>
      <c r="J1000" s="15">
        <v>0</v>
      </c>
      <c r="K1000" s="15">
        <v>0</v>
      </c>
      <c r="L1000" s="15">
        <v>0</v>
      </c>
      <c r="M1000" s="15">
        <v>0</v>
      </c>
      <c r="N1000" s="15">
        <v>0</v>
      </c>
      <c r="O1000" s="15">
        <v>0</v>
      </c>
    </row>
    <row r="1001" spans="1:15">
      <c r="A1001" s="11" t="s">
        <v>1317</v>
      </c>
      <c r="B1001" s="12" t="s">
        <v>1181</v>
      </c>
      <c r="C1001" s="13" t="s">
        <v>404</v>
      </c>
      <c r="D1001" s="13">
        <v>50</v>
      </c>
      <c r="E1001" s="14">
        <v>450</v>
      </c>
      <c r="F1001" s="15">
        <v>0</v>
      </c>
      <c r="G1001" s="15">
        <v>0</v>
      </c>
      <c r="H1001" s="15">
        <v>0</v>
      </c>
      <c r="I1001" s="15">
        <v>0</v>
      </c>
      <c r="J1001" s="15">
        <v>0</v>
      </c>
      <c r="K1001" s="15">
        <v>0</v>
      </c>
      <c r="L1001" s="15">
        <v>0</v>
      </c>
      <c r="M1001" s="15">
        <v>0</v>
      </c>
      <c r="N1001" s="15">
        <v>0</v>
      </c>
      <c r="O1001" s="15">
        <v>0</v>
      </c>
    </row>
    <row r="1002" spans="1:15">
      <c r="A1002" s="11" t="s">
        <v>1318</v>
      </c>
      <c r="B1002" s="12" t="s">
        <v>1181</v>
      </c>
      <c r="C1002" s="13" t="s">
        <v>404</v>
      </c>
      <c r="D1002" s="13">
        <v>51</v>
      </c>
      <c r="E1002" s="14">
        <v>450</v>
      </c>
      <c r="F1002" s="15">
        <v>0</v>
      </c>
      <c r="G1002" s="15">
        <v>0</v>
      </c>
      <c r="H1002" s="15">
        <v>0</v>
      </c>
      <c r="I1002" s="15">
        <v>0</v>
      </c>
      <c r="J1002" s="15">
        <v>0</v>
      </c>
      <c r="K1002" s="15">
        <v>0</v>
      </c>
      <c r="L1002" s="15">
        <v>0</v>
      </c>
      <c r="M1002" s="15">
        <v>0</v>
      </c>
      <c r="N1002" s="15">
        <v>0</v>
      </c>
      <c r="O1002" s="15">
        <v>0</v>
      </c>
    </row>
    <row r="1003" spans="1:15">
      <c r="A1003" s="11" t="s">
        <v>1319</v>
      </c>
      <c r="B1003" s="12" t="s">
        <v>1181</v>
      </c>
      <c r="C1003" s="13" t="s">
        <v>404</v>
      </c>
      <c r="D1003" s="13">
        <v>52</v>
      </c>
      <c r="E1003" s="14">
        <v>450</v>
      </c>
      <c r="F1003" s="15">
        <v>0</v>
      </c>
      <c r="G1003" s="15">
        <v>0</v>
      </c>
      <c r="H1003" s="15">
        <v>0</v>
      </c>
      <c r="I1003" s="15">
        <v>0</v>
      </c>
      <c r="J1003" s="15">
        <v>0</v>
      </c>
      <c r="K1003" s="15">
        <v>0</v>
      </c>
      <c r="L1003" s="15">
        <v>0</v>
      </c>
      <c r="M1003" s="15">
        <v>0</v>
      </c>
      <c r="N1003" s="15">
        <v>0</v>
      </c>
      <c r="O1003" s="15">
        <v>0</v>
      </c>
    </row>
    <row r="1004" spans="1:15">
      <c r="A1004" s="11" t="s">
        <v>1320</v>
      </c>
      <c r="B1004" s="12" t="s">
        <v>1181</v>
      </c>
      <c r="C1004" s="13" t="s">
        <v>404</v>
      </c>
      <c r="D1004" s="13">
        <v>53</v>
      </c>
      <c r="E1004" s="14">
        <v>450</v>
      </c>
      <c r="F1004" s="15">
        <v>0</v>
      </c>
      <c r="G1004" s="15">
        <v>0</v>
      </c>
      <c r="H1004" s="15">
        <v>0</v>
      </c>
      <c r="I1004" s="15">
        <v>0</v>
      </c>
      <c r="J1004" s="15">
        <v>0</v>
      </c>
      <c r="K1004" s="15">
        <v>0</v>
      </c>
      <c r="L1004" s="15">
        <v>0</v>
      </c>
      <c r="M1004" s="15">
        <v>0</v>
      </c>
      <c r="N1004" s="15">
        <v>0</v>
      </c>
      <c r="O1004" s="15">
        <v>0</v>
      </c>
    </row>
    <row r="1005" spans="1:15">
      <c r="A1005" s="11" t="s">
        <v>1321</v>
      </c>
      <c r="B1005" s="12" t="s">
        <v>1181</v>
      </c>
      <c r="C1005" s="13" t="s">
        <v>404</v>
      </c>
      <c r="D1005" s="13">
        <v>54</v>
      </c>
      <c r="E1005" s="14">
        <v>450</v>
      </c>
      <c r="F1005" s="15">
        <v>0</v>
      </c>
      <c r="G1005" s="15">
        <v>0</v>
      </c>
      <c r="H1005" s="15">
        <v>0</v>
      </c>
      <c r="I1005" s="15">
        <v>0</v>
      </c>
      <c r="J1005" s="15">
        <v>0</v>
      </c>
      <c r="K1005" s="15">
        <v>0</v>
      </c>
      <c r="L1005" s="15">
        <v>0</v>
      </c>
      <c r="M1005" s="15">
        <v>0</v>
      </c>
      <c r="N1005" s="15">
        <v>0</v>
      </c>
      <c r="O1005" s="15">
        <v>0</v>
      </c>
    </row>
    <row r="1006" spans="1:15">
      <c r="A1006" s="11" t="s">
        <v>1322</v>
      </c>
      <c r="B1006" s="12" t="s">
        <v>1181</v>
      </c>
      <c r="C1006" s="13" t="s">
        <v>404</v>
      </c>
      <c r="D1006" s="13">
        <v>55</v>
      </c>
      <c r="E1006" s="14">
        <v>450</v>
      </c>
      <c r="F1006" s="15">
        <v>0</v>
      </c>
      <c r="G1006" s="15">
        <v>0</v>
      </c>
      <c r="H1006" s="15">
        <v>0</v>
      </c>
      <c r="I1006" s="15">
        <v>0</v>
      </c>
      <c r="J1006" s="15">
        <v>0</v>
      </c>
      <c r="K1006" s="15">
        <v>0</v>
      </c>
      <c r="L1006" s="15">
        <v>0</v>
      </c>
      <c r="M1006" s="15">
        <v>0</v>
      </c>
      <c r="N1006" s="15">
        <v>0</v>
      </c>
      <c r="O1006" s="15">
        <v>0</v>
      </c>
    </row>
    <row r="1007" spans="1:15">
      <c r="A1007" s="11" t="s">
        <v>1323</v>
      </c>
      <c r="B1007" s="12" t="s">
        <v>1181</v>
      </c>
      <c r="C1007" s="13" t="s">
        <v>404</v>
      </c>
      <c r="D1007" s="13">
        <v>56</v>
      </c>
      <c r="E1007" s="14">
        <v>450</v>
      </c>
      <c r="F1007" s="15">
        <v>0</v>
      </c>
      <c r="G1007" s="15">
        <v>0</v>
      </c>
      <c r="H1007" s="15">
        <v>0</v>
      </c>
      <c r="I1007" s="15">
        <v>0</v>
      </c>
      <c r="J1007" s="15">
        <v>0</v>
      </c>
      <c r="K1007" s="15">
        <v>0</v>
      </c>
      <c r="L1007" s="15">
        <v>0</v>
      </c>
      <c r="M1007" s="15">
        <v>0</v>
      </c>
      <c r="N1007" s="15">
        <v>0</v>
      </c>
      <c r="O1007" s="15">
        <v>0</v>
      </c>
    </row>
    <row r="1008" spans="1:15">
      <c r="A1008" s="11" t="s">
        <v>1324</v>
      </c>
      <c r="B1008" s="12" t="s">
        <v>1181</v>
      </c>
      <c r="C1008" s="13" t="s">
        <v>404</v>
      </c>
      <c r="D1008" s="13">
        <v>57</v>
      </c>
      <c r="E1008" s="14">
        <v>450</v>
      </c>
      <c r="F1008" s="15">
        <v>0</v>
      </c>
      <c r="G1008" s="15">
        <v>0</v>
      </c>
      <c r="H1008" s="15">
        <v>0</v>
      </c>
      <c r="I1008" s="15">
        <v>0</v>
      </c>
      <c r="J1008" s="15">
        <v>0</v>
      </c>
      <c r="K1008" s="15">
        <v>0</v>
      </c>
      <c r="L1008" s="15">
        <v>0</v>
      </c>
      <c r="M1008" s="15">
        <v>0</v>
      </c>
      <c r="N1008" s="15">
        <v>0</v>
      </c>
      <c r="O1008" s="15">
        <v>0</v>
      </c>
    </row>
    <row r="1009" spans="1:15">
      <c r="A1009" s="11" t="s">
        <v>1325</v>
      </c>
      <c r="B1009" s="12" t="s">
        <v>1181</v>
      </c>
      <c r="C1009" s="13" t="s">
        <v>404</v>
      </c>
      <c r="D1009" s="13">
        <v>58</v>
      </c>
      <c r="E1009" s="14">
        <v>450</v>
      </c>
      <c r="F1009" s="15">
        <v>0</v>
      </c>
      <c r="G1009" s="15">
        <v>0</v>
      </c>
      <c r="H1009" s="15">
        <v>0</v>
      </c>
      <c r="I1009" s="15">
        <v>0</v>
      </c>
      <c r="J1009" s="15">
        <v>0</v>
      </c>
      <c r="K1009" s="15">
        <v>0</v>
      </c>
      <c r="L1009" s="15">
        <v>0</v>
      </c>
      <c r="M1009" s="15">
        <v>0</v>
      </c>
      <c r="N1009" s="15">
        <v>0</v>
      </c>
      <c r="O1009" s="15">
        <v>0</v>
      </c>
    </row>
    <row r="1010" spans="1:15">
      <c r="A1010" s="11" t="s">
        <v>1326</v>
      </c>
      <c r="B1010" s="12" t="s">
        <v>1181</v>
      </c>
      <c r="C1010" s="13" t="s">
        <v>404</v>
      </c>
      <c r="D1010" s="13">
        <v>59</v>
      </c>
      <c r="E1010" s="14">
        <v>450</v>
      </c>
      <c r="F1010" s="15">
        <v>0</v>
      </c>
      <c r="G1010" s="15">
        <v>0</v>
      </c>
      <c r="H1010" s="15">
        <v>0</v>
      </c>
      <c r="I1010" s="15">
        <v>0</v>
      </c>
      <c r="J1010" s="15">
        <v>0</v>
      </c>
      <c r="K1010" s="15">
        <v>0</v>
      </c>
      <c r="L1010" s="15">
        <v>0</v>
      </c>
      <c r="M1010" s="15">
        <v>0</v>
      </c>
      <c r="N1010" s="15">
        <v>0</v>
      </c>
      <c r="O1010" s="15">
        <v>0</v>
      </c>
    </row>
    <row r="1011" spans="1:15">
      <c r="A1011" s="11" t="s">
        <v>1327</v>
      </c>
      <c r="B1011" s="12" t="s">
        <v>1181</v>
      </c>
      <c r="C1011" s="13" t="s">
        <v>404</v>
      </c>
      <c r="D1011" s="13">
        <v>60</v>
      </c>
      <c r="E1011" s="14">
        <v>450</v>
      </c>
      <c r="F1011" s="15">
        <v>0</v>
      </c>
      <c r="G1011" s="15">
        <v>0</v>
      </c>
      <c r="H1011" s="15">
        <v>0</v>
      </c>
      <c r="I1011" s="15">
        <v>0</v>
      </c>
      <c r="J1011" s="15">
        <v>0</v>
      </c>
      <c r="K1011" s="15">
        <v>0</v>
      </c>
      <c r="L1011" s="15">
        <v>0</v>
      </c>
      <c r="M1011" s="15">
        <v>0</v>
      </c>
      <c r="N1011" s="15">
        <v>0</v>
      </c>
      <c r="O1011" s="15">
        <v>0</v>
      </c>
    </row>
    <row r="1012" spans="1:15">
      <c r="A1012" s="11" t="s">
        <v>1328</v>
      </c>
      <c r="B1012" s="12" t="s">
        <v>1181</v>
      </c>
      <c r="C1012" s="13" t="s">
        <v>404</v>
      </c>
      <c r="D1012" s="13">
        <v>61</v>
      </c>
      <c r="E1012" s="14">
        <v>450</v>
      </c>
      <c r="F1012" s="15">
        <v>0</v>
      </c>
      <c r="G1012" s="15">
        <v>0</v>
      </c>
      <c r="H1012" s="15">
        <v>0</v>
      </c>
      <c r="I1012" s="15">
        <v>0</v>
      </c>
      <c r="J1012" s="15">
        <v>0</v>
      </c>
      <c r="K1012" s="15">
        <v>0</v>
      </c>
      <c r="L1012" s="15">
        <v>0</v>
      </c>
      <c r="M1012" s="15">
        <v>0</v>
      </c>
      <c r="N1012" s="15">
        <v>0</v>
      </c>
      <c r="O1012" s="15">
        <v>0</v>
      </c>
    </row>
    <row r="1013" spans="1:15">
      <c r="A1013" s="11" t="s">
        <v>1329</v>
      </c>
      <c r="B1013" s="12" t="s">
        <v>1181</v>
      </c>
      <c r="C1013" s="13" t="s">
        <v>404</v>
      </c>
      <c r="D1013" s="13">
        <v>62</v>
      </c>
      <c r="E1013" s="14">
        <v>450</v>
      </c>
      <c r="F1013" s="15">
        <v>0</v>
      </c>
      <c r="G1013" s="15">
        <v>0</v>
      </c>
      <c r="H1013" s="15">
        <v>0</v>
      </c>
      <c r="I1013" s="15">
        <v>0</v>
      </c>
      <c r="J1013" s="15">
        <v>0</v>
      </c>
      <c r="K1013" s="15">
        <v>0</v>
      </c>
      <c r="L1013" s="15">
        <v>0</v>
      </c>
      <c r="M1013" s="15">
        <v>0</v>
      </c>
      <c r="N1013" s="15">
        <v>0</v>
      </c>
      <c r="O1013" s="15">
        <v>0</v>
      </c>
    </row>
    <row r="1014" spans="1:15">
      <c r="A1014" s="11" t="s">
        <v>1330</v>
      </c>
      <c r="B1014" s="12" t="s">
        <v>1181</v>
      </c>
      <c r="C1014" s="13" t="s">
        <v>404</v>
      </c>
      <c r="D1014" s="13">
        <v>63</v>
      </c>
      <c r="E1014" s="14">
        <v>450</v>
      </c>
      <c r="F1014" s="15">
        <v>0</v>
      </c>
      <c r="G1014" s="15">
        <v>0</v>
      </c>
      <c r="H1014" s="15">
        <v>0</v>
      </c>
      <c r="I1014" s="15">
        <v>0</v>
      </c>
      <c r="J1014" s="15">
        <v>0</v>
      </c>
      <c r="K1014" s="15">
        <v>0</v>
      </c>
      <c r="L1014" s="15">
        <v>0</v>
      </c>
      <c r="M1014" s="15">
        <v>0</v>
      </c>
      <c r="N1014" s="15">
        <v>0</v>
      </c>
      <c r="O1014" s="15">
        <v>0</v>
      </c>
    </row>
    <row r="1015" spans="1:15">
      <c r="A1015" s="11" t="s">
        <v>1331</v>
      </c>
      <c r="B1015" s="12" t="s">
        <v>1181</v>
      </c>
      <c r="C1015" s="13" t="s">
        <v>404</v>
      </c>
      <c r="D1015" s="13">
        <v>64</v>
      </c>
      <c r="E1015" s="14">
        <v>450</v>
      </c>
      <c r="F1015" s="15">
        <v>0</v>
      </c>
      <c r="G1015" s="15">
        <v>0</v>
      </c>
      <c r="H1015" s="15">
        <v>0</v>
      </c>
      <c r="I1015" s="15">
        <v>0</v>
      </c>
      <c r="J1015" s="15">
        <v>0</v>
      </c>
      <c r="K1015" s="15">
        <v>0</v>
      </c>
      <c r="L1015" s="15">
        <v>0</v>
      </c>
      <c r="M1015" s="15">
        <v>0</v>
      </c>
      <c r="N1015" s="15">
        <v>0</v>
      </c>
      <c r="O1015" s="15">
        <v>0</v>
      </c>
    </row>
    <row r="1016" spans="1:15">
      <c r="A1016" s="11" t="s">
        <v>1332</v>
      </c>
      <c r="B1016" s="12" t="s">
        <v>1181</v>
      </c>
      <c r="C1016" s="13" t="s">
        <v>404</v>
      </c>
      <c r="D1016" s="13">
        <v>65</v>
      </c>
      <c r="E1016" s="14">
        <v>450</v>
      </c>
      <c r="F1016" s="15">
        <v>0</v>
      </c>
      <c r="G1016" s="15">
        <v>0</v>
      </c>
      <c r="H1016" s="15">
        <v>0</v>
      </c>
      <c r="I1016" s="15">
        <v>0</v>
      </c>
      <c r="J1016" s="15">
        <v>0</v>
      </c>
      <c r="K1016" s="15">
        <v>0</v>
      </c>
      <c r="L1016" s="15">
        <v>0</v>
      </c>
      <c r="M1016" s="15">
        <v>0</v>
      </c>
      <c r="N1016" s="15">
        <v>0</v>
      </c>
      <c r="O1016" s="15">
        <v>0</v>
      </c>
    </row>
    <row r="1017" spans="1:15">
      <c r="A1017" s="11" t="s">
        <v>1333</v>
      </c>
      <c r="B1017" s="12" t="s">
        <v>1181</v>
      </c>
      <c r="C1017" s="13" t="s">
        <v>404</v>
      </c>
      <c r="D1017" s="13">
        <v>66</v>
      </c>
      <c r="E1017" s="14">
        <v>450</v>
      </c>
      <c r="F1017" s="15">
        <v>0</v>
      </c>
      <c r="G1017" s="15">
        <v>0</v>
      </c>
      <c r="H1017" s="15">
        <v>0</v>
      </c>
      <c r="I1017" s="15">
        <v>0</v>
      </c>
      <c r="J1017" s="15">
        <v>0</v>
      </c>
      <c r="K1017" s="15">
        <v>0</v>
      </c>
      <c r="L1017" s="15">
        <v>0</v>
      </c>
      <c r="M1017" s="15">
        <v>0</v>
      </c>
      <c r="N1017" s="15">
        <v>0</v>
      </c>
      <c r="O1017" s="15">
        <v>0</v>
      </c>
    </row>
    <row r="1018" spans="1:15">
      <c r="A1018" s="11" t="s">
        <v>1334</v>
      </c>
      <c r="B1018" s="12" t="s">
        <v>1181</v>
      </c>
      <c r="C1018" s="13" t="s">
        <v>404</v>
      </c>
      <c r="D1018" s="13">
        <v>67</v>
      </c>
      <c r="E1018" s="14">
        <v>450</v>
      </c>
      <c r="F1018" s="15">
        <v>0</v>
      </c>
      <c r="G1018" s="15">
        <v>0</v>
      </c>
      <c r="H1018" s="15">
        <v>0</v>
      </c>
      <c r="I1018" s="15">
        <v>0</v>
      </c>
      <c r="J1018" s="15">
        <v>0</v>
      </c>
      <c r="K1018" s="15">
        <v>0</v>
      </c>
      <c r="L1018" s="15">
        <v>0</v>
      </c>
      <c r="M1018" s="15">
        <v>0</v>
      </c>
      <c r="N1018" s="15">
        <v>0</v>
      </c>
      <c r="O1018" s="15">
        <v>0</v>
      </c>
    </row>
    <row r="1019" spans="1:15">
      <c r="A1019" s="11" t="s">
        <v>1335</v>
      </c>
      <c r="B1019" s="12" t="s">
        <v>1181</v>
      </c>
      <c r="C1019" s="13" t="s">
        <v>404</v>
      </c>
      <c r="D1019" s="13">
        <v>68</v>
      </c>
      <c r="E1019" s="14">
        <v>450</v>
      </c>
      <c r="F1019" s="15">
        <v>0</v>
      </c>
      <c r="G1019" s="15">
        <v>0</v>
      </c>
      <c r="H1019" s="15">
        <v>0</v>
      </c>
      <c r="I1019" s="15">
        <v>0</v>
      </c>
      <c r="J1019" s="15">
        <v>0</v>
      </c>
      <c r="K1019" s="15">
        <v>0</v>
      </c>
      <c r="L1019" s="15">
        <v>0</v>
      </c>
      <c r="M1019" s="15">
        <v>0</v>
      </c>
      <c r="N1019" s="15">
        <v>0</v>
      </c>
      <c r="O1019" s="15">
        <v>0</v>
      </c>
    </row>
    <row r="1020" spans="1:15">
      <c r="A1020" s="11" t="s">
        <v>1336</v>
      </c>
      <c r="B1020" s="12" t="s">
        <v>1181</v>
      </c>
      <c r="C1020" s="13" t="s">
        <v>404</v>
      </c>
      <c r="D1020" s="13">
        <v>69</v>
      </c>
      <c r="E1020" s="14">
        <v>450</v>
      </c>
      <c r="F1020" s="15">
        <v>0</v>
      </c>
      <c r="G1020" s="15">
        <v>0</v>
      </c>
      <c r="H1020" s="15">
        <v>0</v>
      </c>
      <c r="I1020" s="15">
        <v>0</v>
      </c>
      <c r="J1020" s="15">
        <v>0</v>
      </c>
      <c r="K1020" s="15">
        <v>0</v>
      </c>
      <c r="L1020" s="15">
        <v>0</v>
      </c>
      <c r="M1020" s="15">
        <v>0</v>
      </c>
      <c r="N1020" s="15">
        <v>0</v>
      </c>
      <c r="O1020" s="15">
        <v>0</v>
      </c>
    </row>
    <row r="1021" spans="1:15">
      <c r="A1021" s="11" t="s">
        <v>1337</v>
      </c>
      <c r="B1021" s="12" t="s">
        <v>1181</v>
      </c>
      <c r="C1021" s="13" t="s">
        <v>404</v>
      </c>
      <c r="D1021" s="13">
        <v>70</v>
      </c>
      <c r="E1021" s="14">
        <v>450</v>
      </c>
      <c r="F1021" s="15">
        <v>0</v>
      </c>
      <c r="G1021" s="15">
        <v>0</v>
      </c>
      <c r="H1021" s="15">
        <v>0</v>
      </c>
      <c r="I1021" s="15">
        <v>0</v>
      </c>
      <c r="J1021" s="15">
        <v>0</v>
      </c>
      <c r="K1021" s="15">
        <v>0</v>
      </c>
      <c r="L1021" s="15">
        <v>0</v>
      </c>
      <c r="M1021" s="15">
        <v>0</v>
      </c>
      <c r="N1021" s="15">
        <v>0</v>
      </c>
      <c r="O1021" s="15">
        <v>0</v>
      </c>
    </row>
    <row r="1022" spans="1:15">
      <c r="A1022" s="11" t="s">
        <v>1338</v>
      </c>
      <c r="B1022" s="12" t="s">
        <v>1181</v>
      </c>
      <c r="C1022" s="13" t="s">
        <v>404</v>
      </c>
      <c r="D1022" s="13">
        <v>71</v>
      </c>
      <c r="E1022" s="14">
        <v>450</v>
      </c>
      <c r="F1022" s="15">
        <v>0</v>
      </c>
      <c r="G1022" s="15">
        <v>0</v>
      </c>
      <c r="H1022" s="15">
        <v>0</v>
      </c>
      <c r="I1022" s="15">
        <v>0</v>
      </c>
      <c r="J1022" s="15">
        <v>0</v>
      </c>
      <c r="K1022" s="15">
        <v>0</v>
      </c>
      <c r="L1022" s="15">
        <v>0</v>
      </c>
      <c r="M1022" s="15">
        <v>0</v>
      </c>
      <c r="N1022" s="15">
        <v>0</v>
      </c>
      <c r="O1022" s="15">
        <v>0</v>
      </c>
    </row>
    <row r="1023" spans="1:15">
      <c r="A1023" s="11" t="s">
        <v>1339</v>
      </c>
      <c r="B1023" s="12" t="s">
        <v>1181</v>
      </c>
      <c r="C1023" s="13" t="s">
        <v>404</v>
      </c>
      <c r="D1023" s="13">
        <v>72</v>
      </c>
      <c r="E1023" s="14">
        <v>450</v>
      </c>
      <c r="F1023" s="15">
        <v>0</v>
      </c>
      <c r="G1023" s="15">
        <v>0</v>
      </c>
      <c r="H1023" s="15">
        <v>0</v>
      </c>
      <c r="I1023" s="15">
        <v>0</v>
      </c>
      <c r="J1023" s="15">
        <v>0</v>
      </c>
      <c r="K1023" s="15">
        <v>0</v>
      </c>
      <c r="L1023" s="15">
        <v>0</v>
      </c>
      <c r="M1023" s="15">
        <v>0</v>
      </c>
      <c r="N1023" s="15">
        <v>0</v>
      </c>
      <c r="O1023" s="15">
        <v>0</v>
      </c>
    </row>
    <row r="1024" spans="1:15">
      <c r="A1024" s="11" t="s">
        <v>1340</v>
      </c>
      <c r="B1024" s="12" t="s">
        <v>1181</v>
      </c>
      <c r="C1024" s="13" t="s">
        <v>404</v>
      </c>
      <c r="D1024" s="13">
        <v>73</v>
      </c>
      <c r="E1024" s="14">
        <v>450</v>
      </c>
      <c r="F1024" s="15">
        <v>0</v>
      </c>
      <c r="G1024" s="15">
        <v>0</v>
      </c>
      <c r="H1024" s="15">
        <v>0</v>
      </c>
      <c r="I1024" s="15">
        <v>0</v>
      </c>
      <c r="J1024" s="15">
        <v>0</v>
      </c>
      <c r="K1024" s="15">
        <v>0</v>
      </c>
      <c r="L1024" s="15">
        <v>0</v>
      </c>
      <c r="M1024" s="15">
        <v>0</v>
      </c>
      <c r="N1024" s="15">
        <v>0</v>
      </c>
      <c r="O1024" s="15">
        <v>0</v>
      </c>
    </row>
    <row r="1025" spans="1:15">
      <c r="A1025" s="11" t="s">
        <v>1341</v>
      </c>
      <c r="B1025" s="12" t="s">
        <v>1181</v>
      </c>
      <c r="C1025" s="13" t="s">
        <v>404</v>
      </c>
      <c r="D1025" s="13">
        <v>74</v>
      </c>
      <c r="E1025" s="14">
        <v>450</v>
      </c>
      <c r="F1025" s="15">
        <v>0</v>
      </c>
      <c r="G1025" s="15">
        <v>0</v>
      </c>
      <c r="H1025" s="15">
        <v>0</v>
      </c>
      <c r="I1025" s="15">
        <v>0</v>
      </c>
      <c r="J1025" s="15">
        <v>0</v>
      </c>
      <c r="K1025" s="15">
        <v>0</v>
      </c>
      <c r="L1025" s="15">
        <v>0</v>
      </c>
      <c r="M1025" s="15">
        <v>0</v>
      </c>
      <c r="N1025" s="15">
        <v>0</v>
      </c>
      <c r="O1025" s="15">
        <v>0</v>
      </c>
    </row>
    <row r="1026" spans="1:15">
      <c r="A1026" s="11" t="s">
        <v>1342</v>
      </c>
      <c r="B1026" s="12" t="s">
        <v>1181</v>
      </c>
      <c r="C1026" s="13" t="s">
        <v>404</v>
      </c>
      <c r="D1026" s="13">
        <v>75</v>
      </c>
      <c r="E1026" s="14">
        <v>450</v>
      </c>
      <c r="F1026" s="15">
        <v>0</v>
      </c>
      <c r="G1026" s="15">
        <v>0</v>
      </c>
      <c r="H1026" s="15">
        <v>0</v>
      </c>
      <c r="I1026" s="15">
        <v>0</v>
      </c>
      <c r="J1026" s="15">
        <v>0</v>
      </c>
      <c r="K1026" s="15">
        <v>0</v>
      </c>
      <c r="L1026" s="15">
        <v>0</v>
      </c>
      <c r="M1026" s="15">
        <v>0</v>
      </c>
      <c r="N1026" s="15">
        <v>0</v>
      </c>
      <c r="O1026" s="15">
        <v>0</v>
      </c>
    </row>
    <row r="1027" spans="1:15">
      <c r="A1027" s="11" t="s">
        <v>1343</v>
      </c>
      <c r="B1027" s="12" t="s">
        <v>1181</v>
      </c>
      <c r="C1027" s="13" t="s">
        <v>404</v>
      </c>
      <c r="D1027" s="13">
        <v>76</v>
      </c>
      <c r="E1027" s="14">
        <v>450</v>
      </c>
      <c r="F1027" s="15">
        <v>0</v>
      </c>
      <c r="G1027" s="15">
        <v>0</v>
      </c>
      <c r="H1027" s="15">
        <v>0</v>
      </c>
      <c r="I1027" s="15">
        <v>0</v>
      </c>
      <c r="J1027" s="15">
        <v>0</v>
      </c>
      <c r="K1027" s="15">
        <v>0</v>
      </c>
      <c r="L1027" s="15">
        <v>0</v>
      </c>
      <c r="M1027" s="15">
        <v>0</v>
      </c>
      <c r="N1027" s="15">
        <v>0</v>
      </c>
      <c r="O1027" s="15">
        <v>0</v>
      </c>
    </row>
    <row r="1028" spans="1:15">
      <c r="A1028" s="11" t="s">
        <v>1344</v>
      </c>
      <c r="B1028" s="12" t="s">
        <v>1181</v>
      </c>
      <c r="C1028" s="13" t="s">
        <v>404</v>
      </c>
      <c r="D1028" s="13">
        <v>77</v>
      </c>
      <c r="E1028" s="14">
        <v>450</v>
      </c>
      <c r="F1028" s="15">
        <v>0</v>
      </c>
      <c r="G1028" s="15">
        <v>0</v>
      </c>
      <c r="H1028" s="15">
        <v>0</v>
      </c>
      <c r="I1028" s="15">
        <v>0</v>
      </c>
      <c r="J1028" s="15">
        <v>0</v>
      </c>
      <c r="K1028" s="15">
        <v>0</v>
      </c>
      <c r="L1028" s="15">
        <v>0</v>
      </c>
      <c r="M1028" s="15">
        <v>0</v>
      </c>
      <c r="N1028" s="15">
        <v>0</v>
      </c>
      <c r="O1028" s="15">
        <v>0</v>
      </c>
    </row>
    <row r="1029" spans="1:15">
      <c r="A1029" s="11" t="s">
        <v>1345</v>
      </c>
      <c r="B1029" s="12" t="s">
        <v>1181</v>
      </c>
      <c r="C1029" s="13" t="s">
        <v>404</v>
      </c>
      <c r="D1029" s="13">
        <v>78</v>
      </c>
      <c r="E1029" s="14">
        <v>450</v>
      </c>
      <c r="F1029" s="15">
        <v>0</v>
      </c>
      <c r="G1029" s="15">
        <v>0</v>
      </c>
      <c r="H1029" s="15">
        <v>0</v>
      </c>
      <c r="I1029" s="15">
        <v>0</v>
      </c>
      <c r="J1029" s="15">
        <v>0</v>
      </c>
      <c r="K1029" s="15">
        <v>0</v>
      </c>
      <c r="L1029" s="15">
        <v>0</v>
      </c>
      <c r="M1029" s="15">
        <v>0</v>
      </c>
      <c r="N1029" s="15">
        <v>0</v>
      </c>
      <c r="O1029" s="15">
        <v>0</v>
      </c>
    </row>
    <row r="1030" spans="1:15">
      <c r="A1030" s="11" t="s">
        <v>1346</v>
      </c>
      <c r="B1030" s="12" t="s">
        <v>1181</v>
      </c>
      <c r="C1030" s="13" t="s">
        <v>404</v>
      </c>
      <c r="D1030" s="13">
        <v>79</v>
      </c>
      <c r="E1030" s="14">
        <v>450</v>
      </c>
      <c r="F1030" s="15">
        <v>0</v>
      </c>
      <c r="G1030" s="15">
        <v>0</v>
      </c>
      <c r="H1030" s="15">
        <v>0</v>
      </c>
      <c r="I1030" s="15">
        <v>0</v>
      </c>
      <c r="J1030" s="15">
        <v>0</v>
      </c>
      <c r="K1030" s="15">
        <v>0</v>
      </c>
      <c r="L1030" s="15">
        <v>0</v>
      </c>
      <c r="M1030" s="15">
        <v>0</v>
      </c>
      <c r="N1030" s="15">
        <v>0</v>
      </c>
      <c r="O1030" s="15">
        <v>0</v>
      </c>
    </row>
    <row r="1031" spans="1:15">
      <c r="A1031" s="11" t="s">
        <v>1347</v>
      </c>
      <c r="B1031" s="12" t="s">
        <v>1181</v>
      </c>
      <c r="C1031" s="13" t="s">
        <v>404</v>
      </c>
      <c r="D1031" s="13">
        <v>80</v>
      </c>
      <c r="E1031" s="14">
        <v>450</v>
      </c>
      <c r="F1031" s="15">
        <v>0</v>
      </c>
      <c r="G1031" s="15">
        <v>0</v>
      </c>
      <c r="H1031" s="15">
        <v>0</v>
      </c>
      <c r="I1031" s="15">
        <v>0</v>
      </c>
      <c r="J1031" s="15">
        <v>0</v>
      </c>
      <c r="K1031" s="15">
        <v>0</v>
      </c>
      <c r="L1031" s="15">
        <v>0</v>
      </c>
      <c r="M1031" s="15">
        <v>0</v>
      </c>
      <c r="N1031" s="15">
        <v>0</v>
      </c>
      <c r="O1031" s="15">
        <v>0</v>
      </c>
    </row>
    <row r="1032" spans="1:15">
      <c r="A1032" s="11" t="s">
        <v>1348</v>
      </c>
      <c r="B1032" s="12" t="s">
        <v>1181</v>
      </c>
      <c r="C1032" s="13" t="s">
        <v>404</v>
      </c>
      <c r="D1032" s="13">
        <v>81</v>
      </c>
      <c r="E1032" s="14">
        <v>450</v>
      </c>
      <c r="F1032" s="15">
        <v>0</v>
      </c>
      <c r="G1032" s="15">
        <v>0</v>
      </c>
      <c r="H1032" s="15">
        <v>0</v>
      </c>
      <c r="I1032" s="15">
        <v>0</v>
      </c>
      <c r="J1032" s="15">
        <v>0</v>
      </c>
      <c r="K1032" s="15">
        <v>0</v>
      </c>
      <c r="L1032" s="15">
        <v>0</v>
      </c>
      <c r="M1032" s="15">
        <v>0</v>
      </c>
      <c r="N1032" s="15">
        <v>0</v>
      </c>
      <c r="O1032" s="15">
        <v>0</v>
      </c>
    </row>
    <row r="1033" spans="1:15">
      <c r="A1033" s="11" t="s">
        <v>1349</v>
      </c>
      <c r="B1033" s="12" t="s">
        <v>1181</v>
      </c>
      <c r="C1033" s="13" t="s">
        <v>404</v>
      </c>
      <c r="D1033" s="13">
        <v>82</v>
      </c>
      <c r="E1033" s="14">
        <v>450</v>
      </c>
      <c r="F1033" s="15">
        <v>0</v>
      </c>
      <c r="G1033" s="15">
        <v>0</v>
      </c>
      <c r="H1033" s="15">
        <v>0</v>
      </c>
      <c r="I1033" s="15">
        <v>0</v>
      </c>
      <c r="J1033" s="15">
        <v>0</v>
      </c>
      <c r="K1033" s="15">
        <v>0</v>
      </c>
      <c r="L1033" s="15">
        <v>0</v>
      </c>
      <c r="M1033" s="15">
        <v>0</v>
      </c>
      <c r="N1033" s="15">
        <v>0</v>
      </c>
      <c r="O1033" s="15">
        <v>0</v>
      </c>
    </row>
    <row r="1034" spans="1:15">
      <c r="A1034" s="11" t="s">
        <v>1350</v>
      </c>
      <c r="B1034" s="12" t="s">
        <v>1181</v>
      </c>
      <c r="C1034" s="13" t="s">
        <v>404</v>
      </c>
      <c r="D1034" s="13">
        <v>83</v>
      </c>
      <c r="E1034" s="14">
        <v>450</v>
      </c>
      <c r="F1034" s="15">
        <v>0</v>
      </c>
      <c r="G1034" s="15">
        <v>0</v>
      </c>
      <c r="H1034" s="15">
        <v>0</v>
      </c>
      <c r="I1034" s="15">
        <v>0</v>
      </c>
      <c r="J1034" s="15">
        <v>0</v>
      </c>
      <c r="K1034" s="15">
        <v>0</v>
      </c>
      <c r="L1034" s="15">
        <v>0</v>
      </c>
      <c r="M1034" s="15">
        <v>0</v>
      </c>
      <c r="N1034" s="15">
        <v>0</v>
      </c>
      <c r="O1034" s="15">
        <v>0</v>
      </c>
    </row>
    <row r="1035" spans="1:15">
      <c r="A1035" s="11" t="s">
        <v>1351</v>
      </c>
      <c r="B1035" s="12" t="s">
        <v>1181</v>
      </c>
      <c r="C1035" s="13" t="s">
        <v>404</v>
      </c>
      <c r="D1035" s="13">
        <v>84</v>
      </c>
      <c r="E1035" s="14">
        <v>450</v>
      </c>
      <c r="F1035" s="15">
        <v>0</v>
      </c>
      <c r="G1035" s="15">
        <v>0</v>
      </c>
      <c r="H1035" s="15">
        <v>0</v>
      </c>
      <c r="I1035" s="15">
        <v>0</v>
      </c>
      <c r="J1035" s="15">
        <v>0</v>
      </c>
      <c r="K1035" s="15">
        <v>0</v>
      </c>
      <c r="L1035" s="15">
        <v>0</v>
      </c>
      <c r="M1035" s="15">
        <v>0</v>
      </c>
      <c r="N1035" s="15">
        <v>0</v>
      </c>
      <c r="O1035" s="15">
        <v>0</v>
      </c>
    </row>
    <row r="1036" spans="1:15">
      <c r="A1036" s="11" t="s">
        <v>1352</v>
      </c>
      <c r="B1036" s="12" t="s">
        <v>1181</v>
      </c>
      <c r="C1036" s="13" t="s">
        <v>404</v>
      </c>
      <c r="D1036" s="13">
        <v>85</v>
      </c>
      <c r="E1036" s="14">
        <v>450</v>
      </c>
      <c r="F1036" s="15">
        <v>0</v>
      </c>
      <c r="G1036" s="15">
        <v>0</v>
      </c>
      <c r="H1036" s="15">
        <v>0</v>
      </c>
      <c r="I1036" s="15">
        <v>0</v>
      </c>
      <c r="J1036" s="15">
        <v>0</v>
      </c>
      <c r="K1036" s="15">
        <v>0</v>
      </c>
      <c r="L1036" s="15">
        <v>0</v>
      </c>
      <c r="M1036" s="15">
        <v>0</v>
      </c>
      <c r="N1036" s="15">
        <v>0</v>
      </c>
      <c r="O1036" s="15">
        <v>0</v>
      </c>
    </row>
    <row r="1037" spans="1:15">
      <c r="A1037" s="11"/>
      <c r="B1037" s="12"/>
      <c r="C1037" s="13"/>
      <c r="D1037" s="13"/>
      <c r="E1037" s="14"/>
      <c r="F1037" s="15"/>
      <c r="G1037" s="15"/>
      <c r="H1037" s="15"/>
      <c r="I1037" s="15"/>
      <c r="J1037" s="15"/>
      <c r="K1037" s="15"/>
      <c r="L1037" s="15"/>
      <c r="M1037" s="15"/>
      <c r="N1037" s="15"/>
      <c r="O1037" s="15"/>
    </row>
    <row r="1038" spans="1:15">
      <c r="A1038" s="11" t="s">
        <v>1353</v>
      </c>
      <c r="B1038" s="12" t="s">
        <v>286</v>
      </c>
      <c r="C1038" s="13" t="s">
        <v>317</v>
      </c>
      <c r="D1038" s="13">
        <v>0</v>
      </c>
      <c r="E1038" s="14">
        <v>156</v>
      </c>
      <c r="F1038" s="15">
        <v>0</v>
      </c>
      <c r="G1038" s="15">
        <v>0</v>
      </c>
      <c r="H1038" s="15">
        <v>0</v>
      </c>
      <c r="I1038" s="15">
        <v>0</v>
      </c>
      <c r="J1038" s="15">
        <v>0</v>
      </c>
      <c r="K1038" s="15">
        <v>0</v>
      </c>
      <c r="L1038" s="15">
        <v>0</v>
      </c>
      <c r="M1038" s="15">
        <v>0</v>
      </c>
      <c r="N1038" s="15">
        <v>0</v>
      </c>
      <c r="O1038" s="15">
        <v>0</v>
      </c>
    </row>
    <row r="1039" spans="1:15">
      <c r="A1039" s="11" t="s">
        <v>1354</v>
      </c>
      <c r="B1039" s="12" t="s">
        <v>286</v>
      </c>
      <c r="C1039" s="13" t="s">
        <v>317</v>
      </c>
      <c r="D1039" s="13">
        <v>1</v>
      </c>
      <c r="E1039" s="14">
        <v>156</v>
      </c>
      <c r="F1039" s="15">
        <v>0</v>
      </c>
      <c r="G1039" s="15">
        <v>0</v>
      </c>
      <c r="H1039" s="15">
        <v>0</v>
      </c>
      <c r="I1039" s="15">
        <v>0</v>
      </c>
      <c r="J1039" s="15">
        <v>0</v>
      </c>
      <c r="K1039" s="15">
        <v>0</v>
      </c>
      <c r="L1039" s="15">
        <v>0</v>
      </c>
      <c r="M1039" s="15">
        <v>0</v>
      </c>
      <c r="N1039" s="15">
        <v>0</v>
      </c>
      <c r="O1039" s="15">
        <v>0</v>
      </c>
    </row>
    <row r="1040" spans="1:15">
      <c r="A1040" s="11" t="s">
        <v>1355</v>
      </c>
      <c r="B1040" s="12" t="s">
        <v>286</v>
      </c>
      <c r="C1040" s="13" t="s">
        <v>317</v>
      </c>
      <c r="D1040" s="13">
        <v>2</v>
      </c>
      <c r="E1040" s="14">
        <v>156</v>
      </c>
      <c r="F1040" s="15">
        <v>0</v>
      </c>
      <c r="G1040" s="15">
        <v>0</v>
      </c>
      <c r="H1040" s="15">
        <v>0</v>
      </c>
      <c r="I1040" s="15">
        <v>0</v>
      </c>
      <c r="J1040" s="15">
        <v>0</v>
      </c>
      <c r="K1040" s="15">
        <v>0</v>
      </c>
      <c r="L1040" s="15">
        <v>0</v>
      </c>
      <c r="M1040" s="15">
        <v>0</v>
      </c>
      <c r="N1040" s="15">
        <v>0</v>
      </c>
      <c r="O1040" s="15">
        <v>0</v>
      </c>
    </row>
    <row r="1041" spans="1:15">
      <c r="A1041" s="11" t="s">
        <v>1356</v>
      </c>
      <c r="B1041" s="12" t="s">
        <v>286</v>
      </c>
      <c r="C1041" s="13" t="s">
        <v>317</v>
      </c>
      <c r="D1041" s="13">
        <v>3</v>
      </c>
      <c r="E1041" s="14">
        <v>156</v>
      </c>
      <c r="F1041" s="15">
        <v>0</v>
      </c>
      <c r="G1041" s="15">
        <v>0</v>
      </c>
      <c r="H1041" s="15">
        <v>0</v>
      </c>
      <c r="I1041" s="15">
        <v>0</v>
      </c>
      <c r="J1041" s="15">
        <v>0</v>
      </c>
      <c r="K1041" s="15">
        <v>0</v>
      </c>
      <c r="L1041" s="15">
        <v>0</v>
      </c>
      <c r="M1041" s="15">
        <v>0</v>
      </c>
      <c r="N1041" s="15">
        <v>0</v>
      </c>
      <c r="O1041" s="15">
        <v>0</v>
      </c>
    </row>
    <row r="1042" spans="1:15">
      <c r="A1042" s="11" t="s">
        <v>1357</v>
      </c>
      <c r="B1042" s="12" t="s">
        <v>286</v>
      </c>
      <c r="C1042" s="13" t="s">
        <v>317</v>
      </c>
      <c r="D1042" s="13">
        <v>4</v>
      </c>
      <c r="E1042" s="14">
        <v>156</v>
      </c>
      <c r="F1042" s="15">
        <v>0</v>
      </c>
      <c r="G1042" s="15">
        <v>0</v>
      </c>
      <c r="H1042" s="15">
        <v>0</v>
      </c>
      <c r="I1042" s="15">
        <v>0</v>
      </c>
      <c r="J1042" s="15">
        <v>0</v>
      </c>
      <c r="K1042" s="15">
        <v>0</v>
      </c>
      <c r="L1042" s="15">
        <v>0</v>
      </c>
      <c r="M1042" s="15">
        <v>0</v>
      </c>
      <c r="N1042" s="15">
        <v>0</v>
      </c>
      <c r="O1042" s="15">
        <v>0</v>
      </c>
    </row>
    <row r="1043" spans="1:15">
      <c r="A1043" s="11" t="s">
        <v>1358</v>
      </c>
      <c r="B1043" s="12" t="s">
        <v>286</v>
      </c>
      <c r="C1043" s="13" t="s">
        <v>317</v>
      </c>
      <c r="D1043" s="13">
        <v>5</v>
      </c>
      <c r="E1043" s="14">
        <v>156</v>
      </c>
      <c r="F1043" s="15">
        <v>0</v>
      </c>
      <c r="G1043" s="15">
        <v>0</v>
      </c>
      <c r="H1043" s="15">
        <v>0</v>
      </c>
      <c r="I1043" s="15">
        <v>0</v>
      </c>
      <c r="J1043" s="15">
        <v>0</v>
      </c>
      <c r="K1043" s="15">
        <v>0</v>
      </c>
      <c r="L1043" s="15">
        <v>0</v>
      </c>
      <c r="M1043" s="15">
        <v>0</v>
      </c>
      <c r="N1043" s="15">
        <v>0</v>
      </c>
      <c r="O1043" s="15">
        <v>0</v>
      </c>
    </row>
    <row r="1044" spans="1:15">
      <c r="A1044" s="11" t="s">
        <v>1359</v>
      </c>
      <c r="B1044" s="12" t="s">
        <v>286</v>
      </c>
      <c r="C1044" s="13" t="s">
        <v>317</v>
      </c>
      <c r="D1044" s="13">
        <v>6</v>
      </c>
      <c r="E1044" s="14">
        <v>156</v>
      </c>
      <c r="F1044" s="15">
        <v>0</v>
      </c>
      <c r="G1044" s="15">
        <v>0</v>
      </c>
      <c r="H1044" s="15">
        <v>0</v>
      </c>
      <c r="I1044" s="15">
        <v>0</v>
      </c>
      <c r="J1044" s="15">
        <v>0</v>
      </c>
      <c r="K1044" s="15">
        <v>0</v>
      </c>
      <c r="L1044" s="15">
        <v>0</v>
      </c>
      <c r="M1044" s="15">
        <v>0</v>
      </c>
      <c r="N1044" s="15">
        <v>0</v>
      </c>
      <c r="O1044" s="15">
        <v>0</v>
      </c>
    </row>
    <row r="1045" spans="1:15">
      <c r="A1045" s="11" t="s">
        <v>1360</v>
      </c>
      <c r="B1045" s="12" t="s">
        <v>286</v>
      </c>
      <c r="C1045" s="13" t="s">
        <v>317</v>
      </c>
      <c r="D1045" s="13">
        <v>7</v>
      </c>
      <c r="E1045" s="14">
        <v>156</v>
      </c>
      <c r="F1045" s="15">
        <v>0</v>
      </c>
      <c r="G1045" s="15">
        <v>0</v>
      </c>
      <c r="H1045" s="15">
        <v>0</v>
      </c>
      <c r="I1045" s="15">
        <v>0</v>
      </c>
      <c r="J1045" s="15">
        <v>0</v>
      </c>
      <c r="K1045" s="15">
        <v>0</v>
      </c>
      <c r="L1045" s="15">
        <v>0</v>
      </c>
      <c r="M1045" s="15">
        <v>0</v>
      </c>
      <c r="N1045" s="15">
        <v>0</v>
      </c>
      <c r="O1045" s="15">
        <v>0</v>
      </c>
    </row>
    <row r="1046" spans="1:15">
      <c r="A1046" s="11" t="s">
        <v>1361</v>
      </c>
      <c r="B1046" s="12" t="s">
        <v>286</v>
      </c>
      <c r="C1046" s="13" t="s">
        <v>317</v>
      </c>
      <c r="D1046" s="13">
        <v>8</v>
      </c>
      <c r="E1046" s="14">
        <v>156</v>
      </c>
      <c r="F1046" s="15">
        <v>0</v>
      </c>
      <c r="G1046" s="15">
        <v>0</v>
      </c>
      <c r="H1046" s="15">
        <v>0</v>
      </c>
      <c r="I1046" s="15">
        <v>0</v>
      </c>
      <c r="J1046" s="15">
        <v>0</v>
      </c>
      <c r="K1046" s="15">
        <v>0</v>
      </c>
      <c r="L1046" s="15">
        <v>0</v>
      </c>
      <c r="M1046" s="15">
        <v>0</v>
      </c>
      <c r="N1046" s="15">
        <v>0</v>
      </c>
      <c r="O1046" s="15">
        <v>0</v>
      </c>
    </row>
    <row r="1047" spans="1:15">
      <c r="A1047" s="11" t="s">
        <v>1362</v>
      </c>
      <c r="B1047" s="12" t="s">
        <v>286</v>
      </c>
      <c r="C1047" s="13" t="s">
        <v>317</v>
      </c>
      <c r="D1047" s="13">
        <v>9</v>
      </c>
      <c r="E1047" s="14">
        <v>156</v>
      </c>
      <c r="F1047" s="15">
        <v>0</v>
      </c>
      <c r="G1047" s="15">
        <v>0</v>
      </c>
      <c r="H1047" s="15">
        <v>0</v>
      </c>
      <c r="I1047" s="15">
        <v>0</v>
      </c>
      <c r="J1047" s="15">
        <v>0</v>
      </c>
      <c r="K1047" s="15">
        <v>0</v>
      </c>
      <c r="L1047" s="15">
        <v>0</v>
      </c>
      <c r="M1047" s="15">
        <v>0</v>
      </c>
      <c r="N1047" s="15">
        <v>0</v>
      </c>
      <c r="O1047" s="15">
        <v>0</v>
      </c>
    </row>
    <row r="1048" spans="1:15">
      <c r="A1048" s="11" t="s">
        <v>1363</v>
      </c>
      <c r="B1048" s="12" t="s">
        <v>286</v>
      </c>
      <c r="C1048" s="13" t="s">
        <v>317</v>
      </c>
      <c r="D1048" s="13">
        <v>10</v>
      </c>
      <c r="E1048" s="14">
        <v>156</v>
      </c>
      <c r="F1048" s="15">
        <v>0</v>
      </c>
      <c r="G1048" s="15">
        <v>0</v>
      </c>
      <c r="H1048" s="15">
        <v>0</v>
      </c>
      <c r="I1048" s="15">
        <v>0</v>
      </c>
      <c r="J1048" s="15">
        <v>0</v>
      </c>
      <c r="K1048" s="15">
        <v>0</v>
      </c>
      <c r="L1048" s="15">
        <v>0</v>
      </c>
      <c r="M1048" s="15">
        <v>0</v>
      </c>
      <c r="N1048" s="15">
        <v>0</v>
      </c>
      <c r="O1048" s="15">
        <v>0</v>
      </c>
    </row>
    <row r="1049" spans="1:15">
      <c r="A1049" s="11" t="s">
        <v>1364</v>
      </c>
      <c r="B1049" s="12" t="s">
        <v>286</v>
      </c>
      <c r="C1049" s="13" t="s">
        <v>317</v>
      </c>
      <c r="D1049" s="13">
        <v>11</v>
      </c>
      <c r="E1049" s="14">
        <v>156</v>
      </c>
      <c r="F1049" s="15">
        <v>0</v>
      </c>
      <c r="G1049" s="15">
        <v>0</v>
      </c>
      <c r="H1049" s="15">
        <v>0</v>
      </c>
      <c r="I1049" s="15">
        <v>0</v>
      </c>
      <c r="J1049" s="15">
        <v>0</v>
      </c>
      <c r="K1049" s="15">
        <v>0</v>
      </c>
      <c r="L1049" s="15">
        <v>0</v>
      </c>
      <c r="M1049" s="15">
        <v>0</v>
      </c>
      <c r="N1049" s="15">
        <v>0</v>
      </c>
      <c r="O1049" s="15">
        <v>0</v>
      </c>
    </row>
    <row r="1050" spans="1:15">
      <c r="A1050" s="11" t="s">
        <v>1365</v>
      </c>
      <c r="B1050" s="12" t="s">
        <v>286</v>
      </c>
      <c r="C1050" s="13" t="s">
        <v>317</v>
      </c>
      <c r="D1050" s="13">
        <v>12</v>
      </c>
      <c r="E1050" s="14">
        <v>156</v>
      </c>
      <c r="F1050" s="15">
        <v>0</v>
      </c>
      <c r="G1050" s="15">
        <v>0</v>
      </c>
      <c r="H1050" s="15">
        <v>0</v>
      </c>
      <c r="I1050" s="15">
        <v>0</v>
      </c>
      <c r="J1050" s="15">
        <v>0</v>
      </c>
      <c r="K1050" s="15">
        <v>0</v>
      </c>
      <c r="L1050" s="15">
        <v>0</v>
      </c>
      <c r="M1050" s="15">
        <v>0</v>
      </c>
      <c r="N1050" s="15">
        <v>0</v>
      </c>
      <c r="O1050" s="15">
        <v>0</v>
      </c>
    </row>
    <row r="1051" spans="1:15">
      <c r="A1051" s="11" t="s">
        <v>1366</v>
      </c>
      <c r="B1051" s="12" t="s">
        <v>286</v>
      </c>
      <c r="C1051" s="13" t="s">
        <v>317</v>
      </c>
      <c r="D1051" s="13">
        <v>13</v>
      </c>
      <c r="E1051" s="14">
        <v>156</v>
      </c>
      <c r="F1051" s="15">
        <v>0</v>
      </c>
      <c r="G1051" s="15">
        <v>0</v>
      </c>
      <c r="H1051" s="15">
        <v>0</v>
      </c>
      <c r="I1051" s="15">
        <v>0</v>
      </c>
      <c r="J1051" s="15">
        <v>0</v>
      </c>
      <c r="K1051" s="15">
        <v>0</v>
      </c>
      <c r="L1051" s="15">
        <v>0</v>
      </c>
      <c r="M1051" s="15">
        <v>0</v>
      </c>
      <c r="N1051" s="15">
        <v>0</v>
      </c>
      <c r="O1051" s="15">
        <v>0</v>
      </c>
    </row>
    <row r="1052" spans="1:15">
      <c r="A1052" s="11" t="s">
        <v>1367</v>
      </c>
      <c r="B1052" s="12" t="s">
        <v>286</v>
      </c>
      <c r="C1052" s="13" t="s">
        <v>317</v>
      </c>
      <c r="D1052" s="13">
        <v>14</v>
      </c>
      <c r="E1052" s="14">
        <v>156</v>
      </c>
      <c r="F1052" s="15">
        <v>0</v>
      </c>
      <c r="G1052" s="15">
        <v>0</v>
      </c>
      <c r="H1052" s="15">
        <v>0</v>
      </c>
      <c r="I1052" s="15">
        <v>0</v>
      </c>
      <c r="J1052" s="15">
        <v>0</v>
      </c>
      <c r="K1052" s="15">
        <v>0</v>
      </c>
      <c r="L1052" s="15">
        <v>0</v>
      </c>
      <c r="M1052" s="15">
        <v>0</v>
      </c>
      <c r="N1052" s="15">
        <v>0</v>
      </c>
      <c r="O1052" s="15">
        <v>0</v>
      </c>
    </row>
    <row r="1053" spans="1:15">
      <c r="A1053" s="11" t="s">
        <v>1368</v>
      </c>
      <c r="B1053" s="12" t="s">
        <v>286</v>
      </c>
      <c r="C1053" s="13" t="s">
        <v>317</v>
      </c>
      <c r="D1053" s="13">
        <v>15</v>
      </c>
      <c r="E1053" s="14">
        <v>156</v>
      </c>
      <c r="F1053" s="15">
        <v>0</v>
      </c>
      <c r="G1053" s="15">
        <v>0</v>
      </c>
      <c r="H1053" s="15">
        <v>0</v>
      </c>
      <c r="I1053" s="15">
        <v>0</v>
      </c>
      <c r="J1053" s="15">
        <v>0</v>
      </c>
      <c r="K1053" s="15">
        <v>0</v>
      </c>
      <c r="L1053" s="15">
        <v>0</v>
      </c>
      <c r="M1053" s="15">
        <v>0</v>
      </c>
      <c r="N1053" s="15">
        <v>0</v>
      </c>
      <c r="O1053" s="15">
        <v>0</v>
      </c>
    </row>
    <row r="1054" spans="1:15">
      <c r="A1054" s="11" t="s">
        <v>1369</v>
      </c>
      <c r="B1054" s="12" t="s">
        <v>286</v>
      </c>
      <c r="C1054" s="13" t="s">
        <v>317</v>
      </c>
      <c r="D1054" s="13">
        <v>16</v>
      </c>
      <c r="E1054" s="14">
        <v>156</v>
      </c>
      <c r="F1054" s="15">
        <v>0</v>
      </c>
      <c r="G1054" s="15">
        <v>0</v>
      </c>
      <c r="H1054" s="15">
        <v>0</v>
      </c>
      <c r="I1054" s="15">
        <v>0</v>
      </c>
      <c r="J1054" s="15">
        <v>0</v>
      </c>
      <c r="K1054" s="15">
        <v>0</v>
      </c>
      <c r="L1054" s="15">
        <v>0</v>
      </c>
      <c r="M1054" s="15">
        <v>0</v>
      </c>
      <c r="N1054" s="15">
        <v>0</v>
      </c>
      <c r="O1054" s="15">
        <v>0</v>
      </c>
    </row>
    <row r="1055" spans="1:15">
      <c r="A1055" s="11" t="s">
        <v>1370</v>
      </c>
      <c r="B1055" s="12" t="s">
        <v>286</v>
      </c>
      <c r="C1055" s="13" t="s">
        <v>317</v>
      </c>
      <c r="D1055" s="13">
        <v>17</v>
      </c>
      <c r="E1055" s="14">
        <v>156</v>
      </c>
      <c r="F1055" s="15">
        <v>0</v>
      </c>
      <c r="G1055" s="15">
        <v>0</v>
      </c>
      <c r="H1055" s="15">
        <v>0</v>
      </c>
      <c r="I1055" s="15">
        <v>0</v>
      </c>
      <c r="J1055" s="15">
        <v>0</v>
      </c>
      <c r="K1055" s="15">
        <v>0</v>
      </c>
      <c r="L1055" s="15">
        <v>0</v>
      </c>
      <c r="M1055" s="15">
        <v>0</v>
      </c>
      <c r="N1055" s="15">
        <v>0</v>
      </c>
      <c r="O1055" s="15">
        <v>0</v>
      </c>
    </row>
    <row r="1056" spans="1:15">
      <c r="A1056" s="11" t="s">
        <v>1371</v>
      </c>
      <c r="B1056" s="12" t="s">
        <v>286</v>
      </c>
      <c r="C1056" s="13" t="s">
        <v>317</v>
      </c>
      <c r="D1056" s="13">
        <v>18</v>
      </c>
      <c r="E1056" s="14">
        <v>156</v>
      </c>
      <c r="F1056" s="15">
        <v>0</v>
      </c>
      <c r="G1056" s="15">
        <v>0</v>
      </c>
      <c r="H1056" s="15">
        <v>0</v>
      </c>
      <c r="I1056" s="15">
        <v>0</v>
      </c>
      <c r="J1056" s="15">
        <v>0</v>
      </c>
      <c r="K1056" s="15">
        <v>0</v>
      </c>
      <c r="L1056" s="15">
        <v>0</v>
      </c>
      <c r="M1056" s="15">
        <v>0</v>
      </c>
      <c r="N1056" s="15">
        <v>0</v>
      </c>
      <c r="O1056" s="15">
        <v>0</v>
      </c>
    </row>
    <row r="1057" spans="1:15">
      <c r="A1057" s="11" t="s">
        <v>1372</v>
      </c>
      <c r="B1057" s="12" t="s">
        <v>286</v>
      </c>
      <c r="C1057" s="13" t="s">
        <v>317</v>
      </c>
      <c r="D1057" s="13">
        <v>19</v>
      </c>
      <c r="E1057" s="14">
        <v>156</v>
      </c>
      <c r="F1057" s="15">
        <v>0</v>
      </c>
      <c r="G1057" s="15">
        <v>0</v>
      </c>
      <c r="H1057" s="15">
        <v>0</v>
      </c>
      <c r="I1057" s="15">
        <v>0</v>
      </c>
      <c r="J1057" s="15">
        <v>0</v>
      </c>
      <c r="K1057" s="15">
        <v>0</v>
      </c>
      <c r="L1057" s="15">
        <v>0</v>
      </c>
      <c r="M1057" s="15">
        <v>0</v>
      </c>
      <c r="N1057" s="15">
        <v>0</v>
      </c>
      <c r="O1057" s="15">
        <v>0</v>
      </c>
    </row>
    <row r="1058" spans="1:15">
      <c r="A1058" s="11" t="s">
        <v>1373</v>
      </c>
      <c r="B1058" s="12" t="s">
        <v>286</v>
      </c>
      <c r="C1058" s="13" t="s">
        <v>317</v>
      </c>
      <c r="D1058" s="13">
        <v>20</v>
      </c>
      <c r="E1058" s="14">
        <v>156</v>
      </c>
      <c r="F1058" s="15">
        <v>0</v>
      </c>
      <c r="G1058" s="15">
        <v>0</v>
      </c>
      <c r="H1058" s="15">
        <v>0</v>
      </c>
      <c r="I1058" s="15">
        <v>0</v>
      </c>
      <c r="J1058" s="15">
        <v>0</v>
      </c>
      <c r="K1058" s="15">
        <v>0</v>
      </c>
      <c r="L1058" s="15">
        <v>0</v>
      </c>
      <c r="M1058" s="15">
        <v>0</v>
      </c>
      <c r="N1058" s="15">
        <v>0</v>
      </c>
      <c r="O1058" s="15">
        <v>0</v>
      </c>
    </row>
    <row r="1059" spans="1:15">
      <c r="A1059" s="11" t="s">
        <v>1374</v>
      </c>
      <c r="B1059" s="12" t="s">
        <v>286</v>
      </c>
      <c r="C1059" s="13" t="s">
        <v>317</v>
      </c>
      <c r="D1059" s="13">
        <v>21</v>
      </c>
      <c r="E1059" s="14">
        <v>156</v>
      </c>
      <c r="F1059" s="15">
        <v>0</v>
      </c>
      <c r="G1059" s="15">
        <v>0</v>
      </c>
      <c r="H1059" s="15">
        <v>0</v>
      </c>
      <c r="I1059" s="15">
        <v>0</v>
      </c>
      <c r="J1059" s="15">
        <v>0</v>
      </c>
      <c r="K1059" s="15">
        <v>0</v>
      </c>
      <c r="L1059" s="15">
        <v>0</v>
      </c>
      <c r="M1059" s="15">
        <v>0</v>
      </c>
      <c r="N1059" s="15">
        <v>0</v>
      </c>
      <c r="O1059" s="15">
        <v>0</v>
      </c>
    </row>
    <row r="1060" spans="1:15">
      <c r="A1060" s="11" t="s">
        <v>1375</v>
      </c>
      <c r="B1060" s="12" t="s">
        <v>286</v>
      </c>
      <c r="C1060" s="13" t="s">
        <v>317</v>
      </c>
      <c r="D1060" s="13">
        <v>22</v>
      </c>
      <c r="E1060" s="14">
        <v>156</v>
      </c>
      <c r="F1060" s="15">
        <v>0</v>
      </c>
      <c r="G1060" s="15">
        <v>0</v>
      </c>
      <c r="H1060" s="15">
        <v>0</v>
      </c>
      <c r="I1060" s="15">
        <v>0</v>
      </c>
      <c r="J1060" s="15">
        <v>0</v>
      </c>
      <c r="K1060" s="15">
        <v>0</v>
      </c>
      <c r="L1060" s="15">
        <v>0</v>
      </c>
      <c r="M1060" s="15">
        <v>0</v>
      </c>
      <c r="N1060" s="15">
        <v>0</v>
      </c>
      <c r="O1060" s="15">
        <v>0</v>
      </c>
    </row>
    <row r="1061" spans="1:15">
      <c r="A1061" s="11" t="s">
        <v>1376</v>
      </c>
      <c r="B1061" s="12" t="s">
        <v>286</v>
      </c>
      <c r="C1061" s="13" t="s">
        <v>317</v>
      </c>
      <c r="D1061" s="13">
        <v>23</v>
      </c>
      <c r="E1061" s="14">
        <v>156</v>
      </c>
      <c r="F1061" s="15">
        <v>0</v>
      </c>
      <c r="G1061" s="15">
        <v>0</v>
      </c>
      <c r="H1061" s="15">
        <v>0</v>
      </c>
      <c r="I1061" s="15">
        <v>0</v>
      </c>
      <c r="J1061" s="15">
        <v>0</v>
      </c>
      <c r="K1061" s="15">
        <v>0</v>
      </c>
      <c r="L1061" s="15">
        <v>0</v>
      </c>
      <c r="M1061" s="15">
        <v>0</v>
      </c>
      <c r="N1061" s="15">
        <v>0</v>
      </c>
      <c r="O1061" s="15">
        <v>0</v>
      </c>
    </row>
    <row r="1062" spans="1:15">
      <c r="A1062" s="11" t="s">
        <v>1377</v>
      </c>
      <c r="B1062" s="12" t="s">
        <v>286</v>
      </c>
      <c r="C1062" s="13" t="s">
        <v>317</v>
      </c>
      <c r="D1062" s="13">
        <v>24</v>
      </c>
      <c r="E1062" s="14">
        <v>156</v>
      </c>
      <c r="F1062" s="15">
        <v>0</v>
      </c>
      <c r="G1062" s="15">
        <v>0</v>
      </c>
      <c r="H1062" s="15">
        <v>0</v>
      </c>
      <c r="I1062" s="15">
        <v>0</v>
      </c>
      <c r="J1062" s="15">
        <v>0</v>
      </c>
      <c r="K1062" s="15">
        <v>0</v>
      </c>
      <c r="L1062" s="15">
        <v>0</v>
      </c>
      <c r="M1062" s="15">
        <v>0</v>
      </c>
      <c r="N1062" s="15">
        <v>0</v>
      </c>
      <c r="O1062" s="15">
        <v>0</v>
      </c>
    </row>
    <row r="1063" spans="1:15">
      <c r="A1063" s="11" t="s">
        <v>1378</v>
      </c>
      <c r="B1063" s="12" t="s">
        <v>286</v>
      </c>
      <c r="C1063" s="13" t="s">
        <v>317</v>
      </c>
      <c r="D1063" s="13">
        <v>25</v>
      </c>
      <c r="E1063" s="14">
        <v>156</v>
      </c>
      <c r="F1063" s="15">
        <v>0</v>
      </c>
      <c r="G1063" s="15">
        <v>0</v>
      </c>
      <c r="H1063" s="15">
        <v>0</v>
      </c>
      <c r="I1063" s="15">
        <v>0</v>
      </c>
      <c r="J1063" s="15">
        <v>0</v>
      </c>
      <c r="K1063" s="15">
        <v>0</v>
      </c>
      <c r="L1063" s="15">
        <v>0</v>
      </c>
      <c r="M1063" s="15">
        <v>0</v>
      </c>
      <c r="N1063" s="15">
        <v>0</v>
      </c>
      <c r="O1063" s="15">
        <v>0</v>
      </c>
    </row>
    <row r="1064" spans="1:15">
      <c r="A1064" s="11" t="s">
        <v>1379</v>
      </c>
      <c r="B1064" s="12" t="s">
        <v>286</v>
      </c>
      <c r="C1064" s="13" t="s">
        <v>317</v>
      </c>
      <c r="D1064" s="13">
        <v>26</v>
      </c>
      <c r="E1064" s="14">
        <v>156</v>
      </c>
      <c r="F1064" s="15">
        <v>0</v>
      </c>
      <c r="G1064" s="15">
        <v>0</v>
      </c>
      <c r="H1064" s="15">
        <v>0</v>
      </c>
      <c r="I1064" s="15">
        <v>0</v>
      </c>
      <c r="J1064" s="15">
        <v>0</v>
      </c>
      <c r="K1064" s="15">
        <v>0</v>
      </c>
      <c r="L1064" s="15">
        <v>0</v>
      </c>
      <c r="M1064" s="15">
        <v>0</v>
      </c>
      <c r="N1064" s="15">
        <v>0</v>
      </c>
      <c r="O1064" s="15">
        <v>0</v>
      </c>
    </row>
    <row r="1065" spans="1:15">
      <c r="A1065" s="11" t="s">
        <v>1380</v>
      </c>
      <c r="B1065" s="12" t="s">
        <v>286</v>
      </c>
      <c r="C1065" s="13" t="s">
        <v>317</v>
      </c>
      <c r="D1065" s="13">
        <v>27</v>
      </c>
      <c r="E1065" s="14">
        <v>156</v>
      </c>
      <c r="F1065" s="15">
        <v>0</v>
      </c>
      <c r="G1065" s="15">
        <v>0</v>
      </c>
      <c r="H1065" s="15">
        <v>0</v>
      </c>
      <c r="I1065" s="15">
        <v>0</v>
      </c>
      <c r="J1065" s="15">
        <v>0</v>
      </c>
      <c r="K1065" s="15">
        <v>0</v>
      </c>
      <c r="L1065" s="15">
        <v>0</v>
      </c>
      <c r="M1065" s="15">
        <v>0</v>
      </c>
      <c r="N1065" s="15">
        <v>0</v>
      </c>
      <c r="O1065" s="15">
        <v>0</v>
      </c>
    </row>
    <row r="1066" spans="1:15">
      <c r="A1066" s="11" t="s">
        <v>1381</v>
      </c>
      <c r="B1066" s="12" t="s">
        <v>286</v>
      </c>
      <c r="C1066" s="13" t="s">
        <v>317</v>
      </c>
      <c r="D1066" s="13">
        <v>28</v>
      </c>
      <c r="E1066" s="14">
        <v>156</v>
      </c>
      <c r="F1066" s="15">
        <v>0</v>
      </c>
      <c r="G1066" s="15">
        <v>0</v>
      </c>
      <c r="H1066" s="15">
        <v>0</v>
      </c>
      <c r="I1066" s="15">
        <v>0</v>
      </c>
      <c r="J1066" s="15">
        <v>0</v>
      </c>
      <c r="K1066" s="15">
        <v>0</v>
      </c>
      <c r="L1066" s="15">
        <v>0</v>
      </c>
      <c r="M1066" s="15">
        <v>0</v>
      </c>
      <c r="N1066" s="15">
        <v>0</v>
      </c>
      <c r="O1066" s="15">
        <v>0</v>
      </c>
    </row>
    <row r="1067" spans="1:15">
      <c r="A1067" s="11" t="s">
        <v>1382</v>
      </c>
      <c r="B1067" s="12" t="s">
        <v>286</v>
      </c>
      <c r="C1067" s="13" t="s">
        <v>317</v>
      </c>
      <c r="D1067" s="13">
        <v>29</v>
      </c>
      <c r="E1067" s="14">
        <v>156</v>
      </c>
      <c r="F1067" s="15">
        <v>0</v>
      </c>
      <c r="G1067" s="15">
        <v>0</v>
      </c>
      <c r="H1067" s="15">
        <v>0</v>
      </c>
      <c r="I1067" s="15">
        <v>0</v>
      </c>
      <c r="J1067" s="15">
        <v>0</v>
      </c>
      <c r="K1067" s="15">
        <v>0</v>
      </c>
      <c r="L1067" s="15">
        <v>0</v>
      </c>
      <c r="M1067" s="15">
        <v>0</v>
      </c>
      <c r="N1067" s="15">
        <v>0</v>
      </c>
      <c r="O1067" s="15">
        <v>0</v>
      </c>
    </row>
    <row r="1068" spans="1:15">
      <c r="A1068" s="11" t="s">
        <v>1383</v>
      </c>
      <c r="B1068" s="12" t="s">
        <v>286</v>
      </c>
      <c r="C1068" s="13" t="s">
        <v>317</v>
      </c>
      <c r="D1068" s="13">
        <v>30</v>
      </c>
      <c r="E1068" s="14">
        <v>156</v>
      </c>
      <c r="F1068" s="15">
        <v>0</v>
      </c>
      <c r="G1068" s="15">
        <v>0</v>
      </c>
      <c r="H1068" s="15">
        <v>0</v>
      </c>
      <c r="I1068" s="15">
        <v>0</v>
      </c>
      <c r="J1068" s="15">
        <v>0</v>
      </c>
      <c r="K1068" s="15">
        <v>0</v>
      </c>
      <c r="L1068" s="15">
        <v>0</v>
      </c>
      <c r="M1068" s="15">
        <v>0</v>
      </c>
      <c r="N1068" s="15">
        <v>0</v>
      </c>
      <c r="O1068" s="15">
        <v>0</v>
      </c>
    </row>
    <row r="1069" spans="1:15">
      <c r="A1069" s="11" t="s">
        <v>1384</v>
      </c>
      <c r="B1069" s="12" t="s">
        <v>286</v>
      </c>
      <c r="C1069" s="13" t="s">
        <v>317</v>
      </c>
      <c r="D1069" s="13">
        <v>31</v>
      </c>
      <c r="E1069" s="14">
        <v>156</v>
      </c>
      <c r="F1069" s="15">
        <v>0</v>
      </c>
      <c r="G1069" s="15">
        <v>0</v>
      </c>
      <c r="H1069" s="15">
        <v>0</v>
      </c>
      <c r="I1069" s="15">
        <v>0</v>
      </c>
      <c r="J1069" s="15">
        <v>0</v>
      </c>
      <c r="K1069" s="15">
        <v>0</v>
      </c>
      <c r="L1069" s="15">
        <v>0</v>
      </c>
      <c r="M1069" s="15">
        <v>0</v>
      </c>
      <c r="N1069" s="15">
        <v>0</v>
      </c>
      <c r="O1069" s="15">
        <v>0</v>
      </c>
    </row>
    <row r="1070" spans="1:15">
      <c r="A1070" s="11" t="s">
        <v>1385</v>
      </c>
      <c r="B1070" s="12" t="s">
        <v>286</v>
      </c>
      <c r="C1070" s="13" t="s">
        <v>317</v>
      </c>
      <c r="D1070" s="13">
        <v>32</v>
      </c>
      <c r="E1070" s="14">
        <v>156</v>
      </c>
      <c r="F1070" s="15">
        <v>0</v>
      </c>
      <c r="G1070" s="15">
        <v>0</v>
      </c>
      <c r="H1070" s="15">
        <v>0</v>
      </c>
      <c r="I1070" s="15">
        <v>0</v>
      </c>
      <c r="J1070" s="15">
        <v>0</v>
      </c>
      <c r="K1070" s="15">
        <v>0</v>
      </c>
      <c r="L1070" s="15">
        <v>0</v>
      </c>
      <c r="M1070" s="15">
        <v>0</v>
      </c>
      <c r="N1070" s="15">
        <v>0</v>
      </c>
      <c r="O1070" s="15">
        <v>0</v>
      </c>
    </row>
    <row r="1071" spans="1:15">
      <c r="A1071" s="11" t="s">
        <v>1386</v>
      </c>
      <c r="B1071" s="12" t="s">
        <v>286</v>
      </c>
      <c r="C1071" s="13" t="s">
        <v>317</v>
      </c>
      <c r="D1071" s="13">
        <v>33</v>
      </c>
      <c r="E1071" s="14">
        <v>156</v>
      </c>
      <c r="F1071" s="15">
        <v>0</v>
      </c>
      <c r="G1071" s="15">
        <v>0</v>
      </c>
      <c r="H1071" s="15">
        <v>0</v>
      </c>
      <c r="I1071" s="15">
        <v>0</v>
      </c>
      <c r="J1071" s="15">
        <v>0</v>
      </c>
      <c r="K1071" s="15">
        <v>0</v>
      </c>
      <c r="L1071" s="15">
        <v>0</v>
      </c>
      <c r="M1071" s="15">
        <v>0</v>
      </c>
      <c r="N1071" s="15">
        <v>0</v>
      </c>
      <c r="O1071" s="15">
        <v>0</v>
      </c>
    </row>
    <row r="1072" spans="1:15">
      <c r="A1072" s="11" t="s">
        <v>1387</v>
      </c>
      <c r="B1072" s="12" t="s">
        <v>286</v>
      </c>
      <c r="C1072" s="13" t="s">
        <v>317</v>
      </c>
      <c r="D1072" s="13">
        <v>34</v>
      </c>
      <c r="E1072" s="14">
        <v>156</v>
      </c>
      <c r="F1072" s="15">
        <v>0</v>
      </c>
      <c r="G1072" s="15">
        <v>0</v>
      </c>
      <c r="H1072" s="15">
        <v>0</v>
      </c>
      <c r="I1072" s="15">
        <v>0</v>
      </c>
      <c r="J1072" s="15">
        <v>0</v>
      </c>
      <c r="K1072" s="15">
        <v>0</v>
      </c>
      <c r="L1072" s="15">
        <v>0</v>
      </c>
      <c r="M1072" s="15">
        <v>0</v>
      </c>
      <c r="N1072" s="15">
        <v>0</v>
      </c>
      <c r="O1072" s="15">
        <v>0</v>
      </c>
    </row>
    <row r="1073" spans="1:15">
      <c r="A1073" s="11" t="s">
        <v>1388</v>
      </c>
      <c r="B1073" s="12" t="s">
        <v>286</v>
      </c>
      <c r="C1073" s="13" t="s">
        <v>317</v>
      </c>
      <c r="D1073" s="13">
        <v>35</v>
      </c>
      <c r="E1073" s="14">
        <v>156</v>
      </c>
      <c r="F1073" s="15">
        <v>0</v>
      </c>
      <c r="G1073" s="15">
        <v>0</v>
      </c>
      <c r="H1073" s="15">
        <v>0</v>
      </c>
      <c r="I1073" s="15">
        <v>0</v>
      </c>
      <c r="J1073" s="15">
        <v>0</v>
      </c>
      <c r="K1073" s="15">
        <v>0</v>
      </c>
      <c r="L1073" s="15">
        <v>0</v>
      </c>
      <c r="M1073" s="15">
        <v>0</v>
      </c>
      <c r="N1073" s="15">
        <v>0</v>
      </c>
      <c r="O1073" s="15">
        <v>0</v>
      </c>
    </row>
    <row r="1074" spans="1:15">
      <c r="A1074" s="11" t="s">
        <v>1389</v>
      </c>
      <c r="B1074" s="12" t="s">
        <v>286</v>
      </c>
      <c r="C1074" s="13" t="s">
        <v>317</v>
      </c>
      <c r="D1074" s="13">
        <v>36</v>
      </c>
      <c r="E1074" s="14">
        <v>156</v>
      </c>
      <c r="F1074" s="15">
        <v>0</v>
      </c>
      <c r="G1074" s="15">
        <v>0</v>
      </c>
      <c r="H1074" s="15">
        <v>0</v>
      </c>
      <c r="I1074" s="15">
        <v>0</v>
      </c>
      <c r="J1074" s="15">
        <v>0</v>
      </c>
      <c r="K1074" s="15">
        <v>0</v>
      </c>
      <c r="L1074" s="15">
        <v>0</v>
      </c>
      <c r="M1074" s="15">
        <v>0</v>
      </c>
      <c r="N1074" s="15">
        <v>0</v>
      </c>
      <c r="O1074" s="15">
        <v>0</v>
      </c>
    </row>
    <row r="1075" spans="1:15">
      <c r="A1075" s="11" t="s">
        <v>1390</v>
      </c>
      <c r="B1075" s="12" t="s">
        <v>286</v>
      </c>
      <c r="C1075" s="13" t="s">
        <v>317</v>
      </c>
      <c r="D1075" s="13">
        <v>37</v>
      </c>
      <c r="E1075" s="14">
        <v>156</v>
      </c>
      <c r="F1075" s="15">
        <v>0</v>
      </c>
      <c r="G1075" s="15">
        <v>0</v>
      </c>
      <c r="H1075" s="15">
        <v>0</v>
      </c>
      <c r="I1075" s="15">
        <v>0</v>
      </c>
      <c r="J1075" s="15">
        <v>0</v>
      </c>
      <c r="K1075" s="15">
        <v>0</v>
      </c>
      <c r="L1075" s="15">
        <v>0</v>
      </c>
      <c r="M1075" s="15">
        <v>0</v>
      </c>
      <c r="N1075" s="15">
        <v>0</v>
      </c>
      <c r="O1075" s="15">
        <v>0</v>
      </c>
    </row>
    <row r="1076" spans="1:15">
      <c r="A1076" s="11" t="s">
        <v>1391</v>
      </c>
      <c r="B1076" s="12" t="s">
        <v>286</v>
      </c>
      <c r="C1076" s="13" t="s">
        <v>317</v>
      </c>
      <c r="D1076" s="13">
        <v>38</v>
      </c>
      <c r="E1076" s="14">
        <v>156</v>
      </c>
      <c r="F1076" s="15">
        <v>0</v>
      </c>
      <c r="G1076" s="15">
        <v>0</v>
      </c>
      <c r="H1076" s="15">
        <v>0</v>
      </c>
      <c r="I1076" s="15">
        <v>0</v>
      </c>
      <c r="J1076" s="15">
        <v>0</v>
      </c>
      <c r="K1076" s="15">
        <v>0</v>
      </c>
      <c r="L1076" s="15">
        <v>0</v>
      </c>
      <c r="M1076" s="15">
        <v>0</v>
      </c>
      <c r="N1076" s="15">
        <v>0</v>
      </c>
      <c r="O1076" s="15">
        <v>0</v>
      </c>
    </row>
    <row r="1077" spans="1:15">
      <c r="A1077" s="11" t="s">
        <v>1392</v>
      </c>
      <c r="B1077" s="12" t="s">
        <v>286</v>
      </c>
      <c r="C1077" s="13" t="s">
        <v>317</v>
      </c>
      <c r="D1077" s="13">
        <v>39</v>
      </c>
      <c r="E1077" s="14">
        <v>156</v>
      </c>
      <c r="F1077" s="15">
        <v>0</v>
      </c>
      <c r="G1077" s="15">
        <v>0</v>
      </c>
      <c r="H1077" s="15">
        <v>0</v>
      </c>
      <c r="I1077" s="15">
        <v>0</v>
      </c>
      <c r="J1077" s="15">
        <v>0</v>
      </c>
      <c r="K1077" s="15">
        <v>0</v>
      </c>
      <c r="L1077" s="15">
        <v>0</v>
      </c>
      <c r="M1077" s="15">
        <v>0</v>
      </c>
      <c r="N1077" s="15">
        <v>0</v>
      </c>
      <c r="O1077" s="15">
        <v>0</v>
      </c>
    </row>
    <row r="1078" spans="1:15">
      <c r="A1078" s="11" t="s">
        <v>1393</v>
      </c>
      <c r="B1078" s="12" t="s">
        <v>286</v>
      </c>
      <c r="C1078" s="13" t="s">
        <v>317</v>
      </c>
      <c r="D1078" s="13">
        <v>40</v>
      </c>
      <c r="E1078" s="14">
        <v>156</v>
      </c>
      <c r="F1078" s="15">
        <v>0</v>
      </c>
      <c r="G1078" s="15">
        <v>0</v>
      </c>
      <c r="H1078" s="15">
        <v>0</v>
      </c>
      <c r="I1078" s="15">
        <v>0</v>
      </c>
      <c r="J1078" s="15">
        <v>0</v>
      </c>
      <c r="K1078" s="15">
        <v>0</v>
      </c>
      <c r="L1078" s="15">
        <v>0</v>
      </c>
      <c r="M1078" s="15">
        <v>0</v>
      </c>
      <c r="N1078" s="15">
        <v>0</v>
      </c>
      <c r="O1078" s="15">
        <v>0</v>
      </c>
    </row>
    <row r="1079" spans="1:15">
      <c r="A1079" s="11" t="s">
        <v>1394</v>
      </c>
      <c r="B1079" s="12" t="s">
        <v>286</v>
      </c>
      <c r="C1079" s="13" t="s">
        <v>317</v>
      </c>
      <c r="D1079" s="13">
        <v>41</v>
      </c>
      <c r="E1079" s="14">
        <v>156</v>
      </c>
      <c r="F1079" s="15">
        <v>0</v>
      </c>
      <c r="G1079" s="15">
        <v>0</v>
      </c>
      <c r="H1079" s="15">
        <v>0</v>
      </c>
      <c r="I1079" s="15">
        <v>0</v>
      </c>
      <c r="J1079" s="15">
        <v>0</v>
      </c>
      <c r="K1079" s="15">
        <v>0</v>
      </c>
      <c r="L1079" s="15">
        <v>0</v>
      </c>
      <c r="M1079" s="15">
        <v>0</v>
      </c>
      <c r="N1079" s="15">
        <v>0</v>
      </c>
      <c r="O1079" s="15">
        <v>0</v>
      </c>
    </row>
    <row r="1080" spans="1:15">
      <c r="A1080" s="11" t="s">
        <v>1395</v>
      </c>
      <c r="B1080" s="12" t="s">
        <v>286</v>
      </c>
      <c r="C1080" s="13" t="s">
        <v>317</v>
      </c>
      <c r="D1080" s="13">
        <v>42</v>
      </c>
      <c r="E1080" s="14">
        <v>156</v>
      </c>
      <c r="F1080" s="15">
        <v>0</v>
      </c>
      <c r="G1080" s="15">
        <v>0</v>
      </c>
      <c r="H1080" s="15">
        <v>0</v>
      </c>
      <c r="I1080" s="15">
        <v>0</v>
      </c>
      <c r="J1080" s="15">
        <v>0</v>
      </c>
      <c r="K1080" s="15">
        <v>0</v>
      </c>
      <c r="L1080" s="15">
        <v>0</v>
      </c>
      <c r="M1080" s="15">
        <v>0</v>
      </c>
      <c r="N1080" s="15">
        <v>0</v>
      </c>
      <c r="O1080" s="15">
        <v>0</v>
      </c>
    </row>
    <row r="1081" spans="1:15">
      <c r="A1081" s="11" t="s">
        <v>1396</v>
      </c>
      <c r="B1081" s="12" t="s">
        <v>286</v>
      </c>
      <c r="C1081" s="13" t="s">
        <v>317</v>
      </c>
      <c r="D1081" s="13">
        <v>43</v>
      </c>
      <c r="E1081" s="14">
        <v>156</v>
      </c>
      <c r="F1081" s="15">
        <v>0</v>
      </c>
      <c r="G1081" s="15">
        <v>0</v>
      </c>
      <c r="H1081" s="15">
        <v>0</v>
      </c>
      <c r="I1081" s="15">
        <v>0</v>
      </c>
      <c r="J1081" s="15">
        <v>0</v>
      </c>
      <c r="K1081" s="15">
        <v>0</v>
      </c>
      <c r="L1081" s="15">
        <v>0</v>
      </c>
      <c r="M1081" s="15">
        <v>0</v>
      </c>
      <c r="N1081" s="15">
        <v>0</v>
      </c>
      <c r="O1081" s="15">
        <v>0</v>
      </c>
    </row>
    <row r="1082" spans="1:15">
      <c r="A1082" s="11" t="s">
        <v>1397</v>
      </c>
      <c r="B1082" s="12" t="s">
        <v>286</v>
      </c>
      <c r="C1082" s="13" t="s">
        <v>317</v>
      </c>
      <c r="D1082" s="13">
        <v>44</v>
      </c>
      <c r="E1082" s="14">
        <v>156</v>
      </c>
      <c r="F1082" s="15">
        <v>0</v>
      </c>
      <c r="G1082" s="15">
        <v>0</v>
      </c>
      <c r="H1082" s="15">
        <v>0</v>
      </c>
      <c r="I1082" s="15">
        <v>0</v>
      </c>
      <c r="J1082" s="15">
        <v>0</v>
      </c>
      <c r="K1082" s="15">
        <v>0</v>
      </c>
      <c r="L1082" s="15">
        <v>0</v>
      </c>
      <c r="M1082" s="15">
        <v>0</v>
      </c>
      <c r="N1082" s="15">
        <v>0</v>
      </c>
      <c r="O1082" s="15">
        <v>0</v>
      </c>
    </row>
    <row r="1083" spans="1:15">
      <c r="A1083" s="11" t="s">
        <v>1398</v>
      </c>
      <c r="B1083" s="12" t="s">
        <v>286</v>
      </c>
      <c r="C1083" s="13" t="s">
        <v>317</v>
      </c>
      <c r="D1083" s="13">
        <v>45</v>
      </c>
      <c r="E1083" s="14">
        <v>156</v>
      </c>
      <c r="F1083" s="15">
        <v>0</v>
      </c>
      <c r="G1083" s="15">
        <v>0</v>
      </c>
      <c r="H1083" s="15">
        <v>0</v>
      </c>
      <c r="I1083" s="15">
        <v>0</v>
      </c>
      <c r="J1083" s="15">
        <v>0</v>
      </c>
      <c r="K1083" s="15">
        <v>0</v>
      </c>
      <c r="L1083" s="15">
        <v>0</v>
      </c>
      <c r="M1083" s="15">
        <v>0</v>
      </c>
      <c r="N1083" s="15">
        <v>0</v>
      </c>
      <c r="O1083" s="15">
        <v>0</v>
      </c>
    </row>
    <row r="1084" spans="1:15">
      <c r="A1084" s="11" t="s">
        <v>1399</v>
      </c>
      <c r="B1084" s="12" t="s">
        <v>286</v>
      </c>
      <c r="C1084" s="13" t="s">
        <v>317</v>
      </c>
      <c r="D1084" s="13">
        <v>46</v>
      </c>
      <c r="E1084" s="14">
        <v>156</v>
      </c>
      <c r="F1084" s="15">
        <v>0</v>
      </c>
      <c r="G1084" s="15">
        <v>0</v>
      </c>
      <c r="H1084" s="15">
        <v>0</v>
      </c>
      <c r="I1084" s="15">
        <v>0</v>
      </c>
      <c r="J1084" s="15">
        <v>0</v>
      </c>
      <c r="K1084" s="15">
        <v>0</v>
      </c>
      <c r="L1084" s="15">
        <v>0</v>
      </c>
      <c r="M1084" s="15">
        <v>0</v>
      </c>
      <c r="N1084" s="15">
        <v>0</v>
      </c>
      <c r="O1084" s="15">
        <v>0</v>
      </c>
    </row>
    <row r="1085" spans="1:15">
      <c r="A1085" s="11" t="s">
        <v>1400</v>
      </c>
      <c r="B1085" s="12" t="s">
        <v>286</v>
      </c>
      <c r="C1085" s="13" t="s">
        <v>317</v>
      </c>
      <c r="D1085" s="13">
        <v>47</v>
      </c>
      <c r="E1085" s="14">
        <v>156</v>
      </c>
      <c r="F1085" s="15">
        <v>0</v>
      </c>
      <c r="G1085" s="15">
        <v>0</v>
      </c>
      <c r="H1085" s="15">
        <v>0</v>
      </c>
      <c r="I1085" s="15">
        <v>0</v>
      </c>
      <c r="J1085" s="15">
        <v>0</v>
      </c>
      <c r="K1085" s="15">
        <v>0</v>
      </c>
      <c r="L1085" s="15">
        <v>0</v>
      </c>
      <c r="M1085" s="15">
        <v>0</v>
      </c>
      <c r="N1085" s="15">
        <v>0</v>
      </c>
      <c r="O1085" s="15">
        <v>0</v>
      </c>
    </row>
    <row r="1086" spans="1:15">
      <c r="A1086" s="11" t="s">
        <v>1401</v>
      </c>
      <c r="B1086" s="12" t="s">
        <v>286</v>
      </c>
      <c r="C1086" s="13" t="s">
        <v>317</v>
      </c>
      <c r="D1086" s="13">
        <v>48</v>
      </c>
      <c r="E1086" s="14">
        <v>156</v>
      </c>
      <c r="F1086" s="15">
        <v>0</v>
      </c>
      <c r="G1086" s="15">
        <v>0</v>
      </c>
      <c r="H1086" s="15">
        <v>0</v>
      </c>
      <c r="I1086" s="15">
        <v>0</v>
      </c>
      <c r="J1086" s="15">
        <v>0</v>
      </c>
      <c r="K1086" s="15">
        <v>0</v>
      </c>
      <c r="L1086" s="15">
        <v>0</v>
      </c>
      <c r="M1086" s="15">
        <v>0</v>
      </c>
      <c r="N1086" s="15">
        <v>0</v>
      </c>
      <c r="O1086" s="15">
        <v>0</v>
      </c>
    </row>
    <row r="1087" spans="1:15">
      <c r="A1087" s="11" t="s">
        <v>1402</v>
      </c>
      <c r="B1087" s="12" t="s">
        <v>286</v>
      </c>
      <c r="C1087" s="13" t="s">
        <v>317</v>
      </c>
      <c r="D1087" s="13">
        <v>49</v>
      </c>
      <c r="E1087" s="14">
        <v>156</v>
      </c>
      <c r="F1087" s="15">
        <v>0</v>
      </c>
      <c r="G1087" s="15">
        <v>0</v>
      </c>
      <c r="H1087" s="15">
        <v>0</v>
      </c>
      <c r="I1087" s="15">
        <v>0</v>
      </c>
      <c r="J1087" s="15">
        <v>0</v>
      </c>
      <c r="K1087" s="15">
        <v>0</v>
      </c>
      <c r="L1087" s="15">
        <v>0</v>
      </c>
      <c r="M1087" s="15">
        <v>0</v>
      </c>
      <c r="N1087" s="15">
        <v>0</v>
      </c>
      <c r="O1087" s="15">
        <v>0</v>
      </c>
    </row>
    <row r="1088" spans="1:15">
      <c r="A1088" s="11" t="s">
        <v>1403</v>
      </c>
      <c r="B1088" s="12" t="s">
        <v>286</v>
      </c>
      <c r="C1088" s="13" t="s">
        <v>317</v>
      </c>
      <c r="D1088" s="13">
        <v>50</v>
      </c>
      <c r="E1088" s="14">
        <v>156</v>
      </c>
      <c r="F1088" s="15">
        <v>0</v>
      </c>
      <c r="G1088" s="15">
        <v>0</v>
      </c>
      <c r="H1088" s="15">
        <v>0</v>
      </c>
      <c r="I1088" s="15">
        <v>0</v>
      </c>
      <c r="J1088" s="15">
        <v>0</v>
      </c>
      <c r="K1088" s="15">
        <v>0</v>
      </c>
      <c r="L1088" s="15">
        <v>0</v>
      </c>
      <c r="M1088" s="15">
        <v>0</v>
      </c>
      <c r="N1088" s="15">
        <v>0</v>
      </c>
      <c r="O1088" s="15">
        <v>0</v>
      </c>
    </row>
    <row r="1089" spans="1:15">
      <c r="A1089" s="11" t="s">
        <v>1404</v>
      </c>
      <c r="B1089" s="12" t="s">
        <v>286</v>
      </c>
      <c r="C1089" s="13" t="s">
        <v>317</v>
      </c>
      <c r="D1089" s="13">
        <v>51</v>
      </c>
      <c r="E1089" s="14">
        <v>156</v>
      </c>
      <c r="F1089" s="15">
        <v>0</v>
      </c>
      <c r="G1089" s="15">
        <v>0</v>
      </c>
      <c r="H1089" s="15">
        <v>0</v>
      </c>
      <c r="I1089" s="15">
        <v>0</v>
      </c>
      <c r="J1089" s="15">
        <v>0</v>
      </c>
      <c r="K1089" s="15">
        <v>0</v>
      </c>
      <c r="L1089" s="15">
        <v>0</v>
      </c>
      <c r="M1089" s="15">
        <v>0</v>
      </c>
      <c r="N1089" s="15">
        <v>0</v>
      </c>
      <c r="O1089" s="15">
        <v>0</v>
      </c>
    </row>
    <row r="1090" spans="1:15">
      <c r="A1090" s="11" t="s">
        <v>1405</v>
      </c>
      <c r="B1090" s="12" t="s">
        <v>286</v>
      </c>
      <c r="C1090" s="13" t="s">
        <v>317</v>
      </c>
      <c r="D1090" s="13">
        <v>52</v>
      </c>
      <c r="E1090" s="14">
        <v>156</v>
      </c>
      <c r="F1090" s="15">
        <v>0</v>
      </c>
      <c r="G1090" s="15">
        <v>0</v>
      </c>
      <c r="H1090" s="15">
        <v>0</v>
      </c>
      <c r="I1090" s="15">
        <v>0</v>
      </c>
      <c r="J1090" s="15">
        <v>0</v>
      </c>
      <c r="K1090" s="15">
        <v>0</v>
      </c>
      <c r="L1090" s="15">
        <v>0</v>
      </c>
      <c r="M1090" s="15">
        <v>0</v>
      </c>
      <c r="N1090" s="15">
        <v>0</v>
      </c>
      <c r="O1090" s="15">
        <v>0</v>
      </c>
    </row>
    <row r="1091" spans="1:15">
      <c r="A1091" s="11" t="s">
        <v>1406</v>
      </c>
      <c r="B1091" s="12" t="s">
        <v>286</v>
      </c>
      <c r="C1091" s="13" t="s">
        <v>317</v>
      </c>
      <c r="D1091" s="13">
        <v>53</v>
      </c>
      <c r="E1091" s="14">
        <v>156</v>
      </c>
      <c r="F1091" s="15">
        <v>0</v>
      </c>
      <c r="G1091" s="15">
        <v>0</v>
      </c>
      <c r="H1091" s="15">
        <v>0</v>
      </c>
      <c r="I1091" s="15">
        <v>0</v>
      </c>
      <c r="J1091" s="15">
        <v>0</v>
      </c>
      <c r="K1091" s="15">
        <v>0</v>
      </c>
      <c r="L1091" s="15">
        <v>0</v>
      </c>
      <c r="M1091" s="15">
        <v>0</v>
      </c>
      <c r="N1091" s="15">
        <v>0</v>
      </c>
      <c r="O1091" s="15">
        <v>0</v>
      </c>
    </row>
    <row r="1092" spans="1:15">
      <c r="A1092" s="11" t="s">
        <v>1407</v>
      </c>
      <c r="B1092" s="12" t="s">
        <v>286</v>
      </c>
      <c r="C1092" s="13" t="s">
        <v>317</v>
      </c>
      <c r="D1092" s="13">
        <v>54</v>
      </c>
      <c r="E1092" s="14">
        <v>156</v>
      </c>
      <c r="F1092" s="15">
        <v>0</v>
      </c>
      <c r="G1092" s="15">
        <v>0</v>
      </c>
      <c r="H1092" s="15">
        <v>0</v>
      </c>
      <c r="I1092" s="15">
        <v>0</v>
      </c>
      <c r="J1092" s="15">
        <v>0</v>
      </c>
      <c r="K1092" s="15">
        <v>0</v>
      </c>
      <c r="L1092" s="15">
        <v>0</v>
      </c>
      <c r="M1092" s="15">
        <v>0</v>
      </c>
      <c r="N1092" s="15">
        <v>0</v>
      </c>
      <c r="O1092" s="15">
        <v>0</v>
      </c>
    </row>
    <row r="1093" spans="1:15">
      <c r="A1093" s="11" t="s">
        <v>1408</v>
      </c>
      <c r="B1093" s="12" t="s">
        <v>286</v>
      </c>
      <c r="C1093" s="13" t="s">
        <v>317</v>
      </c>
      <c r="D1093" s="13">
        <v>55</v>
      </c>
      <c r="E1093" s="14">
        <v>156</v>
      </c>
      <c r="F1093" s="15">
        <v>0</v>
      </c>
      <c r="G1093" s="15">
        <v>0</v>
      </c>
      <c r="H1093" s="15">
        <v>0</v>
      </c>
      <c r="I1093" s="15">
        <v>0</v>
      </c>
      <c r="J1093" s="15">
        <v>0</v>
      </c>
      <c r="K1093" s="15">
        <v>0</v>
      </c>
      <c r="L1093" s="15">
        <v>0</v>
      </c>
      <c r="M1093" s="15">
        <v>0</v>
      </c>
      <c r="N1093" s="15">
        <v>0</v>
      </c>
      <c r="O1093" s="15">
        <v>0</v>
      </c>
    </row>
    <row r="1094" spans="1:15">
      <c r="A1094" s="11" t="s">
        <v>1409</v>
      </c>
      <c r="B1094" s="12" t="s">
        <v>286</v>
      </c>
      <c r="C1094" s="13" t="s">
        <v>317</v>
      </c>
      <c r="D1094" s="13">
        <v>56</v>
      </c>
      <c r="E1094" s="14">
        <v>156</v>
      </c>
      <c r="F1094" s="15">
        <v>0</v>
      </c>
      <c r="G1094" s="15">
        <v>0</v>
      </c>
      <c r="H1094" s="15">
        <v>0</v>
      </c>
      <c r="I1094" s="15">
        <v>0</v>
      </c>
      <c r="J1094" s="15">
        <v>0</v>
      </c>
      <c r="K1094" s="15">
        <v>0</v>
      </c>
      <c r="L1094" s="15">
        <v>0</v>
      </c>
      <c r="M1094" s="15">
        <v>0</v>
      </c>
      <c r="N1094" s="15">
        <v>0</v>
      </c>
      <c r="O1094" s="15">
        <v>0</v>
      </c>
    </row>
    <row r="1095" spans="1:15">
      <c r="A1095" s="11" t="s">
        <v>1410</v>
      </c>
      <c r="B1095" s="12" t="s">
        <v>286</v>
      </c>
      <c r="C1095" s="13" t="s">
        <v>317</v>
      </c>
      <c r="D1095" s="13">
        <v>57</v>
      </c>
      <c r="E1095" s="14">
        <v>156</v>
      </c>
      <c r="F1095" s="15">
        <v>0</v>
      </c>
      <c r="G1095" s="15">
        <v>0</v>
      </c>
      <c r="H1095" s="15">
        <v>0</v>
      </c>
      <c r="I1095" s="15">
        <v>0</v>
      </c>
      <c r="J1095" s="15">
        <v>0</v>
      </c>
      <c r="K1095" s="15">
        <v>0</v>
      </c>
      <c r="L1095" s="15">
        <v>0</v>
      </c>
      <c r="M1095" s="15">
        <v>0</v>
      </c>
      <c r="N1095" s="15">
        <v>0</v>
      </c>
      <c r="O1095" s="15">
        <v>0</v>
      </c>
    </row>
    <row r="1096" spans="1:15">
      <c r="A1096" s="11" t="s">
        <v>1411</v>
      </c>
      <c r="B1096" s="12" t="s">
        <v>286</v>
      </c>
      <c r="C1096" s="13" t="s">
        <v>317</v>
      </c>
      <c r="D1096" s="13">
        <v>58</v>
      </c>
      <c r="E1096" s="14">
        <v>156</v>
      </c>
      <c r="F1096" s="15">
        <v>0</v>
      </c>
      <c r="G1096" s="15">
        <v>0</v>
      </c>
      <c r="H1096" s="15">
        <v>0</v>
      </c>
      <c r="I1096" s="15">
        <v>0</v>
      </c>
      <c r="J1096" s="15">
        <v>0</v>
      </c>
      <c r="K1096" s="15">
        <v>0</v>
      </c>
      <c r="L1096" s="15">
        <v>0</v>
      </c>
      <c r="M1096" s="15">
        <v>0</v>
      </c>
      <c r="N1096" s="15">
        <v>0</v>
      </c>
      <c r="O1096" s="15">
        <v>0</v>
      </c>
    </row>
    <row r="1097" spans="1:15">
      <c r="A1097" s="11" t="s">
        <v>1412</v>
      </c>
      <c r="B1097" s="12" t="s">
        <v>286</v>
      </c>
      <c r="C1097" s="13" t="s">
        <v>317</v>
      </c>
      <c r="D1097" s="13">
        <v>59</v>
      </c>
      <c r="E1097" s="14">
        <v>156</v>
      </c>
      <c r="F1097" s="15">
        <v>0</v>
      </c>
      <c r="G1097" s="15">
        <v>0</v>
      </c>
      <c r="H1097" s="15">
        <v>0</v>
      </c>
      <c r="I1097" s="15">
        <v>0</v>
      </c>
      <c r="J1097" s="15">
        <v>0</v>
      </c>
      <c r="K1097" s="15">
        <v>0</v>
      </c>
      <c r="L1097" s="15">
        <v>0</v>
      </c>
      <c r="M1097" s="15">
        <v>0</v>
      </c>
      <c r="N1097" s="15">
        <v>0</v>
      </c>
      <c r="O1097" s="15">
        <v>0</v>
      </c>
    </row>
    <row r="1098" spans="1:15">
      <c r="A1098" s="11" t="s">
        <v>1413</v>
      </c>
      <c r="B1098" s="12" t="s">
        <v>286</v>
      </c>
      <c r="C1098" s="13" t="s">
        <v>317</v>
      </c>
      <c r="D1098" s="13">
        <v>60</v>
      </c>
      <c r="E1098" s="14">
        <v>156</v>
      </c>
      <c r="F1098" s="15">
        <v>0</v>
      </c>
      <c r="G1098" s="15">
        <v>0</v>
      </c>
      <c r="H1098" s="15">
        <v>0</v>
      </c>
      <c r="I1098" s="15">
        <v>0</v>
      </c>
      <c r="J1098" s="15">
        <v>0</v>
      </c>
      <c r="K1098" s="15">
        <v>0</v>
      </c>
      <c r="L1098" s="15">
        <v>0</v>
      </c>
      <c r="M1098" s="15">
        <v>0</v>
      </c>
      <c r="N1098" s="15">
        <v>0</v>
      </c>
      <c r="O1098" s="15">
        <v>0</v>
      </c>
    </row>
    <row r="1099" spans="1:15">
      <c r="A1099" s="11" t="s">
        <v>1414</v>
      </c>
      <c r="B1099" s="12" t="s">
        <v>286</v>
      </c>
      <c r="C1099" s="13" t="s">
        <v>317</v>
      </c>
      <c r="D1099" s="13">
        <v>61</v>
      </c>
      <c r="E1099" s="14">
        <v>156</v>
      </c>
      <c r="F1099" s="15">
        <v>0</v>
      </c>
      <c r="G1099" s="15">
        <v>0</v>
      </c>
      <c r="H1099" s="15">
        <v>0</v>
      </c>
      <c r="I1099" s="15">
        <v>0</v>
      </c>
      <c r="J1099" s="15">
        <v>0</v>
      </c>
      <c r="K1099" s="15">
        <v>0</v>
      </c>
      <c r="L1099" s="15">
        <v>0</v>
      </c>
      <c r="M1099" s="15">
        <v>0</v>
      </c>
      <c r="N1099" s="15">
        <v>0</v>
      </c>
      <c r="O1099" s="15">
        <v>0</v>
      </c>
    </row>
    <row r="1100" spans="1:15">
      <c r="A1100" s="11" t="s">
        <v>1415</v>
      </c>
      <c r="B1100" s="12" t="s">
        <v>286</v>
      </c>
      <c r="C1100" s="13" t="s">
        <v>317</v>
      </c>
      <c r="D1100" s="13">
        <v>62</v>
      </c>
      <c r="E1100" s="14">
        <v>156</v>
      </c>
      <c r="F1100" s="15">
        <v>0</v>
      </c>
      <c r="G1100" s="15">
        <v>0</v>
      </c>
      <c r="H1100" s="15">
        <v>0</v>
      </c>
      <c r="I1100" s="15">
        <v>0</v>
      </c>
      <c r="J1100" s="15">
        <v>0</v>
      </c>
      <c r="K1100" s="15">
        <v>0</v>
      </c>
      <c r="L1100" s="15">
        <v>0</v>
      </c>
      <c r="M1100" s="15">
        <v>0</v>
      </c>
      <c r="N1100" s="15">
        <v>0</v>
      </c>
      <c r="O1100" s="15">
        <v>0</v>
      </c>
    </row>
    <row r="1101" spans="1:15">
      <c r="A1101" s="11" t="s">
        <v>1416</v>
      </c>
      <c r="B1101" s="12" t="s">
        <v>286</v>
      </c>
      <c r="C1101" s="13" t="s">
        <v>317</v>
      </c>
      <c r="D1101" s="13">
        <v>63</v>
      </c>
      <c r="E1101" s="14">
        <v>156</v>
      </c>
      <c r="F1101" s="15">
        <v>0</v>
      </c>
      <c r="G1101" s="15">
        <v>0</v>
      </c>
      <c r="H1101" s="15">
        <v>0</v>
      </c>
      <c r="I1101" s="15">
        <v>0</v>
      </c>
      <c r="J1101" s="15">
        <v>0</v>
      </c>
      <c r="K1101" s="15">
        <v>0</v>
      </c>
      <c r="L1101" s="15">
        <v>0</v>
      </c>
      <c r="M1101" s="15">
        <v>0</v>
      </c>
      <c r="N1101" s="15">
        <v>0</v>
      </c>
      <c r="O1101" s="15">
        <v>0</v>
      </c>
    </row>
    <row r="1102" spans="1:15">
      <c r="A1102" s="11" t="s">
        <v>1417</v>
      </c>
      <c r="B1102" s="12" t="s">
        <v>286</v>
      </c>
      <c r="C1102" s="13" t="s">
        <v>317</v>
      </c>
      <c r="D1102" s="13">
        <v>64</v>
      </c>
      <c r="E1102" s="14">
        <v>156</v>
      </c>
      <c r="F1102" s="15">
        <v>0</v>
      </c>
      <c r="G1102" s="15">
        <v>0</v>
      </c>
      <c r="H1102" s="15">
        <v>0</v>
      </c>
      <c r="I1102" s="15">
        <v>0</v>
      </c>
      <c r="J1102" s="15">
        <v>0</v>
      </c>
      <c r="K1102" s="15">
        <v>0</v>
      </c>
      <c r="L1102" s="15">
        <v>0</v>
      </c>
      <c r="M1102" s="15">
        <v>0</v>
      </c>
      <c r="N1102" s="15">
        <v>0</v>
      </c>
      <c r="O1102" s="15">
        <v>0</v>
      </c>
    </row>
    <row r="1103" spans="1:15">
      <c r="A1103" s="11" t="s">
        <v>1418</v>
      </c>
      <c r="B1103" s="12" t="s">
        <v>286</v>
      </c>
      <c r="C1103" s="13" t="s">
        <v>317</v>
      </c>
      <c r="D1103" s="13">
        <v>65</v>
      </c>
      <c r="E1103" s="14">
        <v>156</v>
      </c>
      <c r="F1103" s="15">
        <v>0</v>
      </c>
      <c r="G1103" s="15">
        <v>0</v>
      </c>
      <c r="H1103" s="15">
        <v>0</v>
      </c>
      <c r="I1103" s="15">
        <v>0</v>
      </c>
      <c r="J1103" s="15">
        <v>0</v>
      </c>
      <c r="K1103" s="15">
        <v>0</v>
      </c>
      <c r="L1103" s="15">
        <v>0</v>
      </c>
      <c r="M1103" s="15">
        <v>0</v>
      </c>
      <c r="N1103" s="15">
        <v>0</v>
      </c>
      <c r="O1103" s="15">
        <v>0</v>
      </c>
    </row>
    <row r="1104" spans="1:15">
      <c r="A1104" s="11" t="s">
        <v>1419</v>
      </c>
      <c r="B1104" s="12" t="s">
        <v>286</v>
      </c>
      <c r="C1104" s="13" t="s">
        <v>317</v>
      </c>
      <c r="D1104" s="13">
        <v>66</v>
      </c>
      <c r="E1104" s="14">
        <v>156</v>
      </c>
      <c r="F1104" s="15">
        <v>0</v>
      </c>
      <c r="G1104" s="15">
        <v>0</v>
      </c>
      <c r="H1104" s="15">
        <v>0</v>
      </c>
      <c r="I1104" s="15">
        <v>0</v>
      </c>
      <c r="J1104" s="15">
        <v>0</v>
      </c>
      <c r="K1104" s="15">
        <v>0</v>
      </c>
      <c r="L1104" s="15">
        <v>0</v>
      </c>
      <c r="M1104" s="15">
        <v>0</v>
      </c>
      <c r="N1104" s="15">
        <v>0</v>
      </c>
      <c r="O1104" s="15">
        <v>0</v>
      </c>
    </row>
    <row r="1105" spans="1:15">
      <c r="A1105" s="11" t="s">
        <v>1420</v>
      </c>
      <c r="B1105" s="12" t="s">
        <v>286</v>
      </c>
      <c r="C1105" s="13" t="s">
        <v>317</v>
      </c>
      <c r="D1105" s="13">
        <v>67</v>
      </c>
      <c r="E1105" s="14">
        <v>156</v>
      </c>
      <c r="F1105" s="15">
        <v>0</v>
      </c>
      <c r="G1105" s="15">
        <v>0</v>
      </c>
      <c r="H1105" s="15">
        <v>0</v>
      </c>
      <c r="I1105" s="15">
        <v>0</v>
      </c>
      <c r="J1105" s="15">
        <v>0</v>
      </c>
      <c r="K1105" s="15">
        <v>0</v>
      </c>
      <c r="L1105" s="15">
        <v>0</v>
      </c>
      <c r="M1105" s="15">
        <v>0</v>
      </c>
      <c r="N1105" s="15">
        <v>0</v>
      </c>
      <c r="O1105" s="15">
        <v>0</v>
      </c>
    </row>
    <row r="1106" spans="1:15">
      <c r="A1106" s="11" t="s">
        <v>1421</v>
      </c>
      <c r="B1106" s="12" t="s">
        <v>286</v>
      </c>
      <c r="C1106" s="13" t="s">
        <v>317</v>
      </c>
      <c r="D1106" s="13">
        <v>68</v>
      </c>
      <c r="E1106" s="14">
        <v>156</v>
      </c>
      <c r="F1106" s="15">
        <v>0</v>
      </c>
      <c r="G1106" s="15">
        <v>0</v>
      </c>
      <c r="H1106" s="15">
        <v>0</v>
      </c>
      <c r="I1106" s="15">
        <v>0</v>
      </c>
      <c r="J1106" s="15">
        <v>0</v>
      </c>
      <c r="K1106" s="15">
        <v>0</v>
      </c>
      <c r="L1106" s="15">
        <v>0</v>
      </c>
      <c r="M1106" s="15">
        <v>0</v>
      </c>
      <c r="N1106" s="15">
        <v>0</v>
      </c>
      <c r="O1106" s="15">
        <v>0</v>
      </c>
    </row>
    <row r="1107" spans="1:15">
      <c r="A1107" s="11" t="s">
        <v>1422</v>
      </c>
      <c r="B1107" s="12" t="s">
        <v>286</v>
      </c>
      <c r="C1107" s="13" t="s">
        <v>317</v>
      </c>
      <c r="D1107" s="13">
        <v>69</v>
      </c>
      <c r="E1107" s="14">
        <v>156</v>
      </c>
      <c r="F1107" s="15">
        <v>0</v>
      </c>
      <c r="G1107" s="15">
        <v>0</v>
      </c>
      <c r="H1107" s="15">
        <v>0</v>
      </c>
      <c r="I1107" s="15">
        <v>0</v>
      </c>
      <c r="J1107" s="15">
        <v>0</v>
      </c>
      <c r="K1107" s="15">
        <v>0</v>
      </c>
      <c r="L1107" s="15">
        <v>0</v>
      </c>
      <c r="M1107" s="15">
        <v>0</v>
      </c>
      <c r="N1107" s="15">
        <v>0</v>
      </c>
      <c r="O1107" s="15">
        <v>0</v>
      </c>
    </row>
    <row r="1108" spans="1:15">
      <c r="A1108" s="11" t="s">
        <v>1423</v>
      </c>
      <c r="B1108" s="12" t="s">
        <v>286</v>
      </c>
      <c r="C1108" s="13" t="s">
        <v>317</v>
      </c>
      <c r="D1108" s="13">
        <v>70</v>
      </c>
      <c r="E1108" s="14">
        <v>156</v>
      </c>
      <c r="F1108" s="15">
        <v>0</v>
      </c>
      <c r="G1108" s="15">
        <v>0</v>
      </c>
      <c r="H1108" s="15">
        <v>0</v>
      </c>
      <c r="I1108" s="15">
        <v>0</v>
      </c>
      <c r="J1108" s="15">
        <v>0</v>
      </c>
      <c r="K1108" s="15">
        <v>0</v>
      </c>
      <c r="L1108" s="15">
        <v>0</v>
      </c>
      <c r="M1108" s="15">
        <v>0</v>
      </c>
      <c r="N1108" s="15">
        <v>0</v>
      </c>
      <c r="O1108" s="15">
        <v>0</v>
      </c>
    </row>
    <row r="1109" spans="1:15">
      <c r="A1109" s="11" t="s">
        <v>1424</v>
      </c>
      <c r="B1109" s="12" t="s">
        <v>286</v>
      </c>
      <c r="C1109" s="13" t="s">
        <v>317</v>
      </c>
      <c r="D1109" s="13">
        <v>71</v>
      </c>
      <c r="E1109" s="14">
        <v>156</v>
      </c>
      <c r="F1109" s="15">
        <v>0</v>
      </c>
      <c r="G1109" s="15">
        <v>0</v>
      </c>
      <c r="H1109" s="15">
        <v>0</v>
      </c>
      <c r="I1109" s="15">
        <v>0</v>
      </c>
      <c r="J1109" s="15">
        <v>0</v>
      </c>
      <c r="K1109" s="15">
        <v>0</v>
      </c>
      <c r="L1109" s="15">
        <v>0</v>
      </c>
      <c r="M1109" s="15">
        <v>0</v>
      </c>
      <c r="N1109" s="15">
        <v>0</v>
      </c>
      <c r="O1109" s="15">
        <v>0</v>
      </c>
    </row>
    <row r="1110" spans="1:15">
      <c r="A1110" s="11" t="s">
        <v>1425</v>
      </c>
      <c r="B1110" s="12" t="s">
        <v>286</v>
      </c>
      <c r="C1110" s="13" t="s">
        <v>317</v>
      </c>
      <c r="D1110" s="13">
        <v>72</v>
      </c>
      <c r="E1110" s="14">
        <v>156</v>
      </c>
      <c r="F1110" s="15">
        <v>0</v>
      </c>
      <c r="G1110" s="15">
        <v>0</v>
      </c>
      <c r="H1110" s="15">
        <v>0</v>
      </c>
      <c r="I1110" s="15">
        <v>0</v>
      </c>
      <c r="J1110" s="15">
        <v>0</v>
      </c>
      <c r="K1110" s="15">
        <v>0</v>
      </c>
      <c r="L1110" s="15">
        <v>0</v>
      </c>
      <c r="M1110" s="15">
        <v>0</v>
      </c>
      <c r="N1110" s="15">
        <v>0</v>
      </c>
      <c r="O1110" s="15">
        <v>0</v>
      </c>
    </row>
    <row r="1111" spans="1:15">
      <c r="A1111" s="11" t="s">
        <v>1426</v>
      </c>
      <c r="B1111" s="12" t="s">
        <v>286</v>
      </c>
      <c r="C1111" s="13" t="s">
        <v>317</v>
      </c>
      <c r="D1111" s="13">
        <v>73</v>
      </c>
      <c r="E1111" s="14">
        <v>156</v>
      </c>
      <c r="F1111" s="15">
        <v>0</v>
      </c>
      <c r="G1111" s="15">
        <v>0</v>
      </c>
      <c r="H1111" s="15">
        <v>0</v>
      </c>
      <c r="I1111" s="15">
        <v>0</v>
      </c>
      <c r="J1111" s="15">
        <v>0</v>
      </c>
      <c r="K1111" s="15">
        <v>0</v>
      </c>
      <c r="L1111" s="15">
        <v>0</v>
      </c>
      <c r="M1111" s="15">
        <v>0</v>
      </c>
      <c r="N1111" s="15">
        <v>0</v>
      </c>
      <c r="O1111" s="15">
        <v>0</v>
      </c>
    </row>
    <row r="1112" spans="1:15">
      <c r="A1112" s="11" t="s">
        <v>1427</v>
      </c>
      <c r="B1112" s="12" t="s">
        <v>286</v>
      </c>
      <c r="C1112" s="13" t="s">
        <v>317</v>
      </c>
      <c r="D1112" s="13">
        <v>74</v>
      </c>
      <c r="E1112" s="14">
        <v>156</v>
      </c>
      <c r="F1112" s="15">
        <v>0</v>
      </c>
      <c r="G1112" s="15">
        <v>0</v>
      </c>
      <c r="H1112" s="15">
        <v>0</v>
      </c>
      <c r="I1112" s="15">
        <v>0</v>
      </c>
      <c r="J1112" s="15">
        <v>0</v>
      </c>
      <c r="K1112" s="15">
        <v>0</v>
      </c>
      <c r="L1112" s="15">
        <v>0</v>
      </c>
      <c r="M1112" s="15">
        <v>0</v>
      </c>
      <c r="N1112" s="15">
        <v>0</v>
      </c>
      <c r="O1112" s="15">
        <v>0</v>
      </c>
    </row>
    <row r="1113" spans="1:15">
      <c r="A1113" s="11" t="s">
        <v>1428</v>
      </c>
      <c r="B1113" s="12" t="s">
        <v>286</v>
      </c>
      <c r="C1113" s="13" t="s">
        <v>317</v>
      </c>
      <c r="D1113" s="13">
        <v>75</v>
      </c>
      <c r="E1113" s="14">
        <v>156</v>
      </c>
      <c r="F1113" s="15">
        <v>0</v>
      </c>
      <c r="G1113" s="15">
        <v>0</v>
      </c>
      <c r="H1113" s="15">
        <v>0</v>
      </c>
      <c r="I1113" s="15">
        <v>0</v>
      </c>
      <c r="J1113" s="15">
        <v>0</v>
      </c>
      <c r="K1113" s="15">
        <v>0</v>
      </c>
      <c r="L1113" s="15">
        <v>0</v>
      </c>
      <c r="M1113" s="15">
        <v>0</v>
      </c>
      <c r="N1113" s="15">
        <v>0</v>
      </c>
      <c r="O1113" s="15">
        <v>0</v>
      </c>
    </row>
    <row r="1114" spans="1:15">
      <c r="A1114" s="11" t="s">
        <v>1429</v>
      </c>
      <c r="B1114" s="12" t="s">
        <v>286</v>
      </c>
      <c r="C1114" s="13" t="s">
        <v>317</v>
      </c>
      <c r="D1114" s="13">
        <v>76</v>
      </c>
      <c r="E1114" s="14">
        <v>156</v>
      </c>
      <c r="F1114" s="15">
        <v>0</v>
      </c>
      <c r="G1114" s="15">
        <v>0</v>
      </c>
      <c r="H1114" s="15">
        <v>0</v>
      </c>
      <c r="I1114" s="15">
        <v>0</v>
      </c>
      <c r="J1114" s="15">
        <v>0</v>
      </c>
      <c r="K1114" s="15">
        <v>0</v>
      </c>
      <c r="L1114" s="15">
        <v>0</v>
      </c>
      <c r="M1114" s="15">
        <v>0</v>
      </c>
      <c r="N1114" s="15">
        <v>0</v>
      </c>
      <c r="O1114" s="15">
        <v>0</v>
      </c>
    </row>
    <row r="1115" spans="1:15">
      <c r="A1115" s="11" t="s">
        <v>1430</v>
      </c>
      <c r="B1115" s="12" t="s">
        <v>286</v>
      </c>
      <c r="C1115" s="13" t="s">
        <v>317</v>
      </c>
      <c r="D1115" s="13">
        <v>77</v>
      </c>
      <c r="E1115" s="14">
        <v>156</v>
      </c>
      <c r="F1115" s="15">
        <v>0</v>
      </c>
      <c r="G1115" s="15">
        <v>0</v>
      </c>
      <c r="H1115" s="15">
        <v>0</v>
      </c>
      <c r="I1115" s="15">
        <v>0</v>
      </c>
      <c r="J1115" s="15">
        <v>0</v>
      </c>
      <c r="K1115" s="15">
        <v>0</v>
      </c>
      <c r="L1115" s="15">
        <v>0</v>
      </c>
      <c r="M1115" s="15">
        <v>0</v>
      </c>
      <c r="N1115" s="15">
        <v>0</v>
      </c>
      <c r="O1115" s="15">
        <v>0</v>
      </c>
    </row>
    <row r="1116" spans="1:15">
      <c r="A1116" s="11" t="s">
        <v>1431</v>
      </c>
      <c r="B1116" s="12" t="s">
        <v>286</v>
      </c>
      <c r="C1116" s="13" t="s">
        <v>317</v>
      </c>
      <c r="D1116" s="13">
        <v>78</v>
      </c>
      <c r="E1116" s="14">
        <v>156</v>
      </c>
      <c r="F1116" s="15">
        <v>0</v>
      </c>
      <c r="G1116" s="15">
        <v>0</v>
      </c>
      <c r="H1116" s="15">
        <v>0</v>
      </c>
      <c r="I1116" s="15">
        <v>0</v>
      </c>
      <c r="J1116" s="15">
        <v>0</v>
      </c>
      <c r="K1116" s="15">
        <v>0</v>
      </c>
      <c r="L1116" s="15">
        <v>0</v>
      </c>
      <c r="M1116" s="15">
        <v>0</v>
      </c>
      <c r="N1116" s="15">
        <v>0</v>
      </c>
      <c r="O1116" s="15">
        <v>0</v>
      </c>
    </row>
    <row r="1117" spans="1:15">
      <c r="A1117" s="11" t="s">
        <v>1432</v>
      </c>
      <c r="B1117" s="12" t="s">
        <v>286</v>
      </c>
      <c r="C1117" s="13" t="s">
        <v>317</v>
      </c>
      <c r="D1117" s="13">
        <v>79</v>
      </c>
      <c r="E1117" s="14">
        <v>156</v>
      </c>
      <c r="F1117" s="15">
        <v>0</v>
      </c>
      <c r="G1117" s="15">
        <v>0</v>
      </c>
      <c r="H1117" s="15">
        <v>0</v>
      </c>
      <c r="I1117" s="15">
        <v>0</v>
      </c>
      <c r="J1117" s="15">
        <v>0</v>
      </c>
      <c r="K1117" s="15">
        <v>0</v>
      </c>
      <c r="L1117" s="15">
        <v>0</v>
      </c>
      <c r="M1117" s="15">
        <v>0</v>
      </c>
      <c r="N1117" s="15">
        <v>0</v>
      </c>
      <c r="O1117" s="15">
        <v>0</v>
      </c>
    </row>
    <row r="1118" spans="1:15">
      <c r="A1118" s="11" t="s">
        <v>1433</v>
      </c>
      <c r="B1118" s="12" t="s">
        <v>286</v>
      </c>
      <c r="C1118" s="13" t="s">
        <v>317</v>
      </c>
      <c r="D1118" s="13">
        <v>80</v>
      </c>
      <c r="E1118" s="14">
        <v>156</v>
      </c>
      <c r="F1118" s="15">
        <v>0</v>
      </c>
      <c r="G1118" s="15">
        <v>0</v>
      </c>
      <c r="H1118" s="15">
        <v>0</v>
      </c>
      <c r="I1118" s="15">
        <v>0</v>
      </c>
      <c r="J1118" s="15">
        <v>0</v>
      </c>
      <c r="K1118" s="15">
        <v>0</v>
      </c>
      <c r="L1118" s="15">
        <v>0</v>
      </c>
      <c r="M1118" s="15">
        <v>0</v>
      </c>
      <c r="N1118" s="15">
        <v>0</v>
      </c>
      <c r="O1118" s="15">
        <v>0</v>
      </c>
    </row>
    <row r="1119" spans="1:15">
      <c r="A1119" s="11" t="s">
        <v>1434</v>
      </c>
      <c r="B1119" s="12" t="s">
        <v>286</v>
      </c>
      <c r="C1119" s="13" t="s">
        <v>317</v>
      </c>
      <c r="D1119" s="13">
        <v>81</v>
      </c>
      <c r="E1119" s="14">
        <v>156</v>
      </c>
      <c r="F1119" s="15">
        <v>0</v>
      </c>
      <c r="G1119" s="15">
        <v>0</v>
      </c>
      <c r="H1119" s="15">
        <v>0</v>
      </c>
      <c r="I1119" s="15">
        <v>0</v>
      </c>
      <c r="J1119" s="15">
        <v>0</v>
      </c>
      <c r="K1119" s="15">
        <v>0</v>
      </c>
      <c r="L1119" s="15">
        <v>0</v>
      </c>
      <c r="M1119" s="15">
        <v>0</v>
      </c>
      <c r="N1119" s="15">
        <v>0</v>
      </c>
      <c r="O1119" s="15">
        <v>0</v>
      </c>
    </row>
    <row r="1120" spans="1:15">
      <c r="A1120" s="11" t="s">
        <v>1435</v>
      </c>
      <c r="B1120" s="12" t="s">
        <v>286</v>
      </c>
      <c r="C1120" s="13" t="s">
        <v>317</v>
      </c>
      <c r="D1120" s="13">
        <v>82</v>
      </c>
      <c r="E1120" s="14">
        <v>156</v>
      </c>
      <c r="F1120" s="15">
        <v>0</v>
      </c>
      <c r="G1120" s="15">
        <v>0</v>
      </c>
      <c r="H1120" s="15">
        <v>0</v>
      </c>
      <c r="I1120" s="15">
        <v>0</v>
      </c>
      <c r="J1120" s="15">
        <v>0</v>
      </c>
      <c r="K1120" s="15">
        <v>0</v>
      </c>
      <c r="L1120" s="15">
        <v>0</v>
      </c>
      <c r="M1120" s="15">
        <v>0</v>
      </c>
      <c r="N1120" s="15">
        <v>0</v>
      </c>
      <c r="O1120" s="15">
        <v>0</v>
      </c>
    </row>
    <row r="1121" spans="1:15">
      <c r="A1121" s="11" t="s">
        <v>1436</v>
      </c>
      <c r="B1121" s="12" t="s">
        <v>286</v>
      </c>
      <c r="C1121" s="13" t="s">
        <v>317</v>
      </c>
      <c r="D1121" s="13">
        <v>83</v>
      </c>
      <c r="E1121" s="14">
        <v>156</v>
      </c>
      <c r="F1121" s="15">
        <v>0</v>
      </c>
      <c r="G1121" s="15">
        <v>0</v>
      </c>
      <c r="H1121" s="15">
        <v>0</v>
      </c>
      <c r="I1121" s="15">
        <v>0</v>
      </c>
      <c r="J1121" s="15">
        <v>0</v>
      </c>
      <c r="K1121" s="15">
        <v>0</v>
      </c>
      <c r="L1121" s="15">
        <v>0</v>
      </c>
      <c r="M1121" s="15">
        <v>0</v>
      </c>
      <c r="N1121" s="15">
        <v>0</v>
      </c>
      <c r="O1121" s="15">
        <v>0</v>
      </c>
    </row>
    <row r="1122" spans="1:15">
      <c r="A1122" s="11" t="s">
        <v>1437</v>
      </c>
      <c r="B1122" s="12" t="s">
        <v>286</v>
      </c>
      <c r="C1122" s="13" t="s">
        <v>317</v>
      </c>
      <c r="D1122" s="13">
        <v>84</v>
      </c>
      <c r="E1122" s="14">
        <v>156</v>
      </c>
      <c r="F1122" s="15">
        <v>0</v>
      </c>
      <c r="G1122" s="15">
        <v>0</v>
      </c>
      <c r="H1122" s="15">
        <v>0</v>
      </c>
      <c r="I1122" s="15">
        <v>0</v>
      </c>
      <c r="J1122" s="15">
        <v>0</v>
      </c>
      <c r="K1122" s="15">
        <v>0</v>
      </c>
      <c r="L1122" s="15">
        <v>0</v>
      </c>
      <c r="M1122" s="15">
        <v>0</v>
      </c>
      <c r="N1122" s="15">
        <v>0</v>
      </c>
      <c r="O1122" s="15">
        <v>0</v>
      </c>
    </row>
    <row r="1123" spans="1:15">
      <c r="A1123" s="11" t="s">
        <v>1438</v>
      </c>
      <c r="B1123" s="12" t="s">
        <v>286</v>
      </c>
      <c r="C1123" s="13" t="s">
        <v>317</v>
      </c>
      <c r="D1123" s="13">
        <v>85</v>
      </c>
      <c r="E1123" s="14">
        <v>156</v>
      </c>
      <c r="F1123" s="15">
        <v>0</v>
      </c>
      <c r="G1123" s="15">
        <v>0</v>
      </c>
      <c r="H1123" s="15">
        <v>0</v>
      </c>
      <c r="I1123" s="15">
        <v>0</v>
      </c>
      <c r="J1123" s="15">
        <v>0</v>
      </c>
      <c r="K1123" s="15">
        <v>0</v>
      </c>
      <c r="L1123" s="15">
        <v>0</v>
      </c>
      <c r="M1123" s="15">
        <v>0</v>
      </c>
      <c r="N1123" s="15">
        <v>0</v>
      </c>
      <c r="O1123" s="15">
        <v>0</v>
      </c>
    </row>
    <row r="1124" spans="1:15">
      <c r="A1124" s="11" t="s">
        <v>1439</v>
      </c>
      <c r="B1124" s="12" t="s">
        <v>286</v>
      </c>
      <c r="C1124" s="13" t="s">
        <v>404</v>
      </c>
      <c r="D1124" s="13">
        <v>0</v>
      </c>
      <c r="E1124" s="14">
        <v>156</v>
      </c>
      <c r="F1124" s="15">
        <v>0</v>
      </c>
      <c r="G1124" s="15">
        <v>0</v>
      </c>
      <c r="H1124" s="15">
        <v>0</v>
      </c>
      <c r="I1124" s="15">
        <v>0</v>
      </c>
      <c r="J1124" s="15">
        <v>0</v>
      </c>
      <c r="K1124" s="15">
        <v>0</v>
      </c>
      <c r="L1124" s="15">
        <v>0</v>
      </c>
      <c r="M1124" s="15">
        <v>0</v>
      </c>
      <c r="N1124" s="15">
        <v>0</v>
      </c>
      <c r="O1124" s="15">
        <v>0</v>
      </c>
    </row>
    <row r="1125" spans="1:15">
      <c r="A1125" s="11" t="s">
        <v>1440</v>
      </c>
      <c r="B1125" s="12" t="s">
        <v>286</v>
      </c>
      <c r="C1125" s="13" t="s">
        <v>404</v>
      </c>
      <c r="D1125" s="13">
        <v>1</v>
      </c>
      <c r="E1125" s="14">
        <v>156</v>
      </c>
      <c r="F1125" s="15">
        <v>0</v>
      </c>
      <c r="G1125" s="15">
        <v>0</v>
      </c>
      <c r="H1125" s="15">
        <v>0</v>
      </c>
      <c r="I1125" s="15">
        <v>0</v>
      </c>
      <c r="J1125" s="15">
        <v>0</v>
      </c>
      <c r="K1125" s="15">
        <v>0</v>
      </c>
      <c r="L1125" s="15">
        <v>0</v>
      </c>
      <c r="M1125" s="15">
        <v>0</v>
      </c>
      <c r="N1125" s="15">
        <v>0</v>
      </c>
      <c r="O1125" s="15">
        <v>0</v>
      </c>
    </row>
    <row r="1126" spans="1:15">
      <c r="A1126" s="11" t="s">
        <v>1441</v>
      </c>
      <c r="B1126" s="12" t="s">
        <v>286</v>
      </c>
      <c r="C1126" s="13" t="s">
        <v>404</v>
      </c>
      <c r="D1126" s="13">
        <v>2</v>
      </c>
      <c r="E1126" s="14">
        <v>156</v>
      </c>
      <c r="F1126" s="15">
        <v>0</v>
      </c>
      <c r="G1126" s="15">
        <v>0</v>
      </c>
      <c r="H1126" s="15">
        <v>0</v>
      </c>
      <c r="I1126" s="15">
        <v>0</v>
      </c>
      <c r="J1126" s="15">
        <v>0</v>
      </c>
      <c r="K1126" s="15">
        <v>0</v>
      </c>
      <c r="L1126" s="15">
        <v>0</v>
      </c>
      <c r="M1126" s="15">
        <v>0</v>
      </c>
      <c r="N1126" s="15">
        <v>0</v>
      </c>
      <c r="O1126" s="15">
        <v>0</v>
      </c>
    </row>
    <row r="1127" spans="1:15">
      <c r="A1127" s="11" t="s">
        <v>1442</v>
      </c>
      <c r="B1127" s="12" t="s">
        <v>286</v>
      </c>
      <c r="C1127" s="13" t="s">
        <v>404</v>
      </c>
      <c r="D1127" s="13">
        <v>3</v>
      </c>
      <c r="E1127" s="14">
        <v>156</v>
      </c>
      <c r="F1127" s="15">
        <v>0</v>
      </c>
      <c r="G1127" s="15">
        <v>0</v>
      </c>
      <c r="H1127" s="15">
        <v>0</v>
      </c>
      <c r="I1127" s="15">
        <v>0</v>
      </c>
      <c r="J1127" s="15">
        <v>0</v>
      </c>
      <c r="K1127" s="15">
        <v>0</v>
      </c>
      <c r="L1127" s="15">
        <v>0</v>
      </c>
      <c r="M1127" s="15">
        <v>0</v>
      </c>
      <c r="N1127" s="15">
        <v>0</v>
      </c>
      <c r="O1127" s="15">
        <v>0</v>
      </c>
    </row>
    <row r="1128" spans="1:15">
      <c r="A1128" s="11" t="s">
        <v>1443</v>
      </c>
      <c r="B1128" s="12" t="s">
        <v>286</v>
      </c>
      <c r="C1128" s="13" t="s">
        <v>404</v>
      </c>
      <c r="D1128" s="13">
        <v>4</v>
      </c>
      <c r="E1128" s="14">
        <v>156</v>
      </c>
      <c r="F1128" s="15">
        <v>0</v>
      </c>
      <c r="G1128" s="15">
        <v>0</v>
      </c>
      <c r="H1128" s="15">
        <v>0</v>
      </c>
      <c r="I1128" s="15">
        <v>0</v>
      </c>
      <c r="J1128" s="15">
        <v>0</v>
      </c>
      <c r="K1128" s="15">
        <v>0</v>
      </c>
      <c r="L1128" s="15">
        <v>0</v>
      </c>
      <c r="M1128" s="15">
        <v>0</v>
      </c>
      <c r="N1128" s="15">
        <v>0</v>
      </c>
      <c r="O1128" s="15">
        <v>0</v>
      </c>
    </row>
    <row r="1129" spans="1:15">
      <c r="A1129" s="11" t="s">
        <v>1444</v>
      </c>
      <c r="B1129" s="12" t="s">
        <v>286</v>
      </c>
      <c r="C1129" s="13" t="s">
        <v>404</v>
      </c>
      <c r="D1129" s="13">
        <v>5</v>
      </c>
      <c r="E1129" s="14">
        <v>156</v>
      </c>
      <c r="F1129" s="15">
        <v>0</v>
      </c>
      <c r="G1129" s="15">
        <v>0</v>
      </c>
      <c r="H1129" s="15">
        <v>0</v>
      </c>
      <c r="I1129" s="15">
        <v>0</v>
      </c>
      <c r="J1129" s="15">
        <v>0</v>
      </c>
      <c r="K1129" s="15">
        <v>0</v>
      </c>
      <c r="L1129" s="15">
        <v>0</v>
      </c>
      <c r="M1129" s="15">
        <v>0</v>
      </c>
      <c r="N1129" s="15">
        <v>0</v>
      </c>
      <c r="O1129" s="15">
        <v>0</v>
      </c>
    </row>
    <row r="1130" spans="1:15">
      <c r="A1130" s="11" t="s">
        <v>1445</v>
      </c>
      <c r="B1130" s="12" t="s">
        <v>286</v>
      </c>
      <c r="C1130" s="13" t="s">
        <v>404</v>
      </c>
      <c r="D1130" s="13">
        <v>6</v>
      </c>
      <c r="E1130" s="14">
        <v>156</v>
      </c>
      <c r="F1130" s="15">
        <v>0</v>
      </c>
      <c r="G1130" s="15">
        <v>0</v>
      </c>
      <c r="H1130" s="15">
        <v>0</v>
      </c>
      <c r="I1130" s="15">
        <v>0</v>
      </c>
      <c r="J1130" s="15">
        <v>0</v>
      </c>
      <c r="K1130" s="15">
        <v>0</v>
      </c>
      <c r="L1130" s="15">
        <v>0</v>
      </c>
      <c r="M1130" s="15">
        <v>0</v>
      </c>
      <c r="N1130" s="15">
        <v>0</v>
      </c>
      <c r="O1130" s="15">
        <v>0</v>
      </c>
    </row>
    <row r="1131" spans="1:15">
      <c r="A1131" s="11" t="s">
        <v>1446</v>
      </c>
      <c r="B1131" s="12" t="s">
        <v>286</v>
      </c>
      <c r="C1131" s="13" t="s">
        <v>404</v>
      </c>
      <c r="D1131" s="13">
        <v>7</v>
      </c>
      <c r="E1131" s="14">
        <v>156</v>
      </c>
      <c r="F1131" s="15">
        <v>0</v>
      </c>
      <c r="G1131" s="15">
        <v>0</v>
      </c>
      <c r="H1131" s="15">
        <v>0</v>
      </c>
      <c r="I1131" s="15">
        <v>0</v>
      </c>
      <c r="J1131" s="15">
        <v>0</v>
      </c>
      <c r="K1131" s="15">
        <v>0</v>
      </c>
      <c r="L1131" s="15">
        <v>0</v>
      </c>
      <c r="M1131" s="15">
        <v>0</v>
      </c>
      <c r="N1131" s="15">
        <v>0</v>
      </c>
      <c r="O1131" s="15">
        <v>0</v>
      </c>
    </row>
    <row r="1132" spans="1:15">
      <c r="A1132" s="11" t="s">
        <v>1447</v>
      </c>
      <c r="B1132" s="12" t="s">
        <v>286</v>
      </c>
      <c r="C1132" s="13" t="s">
        <v>404</v>
      </c>
      <c r="D1132" s="13">
        <v>8</v>
      </c>
      <c r="E1132" s="14">
        <v>156</v>
      </c>
      <c r="F1132" s="15">
        <v>0</v>
      </c>
      <c r="G1132" s="15">
        <v>0</v>
      </c>
      <c r="H1132" s="15">
        <v>0</v>
      </c>
      <c r="I1132" s="15">
        <v>0</v>
      </c>
      <c r="J1132" s="15">
        <v>0</v>
      </c>
      <c r="K1132" s="15">
        <v>0</v>
      </c>
      <c r="L1132" s="15">
        <v>0</v>
      </c>
      <c r="M1132" s="15">
        <v>0</v>
      </c>
      <c r="N1132" s="15">
        <v>0</v>
      </c>
      <c r="O1132" s="15">
        <v>0</v>
      </c>
    </row>
    <row r="1133" spans="1:15">
      <c r="A1133" s="11" t="s">
        <v>1448</v>
      </c>
      <c r="B1133" s="12" t="s">
        <v>286</v>
      </c>
      <c r="C1133" s="13" t="s">
        <v>404</v>
      </c>
      <c r="D1133" s="13">
        <v>9</v>
      </c>
      <c r="E1133" s="14">
        <v>156</v>
      </c>
      <c r="F1133" s="15">
        <v>0</v>
      </c>
      <c r="G1133" s="15">
        <v>0</v>
      </c>
      <c r="H1133" s="15">
        <v>0</v>
      </c>
      <c r="I1133" s="15">
        <v>0</v>
      </c>
      <c r="J1133" s="15">
        <v>0</v>
      </c>
      <c r="K1133" s="15">
        <v>0</v>
      </c>
      <c r="L1133" s="15">
        <v>0</v>
      </c>
      <c r="M1133" s="15">
        <v>0</v>
      </c>
      <c r="N1133" s="15">
        <v>0</v>
      </c>
      <c r="O1133" s="15">
        <v>0</v>
      </c>
    </row>
    <row r="1134" spans="1:15">
      <c r="A1134" s="11" t="s">
        <v>1449</v>
      </c>
      <c r="B1134" s="12" t="s">
        <v>286</v>
      </c>
      <c r="C1134" s="13" t="s">
        <v>404</v>
      </c>
      <c r="D1134" s="13">
        <v>10</v>
      </c>
      <c r="E1134" s="14">
        <v>156</v>
      </c>
      <c r="F1134" s="15">
        <v>0</v>
      </c>
      <c r="G1134" s="15">
        <v>0</v>
      </c>
      <c r="H1134" s="15">
        <v>0</v>
      </c>
      <c r="I1134" s="15">
        <v>0</v>
      </c>
      <c r="J1134" s="15">
        <v>0</v>
      </c>
      <c r="K1134" s="15">
        <v>0</v>
      </c>
      <c r="L1134" s="15">
        <v>0</v>
      </c>
      <c r="M1134" s="15">
        <v>0</v>
      </c>
      <c r="N1134" s="15">
        <v>0</v>
      </c>
      <c r="O1134" s="15">
        <v>0</v>
      </c>
    </row>
    <row r="1135" spans="1:15">
      <c r="A1135" s="11" t="s">
        <v>1450</v>
      </c>
      <c r="B1135" s="12" t="s">
        <v>286</v>
      </c>
      <c r="C1135" s="13" t="s">
        <v>404</v>
      </c>
      <c r="D1135" s="13">
        <v>11</v>
      </c>
      <c r="E1135" s="14">
        <v>156</v>
      </c>
      <c r="F1135" s="15">
        <v>0</v>
      </c>
      <c r="G1135" s="15">
        <v>0</v>
      </c>
      <c r="H1135" s="15">
        <v>0</v>
      </c>
      <c r="I1135" s="15">
        <v>0</v>
      </c>
      <c r="J1135" s="15">
        <v>0</v>
      </c>
      <c r="K1135" s="15">
        <v>0</v>
      </c>
      <c r="L1135" s="15">
        <v>0</v>
      </c>
      <c r="M1135" s="15">
        <v>0</v>
      </c>
      <c r="N1135" s="15">
        <v>0</v>
      </c>
      <c r="O1135" s="15">
        <v>0</v>
      </c>
    </row>
    <row r="1136" spans="1:15">
      <c r="A1136" s="11" t="s">
        <v>1451</v>
      </c>
      <c r="B1136" s="12" t="s">
        <v>286</v>
      </c>
      <c r="C1136" s="13" t="s">
        <v>404</v>
      </c>
      <c r="D1136" s="13">
        <v>12</v>
      </c>
      <c r="E1136" s="14">
        <v>156</v>
      </c>
      <c r="F1136" s="15">
        <v>0</v>
      </c>
      <c r="G1136" s="15">
        <v>0</v>
      </c>
      <c r="H1136" s="15">
        <v>0</v>
      </c>
      <c r="I1136" s="15">
        <v>0</v>
      </c>
      <c r="J1136" s="15">
        <v>0</v>
      </c>
      <c r="K1136" s="15">
        <v>0</v>
      </c>
      <c r="L1136" s="15">
        <v>0</v>
      </c>
      <c r="M1136" s="15">
        <v>0</v>
      </c>
      <c r="N1136" s="15">
        <v>0</v>
      </c>
      <c r="O1136" s="15">
        <v>0</v>
      </c>
    </row>
    <row r="1137" spans="1:15">
      <c r="A1137" s="11" t="s">
        <v>1452</v>
      </c>
      <c r="B1137" s="12" t="s">
        <v>286</v>
      </c>
      <c r="C1137" s="13" t="s">
        <v>404</v>
      </c>
      <c r="D1137" s="13">
        <v>13</v>
      </c>
      <c r="E1137" s="14">
        <v>156</v>
      </c>
      <c r="F1137" s="15">
        <v>0</v>
      </c>
      <c r="G1137" s="15">
        <v>0</v>
      </c>
      <c r="H1137" s="15">
        <v>0</v>
      </c>
      <c r="I1137" s="15">
        <v>0</v>
      </c>
      <c r="J1137" s="15">
        <v>0</v>
      </c>
      <c r="K1137" s="15">
        <v>0</v>
      </c>
      <c r="L1137" s="15">
        <v>0</v>
      </c>
      <c r="M1137" s="15">
        <v>0</v>
      </c>
      <c r="N1137" s="15">
        <v>0</v>
      </c>
      <c r="O1137" s="15">
        <v>0</v>
      </c>
    </row>
    <row r="1138" spans="1:15">
      <c r="A1138" s="11" t="s">
        <v>1453</v>
      </c>
      <c r="B1138" s="12" t="s">
        <v>286</v>
      </c>
      <c r="C1138" s="13" t="s">
        <v>404</v>
      </c>
      <c r="D1138" s="13">
        <v>14</v>
      </c>
      <c r="E1138" s="14">
        <v>156</v>
      </c>
      <c r="F1138" s="15">
        <v>0</v>
      </c>
      <c r="G1138" s="15">
        <v>0</v>
      </c>
      <c r="H1138" s="15">
        <v>0</v>
      </c>
      <c r="I1138" s="15">
        <v>0</v>
      </c>
      <c r="J1138" s="15">
        <v>0</v>
      </c>
      <c r="K1138" s="15">
        <v>0</v>
      </c>
      <c r="L1138" s="15">
        <v>0</v>
      </c>
      <c r="M1138" s="15">
        <v>0</v>
      </c>
      <c r="N1138" s="15">
        <v>0</v>
      </c>
      <c r="O1138" s="15">
        <v>0</v>
      </c>
    </row>
    <row r="1139" spans="1:15">
      <c r="A1139" s="11" t="s">
        <v>1454</v>
      </c>
      <c r="B1139" s="12" t="s">
        <v>286</v>
      </c>
      <c r="C1139" s="13" t="s">
        <v>404</v>
      </c>
      <c r="D1139" s="13">
        <v>15</v>
      </c>
      <c r="E1139" s="14">
        <v>156</v>
      </c>
      <c r="F1139" s="15">
        <v>0</v>
      </c>
      <c r="G1139" s="15">
        <v>0</v>
      </c>
      <c r="H1139" s="15">
        <v>0</v>
      </c>
      <c r="I1139" s="15">
        <v>0</v>
      </c>
      <c r="J1139" s="15">
        <v>0</v>
      </c>
      <c r="K1139" s="15">
        <v>0</v>
      </c>
      <c r="L1139" s="15">
        <v>0</v>
      </c>
      <c r="M1139" s="15">
        <v>0</v>
      </c>
      <c r="N1139" s="15">
        <v>0</v>
      </c>
      <c r="O1139" s="15">
        <v>0</v>
      </c>
    </row>
    <row r="1140" spans="1:15">
      <c r="A1140" s="11" t="s">
        <v>1455</v>
      </c>
      <c r="B1140" s="12" t="s">
        <v>286</v>
      </c>
      <c r="C1140" s="13" t="s">
        <v>404</v>
      </c>
      <c r="D1140" s="13">
        <v>16</v>
      </c>
      <c r="E1140" s="14">
        <v>156</v>
      </c>
      <c r="F1140" s="15">
        <v>0</v>
      </c>
      <c r="G1140" s="15">
        <v>0</v>
      </c>
      <c r="H1140" s="15">
        <v>0</v>
      </c>
      <c r="I1140" s="15">
        <v>0</v>
      </c>
      <c r="J1140" s="15">
        <v>0</v>
      </c>
      <c r="K1140" s="15">
        <v>0</v>
      </c>
      <c r="L1140" s="15">
        <v>0</v>
      </c>
      <c r="M1140" s="15">
        <v>0</v>
      </c>
      <c r="N1140" s="15">
        <v>0</v>
      </c>
      <c r="O1140" s="15">
        <v>0</v>
      </c>
    </row>
    <row r="1141" spans="1:15">
      <c r="A1141" s="11" t="s">
        <v>1456</v>
      </c>
      <c r="B1141" s="12" t="s">
        <v>286</v>
      </c>
      <c r="C1141" s="13" t="s">
        <v>404</v>
      </c>
      <c r="D1141" s="13">
        <v>17</v>
      </c>
      <c r="E1141" s="14">
        <v>156</v>
      </c>
      <c r="F1141" s="15">
        <v>0</v>
      </c>
      <c r="G1141" s="15">
        <v>0</v>
      </c>
      <c r="H1141" s="15">
        <v>0</v>
      </c>
      <c r="I1141" s="15">
        <v>0</v>
      </c>
      <c r="J1141" s="15">
        <v>0</v>
      </c>
      <c r="K1141" s="15">
        <v>0</v>
      </c>
      <c r="L1141" s="15">
        <v>0</v>
      </c>
      <c r="M1141" s="15">
        <v>0</v>
      </c>
      <c r="N1141" s="15">
        <v>0</v>
      </c>
      <c r="O1141" s="15">
        <v>0</v>
      </c>
    </row>
    <row r="1142" spans="1:15">
      <c r="A1142" s="11" t="s">
        <v>1457</v>
      </c>
      <c r="B1142" s="12" t="s">
        <v>286</v>
      </c>
      <c r="C1142" s="13" t="s">
        <v>404</v>
      </c>
      <c r="D1142" s="13">
        <v>18</v>
      </c>
      <c r="E1142" s="14">
        <v>156</v>
      </c>
      <c r="F1142" s="15">
        <v>0</v>
      </c>
      <c r="G1142" s="15">
        <v>0</v>
      </c>
      <c r="H1142" s="15">
        <v>0</v>
      </c>
      <c r="I1142" s="15">
        <v>0</v>
      </c>
      <c r="J1142" s="15">
        <v>0</v>
      </c>
      <c r="K1142" s="15">
        <v>0</v>
      </c>
      <c r="L1142" s="15">
        <v>0</v>
      </c>
      <c r="M1142" s="15">
        <v>0</v>
      </c>
      <c r="N1142" s="15">
        <v>0</v>
      </c>
      <c r="O1142" s="15">
        <v>0</v>
      </c>
    </row>
    <row r="1143" spans="1:15">
      <c r="A1143" s="11" t="s">
        <v>1458</v>
      </c>
      <c r="B1143" s="12" t="s">
        <v>286</v>
      </c>
      <c r="C1143" s="13" t="s">
        <v>404</v>
      </c>
      <c r="D1143" s="13">
        <v>19</v>
      </c>
      <c r="E1143" s="14">
        <v>156</v>
      </c>
      <c r="F1143" s="15">
        <v>0</v>
      </c>
      <c r="G1143" s="15">
        <v>0</v>
      </c>
      <c r="H1143" s="15">
        <v>0</v>
      </c>
      <c r="I1143" s="15">
        <v>0</v>
      </c>
      <c r="J1143" s="15">
        <v>0</v>
      </c>
      <c r="K1143" s="15">
        <v>0</v>
      </c>
      <c r="L1143" s="15">
        <v>0</v>
      </c>
      <c r="M1143" s="15">
        <v>0</v>
      </c>
      <c r="N1143" s="15">
        <v>0</v>
      </c>
      <c r="O1143" s="15">
        <v>0</v>
      </c>
    </row>
    <row r="1144" spans="1:15">
      <c r="A1144" s="11" t="s">
        <v>1459</v>
      </c>
      <c r="B1144" s="12" t="s">
        <v>286</v>
      </c>
      <c r="C1144" s="13" t="s">
        <v>404</v>
      </c>
      <c r="D1144" s="13">
        <v>20</v>
      </c>
      <c r="E1144" s="14">
        <v>156</v>
      </c>
      <c r="F1144" s="15">
        <v>0</v>
      </c>
      <c r="G1144" s="15">
        <v>0</v>
      </c>
      <c r="H1144" s="15">
        <v>0</v>
      </c>
      <c r="I1144" s="15">
        <v>0</v>
      </c>
      <c r="J1144" s="15">
        <v>0</v>
      </c>
      <c r="K1144" s="15">
        <v>0</v>
      </c>
      <c r="L1144" s="15">
        <v>0</v>
      </c>
      <c r="M1144" s="15">
        <v>0</v>
      </c>
      <c r="N1144" s="15">
        <v>0</v>
      </c>
      <c r="O1144" s="15">
        <v>0</v>
      </c>
    </row>
    <row r="1145" spans="1:15">
      <c r="A1145" s="11" t="s">
        <v>1460</v>
      </c>
      <c r="B1145" s="12" t="s">
        <v>286</v>
      </c>
      <c r="C1145" s="13" t="s">
        <v>404</v>
      </c>
      <c r="D1145" s="13">
        <v>21</v>
      </c>
      <c r="E1145" s="14">
        <v>156</v>
      </c>
      <c r="F1145" s="15">
        <v>0</v>
      </c>
      <c r="G1145" s="15">
        <v>0</v>
      </c>
      <c r="H1145" s="15">
        <v>0</v>
      </c>
      <c r="I1145" s="15">
        <v>0</v>
      </c>
      <c r="J1145" s="15">
        <v>0</v>
      </c>
      <c r="K1145" s="15">
        <v>0</v>
      </c>
      <c r="L1145" s="15">
        <v>0</v>
      </c>
      <c r="M1145" s="15">
        <v>0</v>
      </c>
      <c r="N1145" s="15">
        <v>0</v>
      </c>
      <c r="O1145" s="15">
        <v>0</v>
      </c>
    </row>
    <row r="1146" spans="1:15">
      <c r="A1146" s="11" t="s">
        <v>1461</v>
      </c>
      <c r="B1146" s="12" t="s">
        <v>286</v>
      </c>
      <c r="C1146" s="13" t="s">
        <v>404</v>
      </c>
      <c r="D1146" s="13">
        <v>22</v>
      </c>
      <c r="E1146" s="14">
        <v>156</v>
      </c>
      <c r="F1146" s="15">
        <v>0</v>
      </c>
      <c r="G1146" s="15">
        <v>0</v>
      </c>
      <c r="H1146" s="15">
        <v>0</v>
      </c>
      <c r="I1146" s="15">
        <v>0</v>
      </c>
      <c r="J1146" s="15">
        <v>0</v>
      </c>
      <c r="K1146" s="15">
        <v>0</v>
      </c>
      <c r="L1146" s="15">
        <v>0</v>
      </c>
      <c r="M1146" s="15">
        <v>0</v>
      </c>
      <c r="N1146" s="15">
        <v>0</v>
      </c>
      <c r="O1146" s="15">
        <v>0</v>
      </c>
    </row>
    <row r="1147" spans="1:15">
      <c r="A1147" s="11" t="s">
        <v>1462</v>
      </c>
      <c r="B1147" s="12" t="s">
        <v>286</v>
      </c>
      <c r="C1147" s="13" t="s">
        <v>404</v>
      </c>
      <c r="D1147" s="13">
        <v>23</v>
      </c>
      <c r="E1147" s="14">
        <v>156</v>
      </c>
      <c r="F1147" s="15">
        <v>0</v>
      </c>
      <c r="G1147" s="15">
        <v>0</v>
      </c>
      <c r="H1147" s="15">
        <v>0</v>
      </c>
      <c r="I1147" s="15">
        <v>0</v>
      </c>
      <c r="J1147" s="15">
        <v>0</v>
      </c>
      <c r="K1147" s="15">
        <v>0</v>
      </c>
      <c r="L1147" s="15">
        <v>0</v>
      </c>
      <c r="M1147" s="15">
        <v>0</v>
      </c>
      <c r="N1147" s="15">
        <v>0</v>
      </c>
      <c r="O1147" s="15">
        <v>0</v>
      </c>
    </row>
    <row r="1148" spans="1:15">
      <c r="A1148" s="11" t="s">
        <v>1463</v>
      </c>
      <c r="B1148" s="12" t="s">
        <v>286</v>
      </c>
      <c r="C1148" s="13" t="s">
        <v>404</v>
      </c>
      <c r="D1148" s="13">
        <v>24</v>
      </c>
      <c r="E1148" s="14">
        <v>156</v>
      </c>
      <c r="F1148" s="15">
        <v>0</v>
      </c>
      <c r="G1148" s="15">
        <v>0</v>
      </c>
      <c r="H1148" s="15">
        <v>0</v>
      </c>
      <c r="I1148" s="15">
        <v>0</v>
      </c>
      <c r="J1148" s="15">
        <v>0</v>
      </c>
      <c r="K1148" s="15">
        <v>0</v>
      </c>
      <c r="L1148" s="15">
        <v>0</v>
      </c>
      <c r="M1148" s="15">
        <v>0</v>
      </c>
      <c r="N1148" s="15">
        <v>0</v>
      </c>
      <c r="O1148" s="15">
        <v>0</v>
      </c>
    </row>
    <row r="1149" spans="1:15">
      <c r="A1149" s="11" t="s">
        <v>1464</v>
      </c>
      <c r="B1149" s="12" t="s">
        <v>286</v>
      </c>
      <c r="C1149" s="13" t="s">
        <v>404</v>
      </c>
      <c r="D1149" s="13">
        <v>25</v>
      </c>
      <c r="E1149" s="14">
        <v>156</v>
      </c>
      <c r="F1149" s="15">
        <v>0</v>
      </c>
      <c r="G1149" s="15">
        <v>0</v>
      </c>
      <c r="H1149" s="15">
        <v>0</v>
      </c>
      <c r="I1149" s="15">
        <v>0</v>
      </c>
      <c r="J1149" s="15">
        <v>0</v>
      </c>
      <c r="K1149" s="15">
        <v>0</v>
      </c>
      <c r="L1149" s="15">
        <v>0</v>
      </c>
      <c r="M1149" s="15">
        <v>0</v>
      </c>
      <c r="N1149" s="15">
        <v>0</v>
      </c>
      <c r="O1149" s="15">
        <v>0</v>
      </c>
    </row>
    <row r="1150" spans="1:15">
      <c r="A1150" s="11" t="s">
        <v>1465</v>
      </c>
      <c r="B1150" s="12" t="s">
        <v>286</v>
      </c>
      <c r="C1150" s="13" t="s">
        <v>404</v>
      </c>
      <c r="D1150" s="13">
        <v>26</v>
      </c>
      <c r="E1150" s="14">
        <v>156</v>
      </c>
      <c r="F1150" s="15">
        <v>0</v>
      </c>
      <c r="G1150" s="15">
        <v>0</v>
      </c>
      <c r="H1150" s="15">
        <v>0</v>
      </c>
      <c r="I1150" s="15">
        <v>0</v>
      </c>
      <c r="J1150" s="15">
        <v>0</v>
      </c>
      <c r="K1150" s="15">
        <v>0</v>
      </c>
      <c r="L1150" s="15">
        <v>0</v>
      </c>
      <c r="M1150" s="15">
        <v>0</v>
      </c>
      <c r="N1150" s="15">
        <v>0</v>
      </c>
      <c r="O1150" s="15">
        <v>0</v>
      </c>
    </row>
    <row r="1151" spans="1:15">
      <c r="A1151" s="11" t="s">
        <v>1466</v>
      </c>
      <c r="B1151" s="12" t="s">
        <v>286</v>
      </c>
      <c r="C1151" s="13" t="s">
        <v>404</v>
      </c>
      <c r="D1151" s="13">
        <v>27</v>
      </c>
      <c r="E1151" s="14">
        <v>156</v>
      </c>
      <c r="F1151" s="15">
        <v>0</v>
      </c>
      <c r="G1151" s="15">
        <v>0</v>
      </c>
      <c r="H1151" s="15">
        <v>0</v>
      </c>
      <c r="I1151" s="15">
        <v>0</v>
      </c>
      <c r="J1151" s="15">
        <v>0</v>
      </c>
      <c r="K1151" s="15">
        <v>0</v>
      </c>
      <c r="L1151" s="15">
        <v>0</v>
      </c>
      <c r="M1151" s="15">
        <v>0</v>
      </c>
      <c r="N1151" s="15">
        <v>0</v>
      </c>
      <c r="O1151" s="15">
        <v>0</v>
      </c>
    </row>
    <row r="1152" spans="1:15">
      <c r="A1152" s="11" t="s">
        <v>1467</v>
      </c>
      <c r="B1152" s="12" t="s">
        <v>286</v>
      </c>
      <c r="C1152" s="13" t="s">
        <v>404</v>
      </c>
      <c r="D1152" s="13">
        <v>28</v>
      </c>
      <c r="E1152" s="14">
        <v>156</v>
      </c>
      <c r="F1152" s="15">
        <v>0</v>
      </c>
      <c r="G1152" s="15">
        <v>0</v>
      </c>
      <c r="H1152" s="15">
        <v>0</v>
      </c>
      <c r="I1152" s="15">
        <v>0</v>
      </c>
      <c r="J1152" s="15">
        <v>0</v>
      </c>
      <c r="K1152" s="15">
        <v>0</v>
      </c>
      <c r="L1152" s="15">
        <v>0</v>
      </c>
      <c r="M1152" s="15">
        <v>0</v>
      </c>
      <c r="N1152" s="15">
        <v>0</v>
      </c>
      <c r="O1152" s="15">
        <v>0</v>
      </c>
    </row>
    <row r="1153" spans="1:15">
      <c r="A1153" s="11" t="s">
        <v>1468</v>
      </c>
      <c r="B1153" s="12" t="s">
        <v>286</v>
      </c>
      <c r="C1153" s="13" t="s">
        <v>404</v>
      </c>
      <c r="D1153" s="13">
        <v>29</v>
      </c>
      <c r="E1153" s="14">
        <v>156</v>
      </c>
      <c r="F1153" s="15">
        <v>0</v>
      </c>
      <c r="G1153" s="15">
        <v>0</v>
      </c>
      <c r="H1153" s="15">
        <v>0</v>
      </c>
      <c r="I1153" s="15">
        <v>0</v>
      </c>
      <c r="J1153" s="15">
        <v>0</v>
      </c>
      <c r="K1153" s="15">
        <v>0</v>
      </c>
      <c r="L1153" s="15">
        <v>0</v>
      </c>
      <c r="M1153" s="15">
        <v>0</v>
      </c>
      <c r="N1153" s="15">
        <v>0</v>
      </c>
      <c r="O1153" s="15">
        <v>0</v>
      </c>
    </row>
    <row r="1154" spans="1:15">
      <c r="A1154" s="11" t="s">
        <v>1469</v>
      </c>
      <c r="B1154" s="12" t="s">
        <v>286</v>
      </c>
      <c r="C1154" s="13" t="s">
        <v>404</v>
      </c>
      <c r="D1154" s="13">
        <v>30</v>
      </c>
      <c r="E1154" s="14">
        <v>156</v>
      </c>
      <c r="F1154" s="15">
        <v>0</v>
      </c>
      <c r="G1154" s="15">
        <v>0</v>
      </c>
      <c r="H1154" s="15">
        <v>0</v>
      </c>
      <c r="I1154" s="15">
        <v>0</v>
      </c>
      <c r="J1154" s="15">
        <v>0</v>
      </c>
      <c r="K1154" s="15">
        <v>0</v>
      </c>
      <c r="L1154" s="15">
        <v>0</v>
      </c>
      <c r="M1154" s="15">
        <v>0</v>
      </c>
      <c r="N1154" s="15">
        <v>0</v>
      </c>
      <c r="O1154" s="15">
        <v>0</v>
      </c>
    </row>
    <row r="1155" spans="1:15">
      <c r="A1155" s="11" t="s">
        <v>1470</v>
      </c>
      <c r="B1155" s="12" t="s">
        <v>286</v>
      </c>
      <c r="C1155" s="13" t="s">
        <v>404</v>
      </c>
      <c r="D1155" s="13">
        <v>31</v>
      </c>
      <c r="E1155" s="14">
        <v>156</v>
      </c>
      <c r="F1155" s="15">
        <v>0</v>
      </c>
      <c r="G1155" s="15">
        <v>0</v>
      </c>
      <c r="H1155" s="15">
        <v>0</v>
      </c>
      <c r="I1155" s="15">
        <v>0</v>
      </c>
      <c r="J1155" s="15">
        <v>0</v>
      </c>
      <c r="K1155" s="15">
        <v>0</v>
      </c>
      <c r="L1155" s="15">
        <v>0</v>
      </c>
      <c r="M1155" s="15">
        <v>0</v>
      </c>
      <c r="N1155" s="15">
        <v>0</v>
      </c>
      <c r="O1155" s="15">
        <v>0</v>
      </c>
    </row>
    <row r="1156" spans="1:15">
      <c r="A1156" s="11" t="s">
        <v>1471</v>
      </c>
      <c r="B1156" s="12" t="s">
        <v>286</v>
      </c>
      <c r="C1156" s="13" t="s">
        <v>404</v>
      </c>
      <c r="D1156" s="13">
        <v>32</v>
      </c>
      <c r="E1156" s="14">
        <v>156</v>
      </c>
      <c r="F1156" s="15">
        <v>0</v>
      </c>
      <c r="G1156" s="15">
        <v>0</v>
      </c>
      <c r="H1156" s="15">
        <v>0</v>
      </c>
      <c r="I1156" s="15">
        <v>0</v>
      </c>
      <c r="J1156" s="15">
        <v>0</v>
      </c>
      <c r="K1156" s="15">
        <v>0</v>
      </c>
      <c r="L1156" s="15">
        <v>0</v>
      </c>
      <c r="M1156" s="15">
        <v>0</v>
      </c>
      <c r="N1156" s="15">
        <v>0</v>
      </c>
      <c r="O1156" s="15">
        <v>0</v>
      </c>
    </row>
    <row r="1157" spans="1:15">
      <c r="A1157" s="11" t="s">
        <v>1472</v>
      </c>
      <c r="B1157" s="12" t="s">
        <v>286</v>
      </c>
      <c r="C1157" s="13" t="s">
        <v>404</v>
      </c>
      <c r="D1157" s="13">
        <v>33</v>
      </c>
      <c r="E1157" s="14">
        <v>156</v>
      </c>
      <c r="F1157" s="15">
        <v>0</v>
      </c>
      <c r="G1157" s="15">
        <v>0</v>
      </c>
      <c r="H1157" s="15">
        <v>0</v>
      </c>
      <c r="I1157" s="15">
        <v>0</v>
      </c>
      <c r="J1157" s="15">
        <v>0</v>
      </c>
      <c r="K1157" s="15">
        <v>0</v>
      </c>
      <c r="L1157" s="15">
        <v>0</v>
      </c>
      <c r="M1157" s="15">
        <v>0</v>
      </c>
      <c r="N1157" s="15">
        <v>0</v>
      </c>
      <c r="O1157" s="15">
        <v>0</v>
      </c>
    </row>
    <row r="1158" spans="1:15">
      <c r="A1158" s="11" t="s">
        <v>1473</v>
      </c>
      <c r="B1158" s="12" t="s">
        <v>286</v>
      </c>
      <c r="C1158" s="13" t="s">
        <v>404</v>
      </c>
      <c r="D1158" s="13">
        <v>34</v>
      </c>
      <c r="E1158" s="14">
        <v>156</v>
      </c>
      <c r="F1158" s="15">
        <v>0</v>
      </c>
      <c r="G1158" s="15">
        <v>0</v>
      </c>
      <c r="H1158" s="15">
        <v>0</v>
      </c>
      <c r="I1158" s="15">
        <v>0</v>
      </c>
      <c r="J1158" s="15">
        <v>0</v>
      </c>
      <c r="K1158" s="15">
        <v>0</v>
      </c>
      <c r="L1158" s="15">
        <v>0</v>
      </c>
      <c r="M1158" s="15">
        <v>0</v>
      </c>
      <c r="N1158" s="15">
        <v>0</v>
      </c>
      <c r="O1158" s="15">
        <v>0</v>
      </c>
    </row>
    <row r="1159" spans="1:15">
      <c r="A1159" s="11" t="s">
        <v>1474</v>
      </c>
      <c r="B1159" s="12" t="s">
        <v>286</v>
      </c>
      <c r="C1159" s="13" t="s">
        <v>404</v>
      </c>
      <c r="D1159" s="13">
        <v>35</v>
      </c>
      <c r="E1159" s="14">
        <v>156</v>
      </c>
      <c r="F1159" s="15">
        <v>0</v>
      </c>
      <c r="G1159" s="15">
        <v>0</v>
      </c>
      <c r="H1159" s="15">
        <v>0</v>
      </c>
      <c r="I1159" s="15">
        <v>0</v>
      </c>
      <c r="J1159" s="15">
        <v>0</v>
      </c>
      <c r="K1159" s="15">
        <v>0</v>
      </c>
      <c r="L1159" s="15">
        <v>0</v>
      </c>
      <c r="M1159" s="15">
        <v>0</v>
      </c>
      <c r="N1159" s="15">
        <v>0</v>
      </c>
      <c r="O1159" s="15">
        <v>0</v>
      </c>
    </row>
    <row r="1160" spans="1:15">
      <c r="A1160" s="11" t="s">
        <v>1475</v>
      </c>
      <c r="B1160" s="12" t="s">
        <v>286</v>
      </c>
      <c r="C1160" s="13" t="s">
        <v>404</v>
      </c>
      <c r="D1160" s="13">
        <v>36</v>
      </c>
      <c r="E1160" s="14">
        <v>156</v>
      </c>
      <c r="F1160" s="15">
        <v>0</v>
      </c>
      <c r="G1160" s="15">
        <v>0</v>
      </c>
      <c r="H1160" s="15">
        <v>0</v>
      </c>
      <c r="I1160" s="15">
        <v>0</v>
      </c>
      <c r="J1160" s="15">
        <v>0</v>
      </c>
      <c r="K1160" s="15">
        <v>0</v>
      </c>
      <c r="L1160" s="15">
        <v>0</v>
      </c>
      <c r="M1160" s="15">
        <v>0</v>
      </c>
      <c r="N1160" s="15">
        <v>0</v>
      </c>
      <c r="O1160" s="15">
        <v>0</v>
      </c>
    </row>
    <row r="1161" spans="1:15">
      <c r="A1161" s="11" t="s">
        <v>1476</v>
      </c>
      <c r="B1161" s="12" t="s">
        <v>286</v>
      </c>
      <c r="C1161" s="13" t="s">
        <v>404</v>
      </c>
      <c r="D1161" s="13">
        <v>37</v>
      </c>
      <c r="E1161" s="14">
        <v>156</v>
      </c>
      <c r="F1161" s="15">
        <v>0</v>
      </c>
      <c r="G1161" s="15">
        <v>0</v>
      </c>
      <c r="H1161" s="15">
        <v>0</v>
      </c>
      <c r="I1161" s="15">
        <v>0</v>
      </c>
      <c r="J1161" s="15">
        <v>0</v>
      </c>
      <c r="K1161" s="15">
        <v>0</v>
      </c>
      <c r="L1161" s="15">
        <v>0</v>
      </c>
      <c r="M1161" s="15">
        <v>0</v>
      </c>
      <c r="N1161" s="15">
        <v>0</v>
      </c>
      <c r="O1161" s="15">
        <v>0</v>
      </c>
    </row>
    <row r="1162" spans="1:15">
      <c r="A1162" s="11" t="s">
        <v>1477</v>
      </c>
      <c r="B1162" s="12" t="s">
        <v>286</v>
      </c>
      <c r="C1162" s="13" t="s">
        <v>404</v>
      </c>
      <c r="D1162" s="13">
        <v>38</v>
      </c>
      <c r="E1162" s="14">
        <v>156</v>
      </c>
      <c r="F1162" s="15">
        <v>0</v>
      </c>
      <c r="G1162" s="15">
        <v>0</v>
      </c>
      <c r="H1162" s="15">
        <v>0</v>
      </c>
      <c r="I1162" s="15">
        <v>0</v>
      </c>
      <c r="J1162" s="15">
        <v>0</v>
      </c>
      <c r="K1162" s="15">
        <v>0</v>
      </c>
      <c r="L1162" s="15">
        <v>0</v>
      </c>
      <c r="M1162" s="15">
        <v>0</v>
      </c>
      <c r="N1162" s="15">
        <v>0</v>
      </c>
      <c r="O1162" s="15">
        <v>0</v>
      </c>
    </row>
    <row r="1163" spans="1:15">
      <c r="A1163" s="11" t="s">
        <v>1478</v>
      </c>
      <c r="B1163" s="12" t="s">
        <v>286</v>
      </c>
      <c r="C1163" s="13" t="s">
        <v>404</v>
      </c>
      <c r="D1163" s="13">
        <v>39</v>
      </c>
      <c r="E1163" s="14">
        <v>156</v>
      </c>
      <c r="F1163" s="15">
        <v>0</v>
      </c>
      <c r="G1163" s="15">
        <v>0</v>
      </c>
      <c r="H1163" s="15">
        <v>0</v>
      </c>
      <c r="I1163" s="15">
        <v>0</v>
      </c>
      <c r="J1163" s="15">
        <v>0</v>
      </c>
      <c r="K1163" s="15">
        <v>0</v>
      </c>
      <c r="L1163" s="15">
        <v>0</v>
      </c>
      <c r="M1163" s="15">
        <v>0</v>
      </c>
      <c r="N1163" s="15">
        <v>0</v>
      </c>
      <c r="O1163" s="15">
        <v>0</v>
      </c>
    </row>
    <row r="1164" spans="1:15">
      <c r="A1164" s="11" t="s">
        <v>1479</v>
      </c>
      <c r="B1164" s="12" t="s">
        <v>286</v>
      </c>
      <c r="C1164" s="13" t="s">
        <v>404</v>
      </c>
      <c r="D1164" s="13">
        <v>40</v>
      </c>
      <c r="E1164" s="14">
        <v>156</v>
      </c>
      <c r="F1164" s="15">
        <v>0</v>
      </c>
      <c r="G1164" s="15">
        <v>0</v>
      </c>
      <c r="H1164" s="15">
        <v>0</v>
      </c>
      <c r="I1164" s="15">
        <v>0</v>
      </c>
      <c r="J1164" s="15">
        <v>0</v>
      </c>
      <c r="K1164" s="15">
        <v>0</v>
      </c>
      <c r="L1164" s="15">
        <v>0</v>
      </c>
      <c r="M1164" s="15">
        <v>0</v>
      </c>
      <c r="N1164" s="15">
        <v>0</v>
      </c>
      <c r="O1164" s="15">
        <v>0</v>
      </c>
    </row>
    <row r="1165" spans="1:15">
      <c r="A1165" s="11" t="s">
        <v>1480</v>
      </c>
      <c r="B1165" s="12" t="s">
        <v>286</v>
      </c>
      <c r="C1165" s="13" t="s">
        <v>404</v>
      </c>
      <c r="D1165" s="13">
        <v>41</v>
      </c>
      <c r="E1165" s="14">
        <v>156</v>
      </c>
      <c r="F1165" s="15">
        <v>0</v>
      </c>
      <c r="G1165" s="15">
        <v>0</v>
      </c>
      <c r="H1165" s="15">
        <v>0</v>
      </c>
      <c r="I1165" s="15">
        <v>0</v>
      </c>
      <c r="J1165" s="15">
        <v>0</v>
      </c>
      <c r="K1165" s="15">
        <v>0</v>
      </c>
      <c r="L1165" s="15">
        <v>0</v>
      </c>
      <c r="M1165" s="15">
        <v>0</v>
      </c>
      <c r="N1165" s="15">
        <v>0</v>
      </c>
      <c r="O1165" s="15">
        <v>0</v>
      </c>
    </row>
    <row r="1166" spans="1:15">
      <c r="A1166" s="11" t="s">
        <v>1481</v>
      </c>
      <c r="B1166" s="12" t="s">
        <v>286</v>
      </c>
      <c r="C1166" s="13" t="s">
        <v>404</v>
      </c>
      <c r="D1166" s="13">
        <v>42</v>
      </c>
      <c r="E1166" s="14">
        <v>156</v>
      </c>
      <c r="F1166" s="15">
        <v>0</v>
      </c>
      <c r="G1166" s="15">
        <v>0</v>
      </c>
      <c r="H1166" s="15">
        <v>0</v>
      </c>
      <c r="I1166" s="15">
        <v>0</v>
      </c>
      <c r="J1166" s="15">
        <v>0</v>
      </c>
      <c r="K1166" s="15">
        <v>0</v>
      </c>
      <c r="L1166" s="15">
        <v>0</v>
      </c>
      <c r="M1166" s="15">
        <v>0</v>
      </c>
      <c r="N1166" s="15">
        <v>0</v>
      </c>
      <c r="O1166" s="15">
        <v>0</v>
      </c>
    </row>
    <row r="1167" spans="1:15">
      <c r="A1167" s="11" t="s">
        <v>1482</v>
      </c>
      <c r="B1167" s="12" t="s">
        <v>286</v>
      </c>
      <c r="C1167" s="13" t="s">
        <v>404</v>
      </c>
      <c r="D1167" s="13">
        <v>43</v>
      </c>
      <c r="E1167" s="14">
        <v>156</v>
      </c>
      <c r="F1167" s="15">
        <v>0</v>
      </c>
      <c r="G1167" s="15">
        <v>0</v>
      </c>
      <c r="H1167" s="15">
        <v>0</v>
      </c>
      <c r="I1167" s="15">
        <v>0</v>
      </c>
      <c r="J1167" s="15">
        <v>0</v>
      </c>
      <c r="K1167" s="15">
        <v>0</v>
      </c>
      <c r="L1167" s="15">
        <v>0</v>
      </c>
      <c r="M1167" s="15">
        <v>0</v>
      </c>
      <c r="N1167" s="15">
        <v>0</v>
      </c>
      <c r="O1167" s="15">
        <v>0</v>
      </c>
    </row>
    <row r="1168" spans="1:15">
      <c r="A1168" s="11" t="s">
        <v>1483</v>
      </c>
      <c r="B1168" s="12" t="s">
        <v>286</v>
      </c>
      <c r="C1168" s="13" t="s">
        <v>404</v>
      </c>
      <c r="D1168" s="13">
        <v>44</v>
      </c>
      <c r="E1168" s="14">
        <v>156</v>
      </c>
      <c r="F1168" s="15">
        <v>0</v>
      </c>
      <c r="G1168" s="15">
        <v>0</v>
      </c>
      <c r="H1168" s="15">
        <v>0</v>
      </c>
      <c r="I1168" s="15">
        <v>0</v>
      </c>
      <c r="J1168" s="15">
        <v>0</v>
      </c>
      <c r="K1168" s="15">
        <v>0</v>
      </c>
      <c r="L1168" s="15">
        <v>0</v>
      </c>
      <c r="M1168" s="15">
        <v>0</v>
      </c>
      <c r="N1168" s="15">
        <v>0</v>
      </c>
      <c r="O1168" s="15">
        <v>0</v>
      </c>
    </row>
    <row r="1169" spans="1:15">
      <c r="A1169" s="11" t="s">
        <v>1484</v>
      </c>
      <c r="B1169" s="12" t="s">
        <v>286</v>
      </c>
      <c r="C1169" s="13" t="s">
        <v>404</v>
      </c>
      <c r="D1169" s="13">
        <v>45</v>
      </c>
      <c r="E1169" s="14">
        <v>156</v>
      </c>
      <c r="F1169" s="15">
        <v>0</v>
      </c>
      <c r="G1169" s="15">
        <v>0</v>
      </c>
      <c r="H1169" s="15">
        <v>0</v>
      </c>
      <c r="I1169" s="15">
        <v>0</v>
      </c>
      <c r="J1169" s="15">
        <v>0</v>
      </c>
      <c r="K1169" s="15">
        <v>0</v>
      </c>
      <c r="L1169" s="15">
        <v>0</v>
      </c>
      <c r="M1169" s="15">
        <v>0</v>
      </c>
      <c r="N1169" s="15">
        <v>0</v>
      </c>
      <c r="O1169" s="15">
        <v>0</v>
      </c>
    </row>
    <row r="1170" spans="1:15">
      <c r="A1170" s="11" t="s">
        <v>1485</v>
      </c>
      <c r="B1170" s="12" t="s">
        <v>286</v>
      </c>
      <c r="C1170" s="13" t="s">
        <v>404</v>
      </c>
      <c r="D1170" s="13">
        <v>46</v>
      </c>
      <c r="E1170" s="14">
        <v>156</v>
      </c>
      <c r="F1170" s="15">
        <v>0</v>
      </c>
      <c r="G1170" s="15">
        <v>0</v>
      </c>
      <c r="H1170" s="15">
        <v>0</v>
      </c>
      <c r="I1170" s="15">
        <v>0</v>
      </c>
      <c r="J1170" s="15">
        <v>0</v>
      </c>
      <c r="K1170" s="15">
        <v>0</v>
      </c>
      <c r="L1170" s="15">
        <v>0</v>
      </c>
      <c r="M1170" s="15">
        <v>0</v>
      </c>
      <c r="N1170" s="15">
        <v>0</v>
      </c>
      <c r="O1170" s="15">
        <v>0</v>
      </c>
    </row>
    <row r="1171" spans="1:15">
      <c r="A1171" s="11" t="s">
        <v>1486</v>
      </c>
      <c r="B1171" s="12" t="s">
        <v>286</v>
      </c>
      <c r="C1171" s="13" t="s">
        <v>404</v>
      </c>
      <c r="D1171" s="13">
        <v>47</v>
      </c>
      <c r="E1171" s="14">
        <v>156</v>
      </c>
      <c r="F1171" s="15">
        <v>0</v>
      </c>
      <c r="G1171" s="15">
        <v>0</v>
      </c>
      <c r="H1171" s="15">
        <v>0</v>
      </c>
      <c r="I1171" s="15">
        <v>0</v>
      </c>
      <c r="J1171" s="15">
        <v>0</v>
      </c>
      <c r="K1171" s="15">
        <v>0</v>
      </c>
      <c r="L1171" s="15">
        <v>0</v>
      </c>
      <c r="M1171" s="15">
        <v>0</v>
      </c>
      <c r="N1171" s="15">
        <v>0</v>
      </c>
      <c r="O1171" s="15">
        <v>0</v>
      </c>
    </row>
    <row r="1172" spans="1:15">
      <c r="A1172" s="11" t="s">
        <v>1487</v>
      </c>
      <c r="B1172" s="12" t="s">
        <v>286</v>
      </c>
      <c r="C1172" s="13" t="s">
        <v>404</v>
      </c>
      <c r="D1172" s="13">
        <v>48</v>
      </c>
      <c r="E1172" s="14">
        <v>156</v>
      </c>
      <c r="F1172" s="15">
        <v>0</v>
      </c>
      <c r="G1172" s="15">
        <v>0</v>
      </c>
      <c r="H1172" s="15">
        <v>0</v>
      </c>
      <c r="I1172" s="15">
        <v>0</v>
      </c>
      <c r="J1172" s="15">
        <v>0</v>
      </c>
      <c r="K1172" s="15">
        <v>0</v>
      </c>
      <c r="L1172" s="15">
        <v>0</v>
      </c>
      <c r="M1172" s="15">
        <v>0</v>
      </c>
      <c r="N1172" s="15">
        <v>0</v>
      </c>
      <c r="O1172" s="15">
        <v>0</v>
      </c>
    </row>
    <row r="1173" spans="1:15">
      <c r="A1173" s="11" t="s">
        <v>1488</v>
      </c>
      <c r="B1173" s="12" t="s">
        <v>286</v>
      </c>
      <c r="C1173" s="13" t="s">
        <v>404</v>
      </c>
      <c r="D1173" s="13">
        <v>49</v>
      </c>
      <c r="E1173" s="14">
        <v>156</v>
      </c>
      <c r="F1173" s="15">
        <v>0</v>
      </c>
      <c r="G1173" s="15">
        <v>0</v>
      </c>
      <c r="H1173" s="15">
        <v>0</v>
      </c>
      <c r="I1173" s="15">
        <v>0</v>
      </c>
      <c r="J1173" s="15">
        <v>0</v>
      </c>
      <c r="K1173" s="15">
        <v>0</v>
      </c>
      <c r="L1173" s="15">
        <v>0</v>
      </c>
      <c r="M1173" s="15">
        <v>0</v>
      </c>
      <c r="N1173" s="15">
        <v>0</v>
      </c>
      <c r="O1173" s="15">
        <v>0</v>
      </c>
    </row>
    <row r="1174" spans="1:15">
      <c r="A1174" s="11" t="s">
        <v>1489</v>
      </c>
      <c r="B1174" s="12" t="s">
        <v>286</v>
      </c>
      <c r="C1174" s="13" t="s">
        <v>404</v>
      </c>
      <c r="D1174" s="13">
        <v>50</v>
      </c>
      <c r="E1174" s="14">
        <v>156</v>
      </c>
      <c r="F1174" s="15">
        <v>0</v>
      </c>
      <c r="G1174" s="15">
        <v>0</v>
      </c>
      <c r="H1174" s="15">
        <v>0</v>
      </c>
      <c r="I1174" s="15">
        <v>0</v>
      </c>
      <c r="J1174" s="15">
        <v>0</v>
      </c>
      <c r="K1174" s="15">
        <v>0</v>
      </c>
      <c r="L1174" s="15">
        <v>0</v>
      </c>
      <c r="M1174" s="15">
        <v>0</v>
      </c>
      <c r="N1174" s="15">
        <v>0</v>
      </c>
      <c r="O1174" s="15">
        <v>0</v>
      </c>
    </row>
    <row r="1175" spans="1:15">
      <c r="A1175" s="11" t="s">
        <v>1490</v>
      </c>
      <c r="B1175" s="12" t="s">
        <v>286</v>
      </c>
      <c r="C1175" s="13" t="s">
        <v>404</v>
      </c>
      <c r="D1175" s="13">
        <v>51</v>
      </c>
      <c r="E1175" s="14">
        <v>156</v>
      </c>
      <c r="F1175" s="15">
        <v>0</v>
      </c>
      <c r="G1175" s="15">
        <v>0</v>
      </c>
      <c r="H1175" s="15">
        <v>0</v>
      </c>
      <c r="I1175" s="15">
        <v>0</v>
      </c>
      <c r="J1175" s="15">
        <v>0</v>
      </c>
      <c r="K1175" s="15">
        <v>0</v>
      </c>
      <c r="L1175" s="15">
        <v>0</v>
      </c>
      <c r="M1175" s="15">
        <v>0</v>
      </c>
      <c r="N1175" s="15">
        <v>0</v>
      </c>
      <c r="O1175" s="15">
        <v>0</v>
      </c>
    </row>
    <row r="1176" spans="1:15">
      <c r="A1176" s="11" t="s">
        <v>1491</v>
      </c>
      <c r="B1176" s="12" t="s">
        <v>286</v>
      </c>
      <c r="C1176" s="13" t="s">
        <v>404</v>
      </c>
      <c r="D1176" s="13">
        <v>52</v>
      </c>
      <c r="E1176" s="14">
        <v>156</v>
      </c>
      <c r="F1176" s="15">
        <v>0</v>
      </c>
      <c r="G1176" s="15">
        <v>0</v>
      </c>
      <c r="H1176" s="15">
        <v>0</v>
      </c>
      <c r="I1176" s="15">
        <v>0</v>
      </c>
      <c r="J1176" s="15">
        <v>0</v>
      </c>
      <c r="K1176" s="15">
        <v>0</v>
      </c>
      <c r="L1176" s="15">
        <v>0</v>
      </c>
      <c r="M1176" s="15">
        <v>0</v>
      </c>
      <c r="N1176" s="15">
        <v>0</v>
      </c>
      <c r="O1176" s="15">
        <v>0</v>
      </c>
    </row>
    <row r="1177" spans="1:15">
      <c r="A1177" s="11" t="s">
        <v>1492</v>
      </c>
      <c r="B1177" s="12" t="s">
        <v>286</v>
      </c>
      <c r="C1177" s="13" t="s">
        <v>404</v>
      </c>
      <c r="D1177" s="13">
        <v>53</v>
      </c>
      <c r="E1177" s="14">
        <v>156</v>
      </c>
      <c r="F1177" s="15">
        <v>0</v>
      </c>
      <c r="G1177" s="15">
        <v>0</v>
      </c>
      <c r="H1177" s="15">
        <v>0</v>
      </c>
      <c r="I1177" s="15">
        <v>0</v>
      </c>
      <c r="J1177" s="15">
        <v>0</v>
      </c>
      <c r="K1177" s="15">
        <v>0</v>
      </c>
      <c r="L1177" s="15">
        <v>0</v>
      </c>
      <c r="M1177" s="15">
        <v>0</v>
      </c>
      <c r="N1177" s="15">
        <v>0</v>
      </c>
      <c r="O1177" s="15">
        <v>0</v>
      </c>
    </row>
    <row r="1178" spans="1:15">
      <c r="A1178" s="11" t="s">
        <v>1493</v>
      </c>
      <c r="B1178" s="12" t="s">
        <v>286</v>
      </c>
      <c r="C1178" s="13" t="s">
        <v>404</v>
      </c>
      <c r="D1178" s="13">
        <v>54</v>
      </c>
      <c r="E1178" s="14">
        <v>156</v>
      </c>
      <c r="F1178" s="15">
        <v>0</v>
      </c>
      <c r="G1178" s="15">
        <v>0</v>
      </c>
      <c r="H1178" s="15">
        <v>0</v>
      </c>
      <c r="I1178" s="15">
        <v>0</v>
      </c>
      <c r="J1178" s="15">
        <v>0</v>
      </c>
      <c r="K1178" s="15">
        <v>0</v>
      </c>
      <c r="L1178" s="15">
        <v>0</v>
      </c>
      <c r="M1178" s="15">
        <v>0</v>
      </c>
      <c r="N1178" s="15">
        <v>0</v>
      </c>
      <c r="O1178" s="15">
        <v>0</v>
      </c>
    </row>
    <row r="1179" spans="1:15">
      <c r="A1179" s="11" t="s">
        <v>1494</v>
      </c>
      <c r="B1179" s="12" t="s">
        <v>286</v>
      </c>
      <c r="C1179" s="13" t="s">
        <v>404</v>
      </c>
      <c r="D1179" s="13">
        <v>55</v>
      </c>
      <c r="E1179" s="14">
        <v>156</v>
      </c>
      <c r="F1179" s="15">
        <v>0</v>
      </c>
      <c r="G1179" s="15">
        <v>0</v>
      </c>
      <c r="H1179" s="15">
        <v>0</v>
      </c>
      <c r="I1179" s="15">
        <v>0</v>
      </c>
      <c r="J1179" s="15">
        <v>0</v>
      </c>
      <c r="K1179" s="15">
        <v>0</v>
      </c>
      <c r="L1179" s="15">
        <v>0</v>
      </c>
      <c r="M1179" s="15">
        <v>0</v>
      </c>
      <c r="N1179" s="15">
        <v>0</v>
      </c>
      <c r="O1179" s="15">
        <v>0</v>
      </c>
    </row>
    <row r="1180" spans="1:15">
      <c r="A1180" s="11" t="s">
        <v>1495</v>
      </c>
      <c r="B1180" s="12" t="s">
        <v>286</v>
      </c>
      <c r="C1180" s="13" t="s">
        <v>404</v>
      </c>
      <c r="D1180" s="13">
        <v>56</v>
      </c>
      <c r="E1180" s="14">
        <v>156</v>
      </c>
      <c r="F1180" s="15">
        <v>0</v>
      </c>
      <c r="G1180" s="15">
        <v>0</v>
      </c>
      <c r="H1180" s="15">
        <v>0</v>
      </c>
      <c r="I1180" s="15">
        <v>0</v>
      </c>
      <c r="J1180" s="15">
        <v>0</v>
      </c>
      <c r="K1180" s="15">
        <v>0</v>
      </c>
      <c r="L1180" s="15">
        <v>0</v>
      </c>
      <c r="M1180" s="15">
        <v>0</v>
      </c>
      <c r="N1180" s="15">
        <v>0</v>
      </c>
      <c r="O1180" s="15">
        <v>0</v>
      </c>
    </row>
    <row r="1181" spans="1:15">
      <c r="A1181" s="11" t="s">
        <v>1496</v>
      </c>
      <c r="B1181" s="12" t="s">
        <v>286</v>
      </c>
      <c r="C1181" s="13" t="s">
        <v>404</v>
      </c>
      <c r="D1181" s="13">
        <v>57</v>
      </c>
      <c r="E1181" s="14">
        <v>156</v>
      </c>
      <c r="F1181" s="15">
        <v>0</v>
      </c>
      <c r="G1181" s="15">
        <v>0</v>
      </c>
      <c r="H1181" s="15">
        <v>0</v>
      </c>
      <c r="I1181" s="15">
        <v>0</v>
      </c>
      <c r="J1181" s="15">
        <v>0</v>
      </c>
      <c r="K1181" s="15">
        <v>0</v>
      </c>
      <c r="L1181" s="15">
        <v>0</v>
      </c>
      <c r="M1181" s="15">
        <v>0</v>
      </c>
      <c r="N1181" s="15">
        <v>0</v>
      </c>
      <c r="O1181" s="15">
        <v>0</v>
      </c>
    </row>
    <row r="1182" spans="1:15">
      <c r="A1182" s="11" t="s">
        <v>1497</v>
      </c>
      <c r="B1182" s="12" t="s">
        <v>286</v>
      </c>
      <c r="C1182" s="13" t="s">
        <v>404</v>
      </c>
      <c r="D1182" s="13">
        <v>58</v>
      </c>
      <c r="E1182" s="14">
        <v>156</v>
      </c>
      <c r="F1182" s="15">
        <v>0</v>
      </c>
      <c r="G1182" s="15">
        <v>0</v>
      </c>
      <c r="H1182" s="15">
        <v>0</v>
      </c>
      <c r="I1182" s="15">
        <v>0</v>
      </c>
      <c r="J1182" s="15">
        <v>0</v>
      </c>
      <c r="K1182" s="15">
        <v>0</v>
      </c>
      <c r="L1182" s="15">
        <v>0</v>
      </c>
      <c r="M1182" s="15">
        <v>0</v>
      </c>
      <c r="N1182" s="15">
        <v>0</v>
      </c>
      <c r="O1182" s="15">
        <v>0</v>
      </c>
    </row>
    <row r="1183" spans="1:15">
      <c r="A1183" s="11" t="s">
        <v>1498</v>
      </c>
      <c r="B1183" s="12" t="s">
        <v>286</v>
      </c>
      <c r="C1183" s="13" t="s">
        <v>404</v>
      </c>
      <c r="D1183" s="13">
        <v>59</v>
      </c>
      <c r="E1183" s="14">
        <v>156</v>
      </c>
      <c r="F1183" s="15">
        <v>0</v>
      </c>
      <c r="G1183" s="15">
        <v>0</v>
      </c>
      <c r="H1183" s="15">
        <v>0</v>
      </c>
      <c r="I1183" s="15">
        <v>0</v>
      </c>
      <c r="J1183" s="15">
        <v>0</v>
      </c>
      <c r="K1183" s="15">
        <v>0</v>
      </c>
      <c r="L1183" s="15">
        <v>0</v>
      </c>
      <c r="M1183" s="15">
        <v>0</v>
      </c>
      <c r="N1183" s="15">
        <v>0</v>
      </c>
      <c r="O1183" s="15">
        <v>0</v>
      </c>
    </row>
    <row r="1184" spans="1:15">
      <c r="A1184" s="11" t="s">
        <v>1499</v>
      </c>
      <c r="B1184" s="12" t="s">
        <v>286</v>
      </c>
      <c r="C1184" s="13" t="s">
        <v>404</v>
      </c>
      <c r="D1184" s="13">
        <v>60</v>
      </c>
      <c r="E1184" s="14">
        <v>156</v>
      </c>
      <c r="F1184" s="15">
        <v>0</v>
      </c>
      <c r="G1184" s="15">
        <v>0</v>
      </c>
      <c r="H1184" s="15">
        <v>0</v>
      </c>
      <c r="I1184" s="15">
        <v>0</v>
      </c>
      <c r="J1184" s="15">
        <v>0</v>
      </c>
      <c r="K1184" s="15">
        <v>0</v>
      </c>
      <c r="L1184" s="15">
        <v>0</v>
      </c>
      <c r="M1184" s="15">
        <v>0</v>
      </c>
      <c r="N1184" s="15">
        <v>0</v>
      </c>
      <c r="O1184" s="15">
        <v>0</v>
      </c>
    </row>
    <row r="1185" spans="1:15">
      <c r="A1185" s="11" t="s">
        <v>1500</v>
      </c>
      <c r="B1185" s="12" t="s">
        <v>286</v>
      </c>
      <c r="C1185" s="13" t="s">
        <v>404</v>
      </c>
      <c r="D1185" s="13">
        <v>61</v>
      </c>
      <c r="E1185" s="14">
        <v>156</v>
      </c>
      <c r="F1185" s="15">
        <v>0</v>
      </c>
      <c r="G1185" s="15">
        <v>0</v>
      </c>
      <c r="H1185" s="15">
        <v>0</v>
      </c>
      <c r="I1185" s="15">
        <v>0</v>
      </c>
      <c r="J1185" s="15">
        <v>0</v>
      </c>
      <c r="K1185" s="15">
        <v>0</v>
      </c>
      <c r="L1185" s="15">
        <v>0</v>
      </c>
      <c r="M1185" s="15">
        <v>0</v>
      </c>
      <c r="N1185" s="15">
        <v>0</v>
      </c>
      <c r="O1185" s="15">
        <v>0</v>
      </c>
    </row>
    <row r="1186" spans="1:15">
      <c r="A1186" s="11" t="s">
        <v>1501</v>
      </c>
      <c r="B1186" s="12" t="s">
        <v>286</v>
      </c>
      <c r="C1186" s="13" t="s">
        <v>404</v>
      </c>
      <c r="D1186" s="13">
        <v>62</v>
      </c>
      <c r="E1186" s="14">
        <v>156</v>
      </c>
      <c r="F1186" s="15">
        <v>0</v>
      </c>
      <c r="G1186" s="15">
        <v>0</v>
      </c>
      <c r="H1186" s="15">
        <v>0</v>
      </c>
      <c r="I1186" s="15">
        <v>0</v>
      </c>
      <c r="J1186" s="15">
        <v>0</v>
      </c>
      <c r="K1186" s="15">
        <v>0</v>
      </c>
      <c r="L1186" s="15">
        <v>0</v>
      </c>
      <c r="M1186" s="15">
        <v>0</v>
      </c>
      <c r="N1186" s="15">
        <v>0</v>
      </c>
      <c r="O1186" s="15">
        <v>0</v>
      </c>
    </row>
    <row r="1187" spans="1:15">
      <c r="A1187" s="11" t="s">
        <v>1502</v>
      </c>
      <c r="B1187" s="12" t="s">
        <v>286</v>
      </c>
      <c r="C1187" s="13" t="s">
        <v>404</v>
      </c>
      <c r="D1187" s="13">
        <v>63</v>
      </c>
      <c r="E1187" s="14">
        <v>156</v>
      </c>
      <c r="F1187" s="15">
        <v>0</v>
      </c>
      <c r="G1187" s="15">
        <v>0</v>
      </c>
      <c r="H1187" s="15">
        <v>0</v>
      </c>
      <c r="I1187" s="15">
        <v>0</v>
      </c>
      <c r="J1187" s="15">
        <v>0</v>
      </c>
      <c r="K1187" s="15">
        <v>0</v>
      </c>
      <c r="L1187" s="15">
        <v>0</v>
      </c>
      <c r="M1187" s="15">
        <v>0</v>
      </c>
      <c r="N1187" s="15">
        <v>0</v>
      </c>
      <c r="O1187" s="15">
        <v>0</v>
      </c>
    </row>
    <row r="1188" spans="1:15">
      <c r="A1188" s="11" t="s">
        <v>1503</v>
      </c>
      <c r="B1188" s="12" t="s">
        <v>286</v>
      </c>
      <c r="C1188" s="13" t="s">
        <v>404</v>
      </c>
      <c r="D1188" s="13">
        <v>64</v>
      </c>
      <c r="E1188" s="14">
        <v>156</v>
      </c>
      <c r="F1188" s="15">
        <v>0</v>
      </c>
      <c r="G1188" s="15">
        <v>0</v>
      </c>
      <c r="H1188" s="15">
        <v>0</v>
      </c>
      <c r="I1188" s="15">
        <v>0</v>
      </c>
      <c r="J1188" s="15">
        <v>0</v>
      </c>
      <c r="K1188" s="15">
        <v>0</v>
      </c>
      <c r="L1188" s="15">
        <v>0</v>
      </c>
      <c r="M1188" s="15">
        <v>0</v>
      </c>
      <c r="N1188" s="15">
        <v>0</v>
      </c>
      <c r="O1188" s="15">
        <v>0</v>
      </c>
    </row>
    <row r="1189" spans="1:15">
      <c r="A1189" s="11" t="s">
        <v>1504</v>
      </c>
      <c r="B1189" s="12" t="s">
        <v>286</v>
      </c>
      <c r="C1189" s="13" t="s">
        <v>404</v>
      </c>
      <c r="D1189" s="13">
        <v>65</v>
      </c>
      <c r="E1189" s="14">
        <v>156</v>
      </c>
      <c r="F1189" s="15">
        <v>0</v>
      </c>
      <c r="G1189" s="15">
        <v>0</v>
      </c>
      <c r="H1189" s="15">
        <v>0</v>
      </c>
      <c r="I1189" s="15">
        <v>0</v>
      </c>
      <c r="J1189" s="15">
        <v>0</v>
      </c>
      <c r="K1189" s="15">
        <v>0</v>
      </c>
      <c r="L1189" s="15">
        <v>0</v>
      </c>
      <c r="M1189" s="15">
        <v>0</v>
      </c>
      <c r="N1189" s="15">
        <v>0</v>
      </c>
      <c r="O1189" s="15">
        <v>0</v>
      </c>
    </row>
    <row r="1190" spans="1:15">
      <c r="A1190" s="11" t="s">
        <v>1505</v>
      </c>
      <c r="B1190" s="12" t="s">
        <v>286</v>
      </c>
      <c r="C1190" s="13" t="s">
        <v>404</v>
      </c>
      <c r="D1190" s="13">
        <v>66</v>
      </c>
      <c r="E1190" s="14">
        <v>156</v>
      </c>
      <c r="F1190" s="15">
        <v>0</v>
      </c>
      <c r="G1190" s="15">
        <v>0</v>
      </c>
      <c r="H1190" s="15">
        <v>0</v>
      </c>
      <c r="I1190" s="15">
        <v>0</v>
      </c>
      <c r="J1190" s="15">
        <v>0</v>
      </c>
      <c r="K1190" s="15">
        <v>0</v>
      </c>
      <c r="L1190" s="15">
        <v>0</v>
      </c>
      <c r="M1190" s="15">
        <v>0</v>
      </c>
      <c r="N1190" s="15">
        <v>0</v>
      </c>
      <c r="O1190" s="15">
        <v>0</v>
      </c>
    </row>
    <row r="1191" spans="1:15">
      <c r="A1191" s="11" t="s">
        <v>1506</v>
      </c>
      <c r="B1191" s="12" t="s">
        <v>286</v>
      </c>
      <c r="C1191" s="13" t="s">
        <v>404</v>
      </c>
      <c r="D1191" s="13">
        <v>67</v>
      </c>
      <c r="E1191" s="14">
        <v>156</v>
      </c>
      <c r="F1191" s="15">
        <v>0</v>
      </c>
      <c r="G1191" s="15">
        <v>0</v>
      </c>
      <c r="H1191" s="15">
        <v>0</v>
      </c>
      <c r="I1191" s="15">
        <v>0</v>
      </c>
      <c r="J1191" s="15">
        <v>0</v>
      </c>
      <c r="K1191" s="15">
        <v>0</v>
      </c>
      <c r="L1191" s="15">
        <v>0</v>
      </c>
      <c r="M1191" s="15">
        <v>0</v>
      </c>
      <c r="N1191" s="15">
        <v>0</v>
      </c>
      <c r="O1191" s="15">
        <v>0</v>
      </c>
    </row>
    <row r="1192" spans="1:15">
      <c r="A1192" s="11" t="s">
        <v>1507</v>
      </c>
      <c r="B1192" s="12" t="s">
        <v>286</v>
      </c>
      <c r="C1192" s="13" t="s">
        <v>404</v>
      </c>
      <c r="D1192" s="13">
        <v>68</v>
      </c>
      <c r="E1192" s="14">
        <v>156</v>
      </c>
      <c r="F1192" s="15">
        <v>0</v>
      </c>
      <c r="G1192" s="15">
        <v>0</v>
      </c>
      <c r="H1192" s="15">
        <v>0</v>
      </c>
      <c r="I1192" s="15">
        <v>0</v>
      </c>
      <c r="J1192" s="15">
        <v>0</v>
      </c>
      <c r="K1192" s="15">
        <v>0</v>
      </c>
      <c r="L1192" s="15">
        <v>0</v>
      </c>
      <c r="M1192" s="15">
        <v>0</v>
      </c>
      <c r="N1192" s="15">
        <v>0</v>
      </c>
      <c r="O1192" s="15">
        <v>0</v>
      </c>
    </row>
    <row r="1193" spans="1:15">
      <c r="A1193" s="11" t="s">
        <v>1508</v>
      </c>
      <c r="B1193" s="12" t="s">
        <v>286</v>
      </c>
      <c r="C1193" s="13" t="s">
        <v>404</v>
      </c>
      <c r="D1193" s="13">
        <v>69</v>
      </c>
      <c r="E1193" s="14">
        <v>156</v>
      </c>
      <c r="F1193" s="15">
        <v>0</v>
      </c>
      <c r="G1193" s="15">
        <v>0</v>
      </c>
      <c r="H1193" s="15">
        <v>0</v>
      </c>
      <c r="I1193" s="15">
        <v>0</v>
      </c>
      <c r="J1193" s="15">
        <v>0</v>
      </c>
      <c r="K1193" s="15">
        <v>0</v>
      </c>
      <c r="L1193" s="15">
        <v>0</v>
      </c>
      <c r="M1193" s="15">
        <v>0</v>
      </c>
      <c r="N1193" s="15">
        <v>0</v>
      </c>
      <c r="O1193" s="15">
        <v>0</v>
      </c>
    </row>
    <row r="1194" spans="1:15">
      <c r="A1194" s="11" t="s">
        <v>1509</v>
      </c>
      <c r="B1194" s="12" t="s">
        <v>286</v>
      </c>
      <c r="C1194" s="13" t="s">
        <v>404</v>
      </c>
      <c r="D1194" s="13">
        <v>70</v>
      </c>
      <c r="E1194" s="14">
        <v>156</v>
      </c>
      <c r="F1194" s="15">
        <v>0</v>
      </c>
      <c r="G1194" s="15">
        <v>0</v>
      </c>
      <c r="H1194" s="15">
        <v>0</v>
      </c>
      <c r="I1194" s="15">
        <v>0</v>
      </c>
      <c r="J1194" s="15">
        <v>0</v>
      </c>
      <c r="K1194" s="15">
        <v>0</v>
      </c>
      <c r="L1194" s="15">
        <v>0</v>
      </c>
      <c r="M1194" s="15">
        <v>0</v>
      </c>
      <c r="N1194" s="15">
        <v>0</v>
      </c>
      <c r="O1194" s="15">
        <v>0</v>
      </c>
    </row>
    <row r="1195" spans="1:15">
      <c r="A1195" s="11" t="s">
        <v>1510</v>
      </c>
      <c r="B1195" s="12" t="s">
        <v>286</v>
      </c>
      <c r="C1195" s="13" t="s">
        <v>404</v>
      </c>
      <c r="D1195" s="13">
        <v>71</v>
      </c>
      <c r="E1195" s="14">
        <v>156</v>
      </c>
      <c r="F1195" s="15">
        <v>0</v>
      </c>
      <c r="G1195" s="15">
        <v>0</v>
      </c>
      <c r="H1195" s="15">
        <v>0</v>
      </c>
      <c r="I1195" s="15">
        <v>0</v>
      </c>
      <c r="J1195" s="15">
        <v>0</v>
      </c>
      <c r="K1195" s="15">
        <v>0</v>
      </c>
      <c r="L1195" s="15">
        <v>0</v>
      </c>
      <c r="M1195" s="15">
        <v>0</v>
      </c>
      <c r="N1195" s="15">
        <v>0</v>
      </c>
      <c r="O1195" s="15">
        <v>0</v>
      </c>
    </row>
    <row r="1196" spans="1:15">
      <c r="A1196" s="11" t="s">
        <v>1511</v>
      </c>
      <c r="B1196" s="12" t="s">
        <v>286</v>
      </c>
      <c r="C1196" s="13" t="s">
        <v>404</v>
      </c>
      <c r="D1196" s="13">
        <v>72</v>
      </c>
      <c r="E1196" s="14">
        <v>156</v>
      </c>
      <c r="F1196" s="15">
        <v>0</v>
      </c>
      <c r="G1196" s="15">
        <v>0</v>
      </c>
      <c r="H1196" s="15">
        <v>0</v>
      </c>
      <c r="I1196" s="15">
        <v>0</v>
      </c>
      <c r="J1196" s="15">
        <v>0</v>
      </c>
      <c r="K1196" s="15">
        <v>0</v>
      </c>
      <c r="L1196" s="15">
        <v>0</v>
      </c>
      <c r="M1196" s="15">
        <v>0</v>
      </c>
      <c r="N1196" s="15">
        <v>0</v>
      </c>
      <c r="O1196" s="15">
        <v>0</v>
      </c>
    </row>
    <row r="1197" spans="1:15">
      <c r="A1197" s="11" t="s">
        <v>1512</v>
      </c>
      <c r="B1197" s="12" t="s">
        <v>286</v>
      </c>
      <c r="C1197" s="13" t="s">
        <v>404</v>
      </c>
      <c r="D1197" s="13">
        <v>73</v>
      </c>
      <c r="E1197" s="14">
        <v>156</v>
      </c>
      <c r="F1197" s="15">
        <v>0</v>
      </c>
      <c r="G1197" s="15">
        <v>0</v>
      </c>
      <c r="H1197" s="15">
        <v>0</v>
      </c>
      <c r="I1197" s="15">
        <v>0</v>
      </c>
      <c r="J1197" s="15">
        <v>0</v>
      </c>
      <c r="K1197" s="15">
        <v>0</v>
      </c>
      <c r="L1197" s="15">
        <v>0</v>
      </c>
      <c r="M1197" s="15">
        <v>0</v>
      </c>
      <c r="N1197" s="15">
        <v>0</v>
      </c>
      <c r="O1197" s="15">
        <v>0</v>
      </c>
    </row>
    <row r="1198" spans="1:15">
      <c r="A1198" s="11" t="s">
        <v>1513</v>
      </c>
      <c r="B1198" s="12" t="s">
        <v>286</v>
      </c>
      <c r="C1198" s="13" t="s">
        <v>404</v>
      </c>
      <c r="D1198" s="13">
        <v>74</v>
      </c>
      <c r="E1198" s="14">
        <v>156</v>
      </c>
      <c r="F1198" s="15">
        <v>0</v>
      </c>
      <c r="G1198" s="15">
        <v>0</v>
      </c>
      <c r="H1198" s="15">
        <v>0</v>
      </c>
      <c r="I1198" s="15">
        <v>0</v>
      </c>
      <c r="J1198" s="15">
        <v>0</v>
      </c>
      <c r="K1198" s="15">
        <v>0</v>
      </c>
      <c r="L1198" s="15">
        <v>0</v>
      </c>
      <c r="M1198" s="15">
        <v>0</v>
      </c>
      <c r="N1198" s="15">
        <v>0</v>
      </c>
      <c r="O1198" s="15">
        <v>0</v>
      </c>
    </row>
    <row r="1199" spans="1:15">
      <c r="A1199" s="11" t="s">
        <v>1514</v>
      </c>
      <c r="B1199" s="12" t="s">
        <v>286</v>
      </c>
      <c r="C1199" s="13" t="s">
        <v>404</v>
      </c>
      <c r="D1199" s="13">
        <v>75</v>
      </c>
      <c r="E1199" s="14">
        <v>156</v>
      </c>
      <c r="F1199" s="15">
        <v>0</v>
      </c>
      <c r="G1199" s="15">
        <v>0</v>
      </c>
      <c r="H1199" s="15">
        <v>0</v>
      </c>
      <c r="I1199" s="15">
        <v>0</v>
      </c>
      <c r="J1199" s="15">
        <v>0</v>
      </c>
      <c r="K1199" s="15">
        <v>0</v>
      </c>
      <c r="L1199" s="15">
        <v>0</v>
      </c>
      <c r="M1199" s="15">
        <v>0</v>
      </c>
      <c r="N1199" s="15">
        <v>0</v>
      </c>
      <c r="O1199" s="15">
        <v>0</v>
      </c>
    </row>
    <row r="1200" spans="1:15">
      <c r="A1200" s="11" t="s">
        <v>1515</v>
      </c>
      <c r="B1200" s="12" t="s">
        <v>286</v>
      </c>
      <c r="C1200" s="13" t="s">
        <v>404</v>
      </c>
      <c r="D1200" s="13">
        <v>76</v>
      </c>
      <c r="E1200" s="14">
        <v>156</v>
      </c>
      <c r="F1200" s="15">
        <v>0</v>
      </c>
      <c r="G1200" s="15">
        <v>0</v>
      </c>
      <c r="H1200" s="15">
        <v>0</v>
      </c>
      <c r="I1200" s="15">
        <v>0</v>
      </c>
      <c r="J1200" s="15">
        <v>0</v>
      </c>
      <c r="K1200" s="15">
        <v>0</v>
      </c>
      <c r="L1200" s="15">
        <v>0</v>
      </c>
      <c r="M1200" s="15">
        <v>0</v>
      </c>
      <c r="N1200" s="15">
        <v>0</v>
      </c>
      <c r="O1200" s="15">
        <v>0</v>
      </c>
    </row>
    <row r="1201" spans="1:15">
      <c r="A1201" s="11" t="s">
        <v>1516</v>
      </c>
      <c r="B1201" s="12" t="s">
        <v>286</v>
      </c>
      <c r="C1201" s="13" t="s">
        <v>404</v>
      </c>
      <c r="D1201" s="13">
        <v>77</v>
      </c>
      <c r="E1201" s="14">
        <v>156</v>
      </c>
      <c r="F1201" s="15">
        <v>0</v>
      </c>
      <c r="G1201" s="15">
        <v>0</v>
      </c>
      <c r="H1201" s="15">
        <v>0</v>
      </c>
      <c r="I1201" s="15">
        <v>0</v>
      </c>
      <c r="J1201" s="15">
        <v>0</v>
      </c>
      <c r="K1201" s="15">
        <v>0</v>
      </c>
      <c r="L1201" s="15">
        <v>0</v>
      </c>
      <c r="M1201" s="15">
        <v>0</v>
      </c>
      <c r="N1201" s="15">
        <v>0</v>
      </c>
      <c r="O1201" s="15">
        <v>0</v>
      </c>
    </row>
    <row r="1202" spans="1:15">
      <c r="A1202" s="11" t="s">
        <v>1517</v>
      </c>
      <c r="B1202" s="12" t="s">
        <v>286</v>
      </c>
      <c r="C1202" s="13" t="s">
        <v>404</v>
      </c>
      <c r="D1202" s="13">
        <v>78</v>
      </c>
      <c r="E1202" s="14">
        <v>156</v>
      </c>
      <c r="F1202" s="15">
        <v>0</v>
      </c>
      <c r="G1202" s="15">
        <v>0</v>
      </c>
      <c r="H1202" s="15">
        <v>0</v>
      </c>
      <c r="I1202" s="15">
        <v>0</v>
      </c>
      <c r="J1202" s="15">
        <v>0</v>
      </c>
      <c r="K1202" s="15">
        <v>0</v>
      </c>
      <c r="L1202" s="15">
        <v>0</v>
      </c>
      <c r="M1202" s="15">
        <v>0</v>
      </c>
      <c r="N1202" s="15">
        <v>0</v>
      </c>
      <c r="O1202" s="15">
        <v>0</v>
      </c>
    </row>
    <row r="1203" spans="1:15">
      <c r="A1203" s="11" t="s">
        <v>1518</v>
      </c>
      <c r="B1203" s="12" t="s">
        <v>286</v>
      </c>
      <c r="C1203" s="13" t="s">
        <v>404</v>
      </c>
      <c r="D1203" s="13">
        <v>79</v>
      </c>
      <c r="E1203" s="14">
        <v>156</v>
      </c>
      <c r="F1203" s="15">
        <v>0</v>
      </c>
      <c r="G1203" s="15">
        <v>0</v>
      </c>
      <c r="H1203" s="15">
        <v>0</v>
      </c>
      <c r="I1203" s="15">
        <v>0</v>
      </c>
      <c r="J1203" s="15">
        <v>0</v>
      </c>
      <c r="K1203" s="15">
        <v>0</v>
      </c>
      <c r="L1203" s="15">
        <v>0</v>
      </c>
      <c r="M1203" s="15">
        <v>0</v>
      </c>
      <c r="N1203" s="15">
        <v>0</v>
      </c>
      <c r="O1203" s="15">
        <v>0</v>
      </c>
    </row>
    <row r="1204" spans="1:15">
      <c r="A1204" s="11" t="s">
        <v>1519</v>
      </c>
      <c r="B1204" s="12" t="s">
        <v>286</v>
      </c>
      <c r="C1204" s="13" t="s">
        <v>404</v>
      </c>
      <c r="D1204" s="13">
        <v>80</v>
      </c>
      <c r="E1204" s="14">
        <v>156</v>
      </c>
      <c r="F1204" s="15">
        <v>0</v>
      </c>
      <c r="G1204" s="15">
        <v>0</v>
      </c>
      <c r="H1204" s="15">
        <v>0</v>
      </c>
      <c r="I1204" s="15">
        <v>0</v>
      </c>
      <c r="J1204" s="15">
        <v>0</v>
      </c>
      <c r="K1204" s="15">
        <v>0</v>
      </c>
      <c r="L1204" s="15">
        <v>0</v>
      </c>
      <c r="M1204" s="15">
        <v>0</v>
      </c>
      <c r="N1204" s="15">
        <v>0</v>
      </c>
      <c r="O1204" s="15">
        <v>0</v>
      </c>
    </row>
    <row r="1205" spans="1:15">
      <c r="A1205" s="11" t="s">
        <v>1520</v>
      </c>
      <c r="B1205" s="12" t="s">
        <v>286</v>
      </c>
      <c r="C1205" s="13" t="s">
        <v>404</v>
      </c>
      <c r="D1205" s="13">
        <v>81</v>
      </c>
      <c r="E1205" s="14">
        <v>156</v>
      </c>
      <c r="F1205" s="15">
        <v>0</v>
      </c>
      <c r="G1205" s="15">
        <v>0</v>
      </c>
      <c r="H1205" s="15">
        <v>0</v>
      </c>
      <c r="I1205" s="15">
        <v>0</v>
      </c>
      <c r="J1205" s="15">
        <v>0</v>
      </c>
      <c r="K1205" s="15">
        <v>0</v>
      </c>
      <c r="L1205" s="15">
        <v>0</v>
      </c>
      <c r="M1205" s="15">
        <v>0</v>
      </c>
      <c r="N1205" s="15">
        <v>0</v>
      </c>
      <c r="O1205" s="15">
        <v>0</v>
      </c>
    </row>
    <row r="1206" spans="1:15">
      <c r="A1206" s="11" t="s">
        <v>1521</v>
      </c>
      <c r="B1206" s="12" t="s">
        <v>286</v>
      </c>
      <c r="C1206" s="13" t="s">
        <v>404</v>
      </c>
      <c r="D1206" s="13">
        <v>82</v>
      </c>
      <c r="E1206" s="14">
        <v>156</v>
      </c>
      <c r="F1206" s="15">
        <v>0</v>
      </c>
      <c r="G1206" s="15">
        <v>0</v>
      </c>
      <c r="H1206" s="15">
        <v>0</v>
      </c>
      <c r="I1206" s="15">
        <v>0</v>
      </c>
      <c r="J1206" s="15">
        <v>0</v>
      </c>
      <c r="K1206" s="15">
        <v>0</v>
      </c>
      <c r="L1206" s="15">
        <v>0</v>
      </c>
      <c r="M1206" s="15">
        <v>0</v>
      </c>
      <c r="N1206" s="15">
        <v>0</v>
      </c>
      <c r="O1206" s="15">
        <v>0</v>
      </c>
    </row>
    <row r="1207" spans="1:15">
      <c r="A1207" s="11" t="s">
        <v>1522</v>
      </c>
      <c r="B1207" s="12" t="s">
        <v>286</v>
      </c>
      <c r="C1207" s="13" t="s">
        <v>404</v>
      </c>
      <c r="D1207" s="13">
        <v>83</v>
      </c>
      <c r="E1207" s="14">
        <v>156</v>
      </c>
      <c r="F1207" s="15">
        <v>0</v>
      </c>
      <c r="G1207" s="15">
        <v>0</v>
      </c>
      <c r="H1207" s="15">
        <v>0</v>
      </c>
      <c r="I1207" s="15">
        <v>0</v>
      </c>
      <c r="J1207" s="15">
        <v>0</v>
      </c>
      <c r="K1207" s="15">
        <v>0</v>
      </c>
      <c r="L1207" s="15">
        <v>0</v>
      </c>
      <c r="M1207" s="15">
        <v>0</v>
      </c>
      <c r="N1207" s="15">
        <v>0</v>
      </c>
      <c r="O1207" s="15">
        <v>0</v>
      </c>
    </row>
    <row r="1208" spans="1:15">
      <c r="A1208" s="11" t="s">
        <v>1523</v>
      </c>
      <c r="B1208" s="12" t="s">
        <v>286</v>
      </c>
      <c r="C1208" s="13" t="s">
        <v>404</v>
      </c>
      <c r="D1208" s="13">
        <v>84</v>
      </c>
      <c r="E1208" s="14">
        <v>156</v>
      </c>
      <c r="F1208" s="15">
        <v>0</v>
      </c>
      <c r="G1208" s="15">
        <v>0</v>
      </c>
      <c r="H1208" s="15">
        <v>0</v>
      </c>
      <c r="I1208" s="15">
        <v>0</v>
      </c>
      <c r="J1208" s="15">
        <v>0</v>
      </c>
      <c r="K1208" s="15">
        <v>0</v>
      </c>
      <c r="L1208" s="15">
        <v>0</v>
      </c>
      <c r="M1208" s="15">
        <v>0</v>
      </c>
      <c r="N1208" s="15">
        <v>0</v>
      </c>
      <c r="O1208" s="15">
        <v>0</v>
      </c>
    </row>
    <row r="1209" spans="1:15">
      <c r="A1209" s="11" t="s">
        <v>1524</v>
      </c>
      <c r="B1209" s="12" t="s">
        <v>286</v>
      </c>
      <c r="C1209" s="13" t="s">
        <v>404</v>
      </c>
      <c r="D1209" s="13">
        <v>85</v>
      </c>
      <c r="E1209" s="14">
        <v>156</v>
      </c>
      <c r="F1209" s="15">
        <v>0</v>
      </c>
      <c r="G1209" s="15">
        <v>0</v>
      </c>
      <c r="H1209" s="15">
        <v>0</v>
      </c>
      <c r="I1209" s="15">
        <v>0</v>
      </c>
      <c r="J1209" s="15">
        <v>0</v>
      </c>
      <c r="K1209" s="15">
        <v>0</v>
      </c>
      <c r="L1209" s="15">
        <v>0</v>
      </c>
      <c r="M1209" s="15">
        <v>0</v>
      </c>
      <c r="N1209" s="15">
        <v>0</v>
      </c>
      <c r="O1209" s="15">
        <v>0</v>
      </c>
    </row>
    <row r="1210" spans="1:15">
      <c r="A1210" s="11" t="s">
        <v>1525</v>
      </c>
      <c r="B1210" s="12" t="s">
        <v>1526</v>
      </c>
      <c r="C1210" s="13" t="s">
        <v>317</v>
      </c>
      <c r="D1210" s="13">
        <v>0</v>
      </c>
      <c r="E1210" s="14">
        <v>156</v>
      </c>
      <c r="F1210" s="15">
        <v>0</v>
      </c>
      <c r="G1210" s="15">
        <v>0</v>
      </c>
      <c r="H1210" s="15">
        <v>0</v>
      </c>
      <c r="I1210" s="15">
        <v>0</v>
      </c>
      <c r="J1210" s="15">
        <v>0</v>
      </c>
      <c r="K1210" s="15">
        <v>0</v>
      </c>
      <c r="L1210" s="15">
        <v>0</v>
      </c>
      <c r="M1210" s="15">
        <v>0</v>
      </c>
      <c r="N1210" s="15">
        <v>0</v>
      </c>
      <c r="O1210" s="15">
        <v>0</v>
      </c>
    </row>
    <row r="1211" spans="1:15">
      <c r="A1211" s="11" t="s">
        <v>1527</v>
      </c>
      <c r="B1211" s="12" t="s">
        <v>1526</v>
      </c>
      <c r="C1211" s="13" t="s">
        <v>317</v>
      </c>
      <c r="D1211" s="13">
        <v>1</v>
      </c>
      <c r="E1211" s="14">
        <v>156</v>
      </c>
      <c r="F1211" s="15">
        <v>0</v>
      </c>
      <c r="G1211" s="15">
        <v>0</v>
      </c>
      <c r="H1211" s="15">
        <v>0</v>
      </c>
      <c r="I1211" s="15">
        <v>0</v>
      </c>
      <c r="J1211" s="15">
        <v>0</v>
      </c>
      <c r="K1211" s="15">
        <v>0</v>
      </c>
      <c r="L1211" s="15">
        <v>0</v>
      </c>
      <c r="M1211" s="15">
        <v>0</v>
      </c>
      <c r="N1211" s="15">
        <v>0</v>
      </c>
      <c r="O1211" s="15">
        <v>0</v>
      </c>
    </row>
    <row r="1212" spans="1:15">
      <c r="A1212" s="11" t="s">
        <v>1528</v>
      </c>
      <c r="B1212" s="12" t="s">
        <v>1526</v>
      </c>
      <c r="C1212" s="13" t="s">
        <v>317</v>
      </c>
      <c r="D1212" s="13">
        <v>2</v>
      </c>
      <c r="E1212" s="14">
        <v>156</v>
      </c>
      <c r="F1212" s="15">
        <v>0</v>
      </c>
      <c r="G1212" s="15">
        <v>0</v>
      </c>
      <c r="H1212" s="15">
        <v>0</v>
      </c>
      <c r="I1212" s="15">
        <v>0</v>
      </c>
      <c r="J1212" s="15">
        <v>0</v>
      </c>
      <c r="K1212" s="15">
        <v>0</v>
      </c>
      <c r="L1212" s="15">
        <v>0</v>
      </c>
      <c r="M1212" s="15">
        <v>0</v>
      </c>
      <c r="N1212" s="15">
        <v>0</v>
      </c>
      <c r="O1212" s="15">
        <v>0</v>
      </c>
    </row>
    <row r="1213" spans="1:15">
      <c r="A1213" s="11" t="s">
        <v>1529</v>
      </c>
      <c r="B1213" s="12" t="s">
        <v>1526</v>
      </c>
      <c r="C1213" s="13" t="s">
        <v>317</v>
      </c>
      <c r="D1213" s="13">
        <v>3</v>
      </c>
      <c r="E1213" s="14">
        <v>156</v>
      </c>
      <c r="F1213" s="15">
        <v>0</v>
      </c>
      <c r="G1213" s="15">
        <v>0</v>
      </c>
      <c r="H1213" s="15">
        <v>0</v>
      </c>
      <c r="I1213" s="15">
        <v>0</v>
      </c>
      <c r="J1213" s="15">
        <v>0</v>
      </c>
      <c r="K1213" s="15">
        <v>0</v>
      </c>
      <c r="L1213" s="15">
        <v>0</v>
      </c>
      <c r="M1213" s="15">
        <v>0</v>
      </c>
      <c r="N1213" s="15">
        <v>0</v>
      </c>
      <c r="O1213" s="15">
        <v>0</v>
      </c>
    </row>
    <row r="1214" spans="1:15">
      <c r="A1214" s="11" t="s">
        <v>1530</v>
      </c>
      <c r="B1214" s="12" t="s">
        <v>1526</v>
      </c>
      <c r="C1214" s="13" t="s">
        <v>317</v>
      </c>
      <c r="D1214" s="13">
        <v>4</v>
      </c>
      <c r="E1214" s="14">
        <v>156</v>
      </c>
      <c r="F1214" s="15">
        <v>0</v>
      </c>
      <c r="G1214" s="15">
        <v>0</v>
      </c>
      <c r="H1214" s="15">
        <v>0</v>
      </c>
      <c r="I1214" s="15">
        <v>0</v>
      </c>
      <c r="J1214" s="15">
        <v>0</v>
      </c>
      <c r="K1214" s="15">
        <v>0</v>
      </c>
      <c r="L1214" s="15">
        <v>0</v>
      </c>
      <c r="M1214" s="15">
        <v>0</v>
      </c>
      <c r="N1214" s="15">
        <v>0</v>
      </c>
      <c r="O1214" s="15">
        <v>0</v>
      </c>
    </row>
    <row r="1215" spans="1:15">
      <c r="A1215" s="11" t="s">
        <v>1531</v>
      </c>
      <c r="B1215" s="12" t="s">
        <v>1526</v>
      </c>
      <c r="C1215" s="13" t="s">
        <v>317</v>
      </c>
      <c r="D1215" s="13">
        <v>5</v>
      </c>
      <c r="E1215" s="14">
        <v>156</v>
      </c>
      <c r="F1215" s="15">
        <v>0</v>
      </c>
      <c r="G1215" s="15">
        <v>0</v>
      </c>
      <c r="H1215" s="15">
        <v>0</v>
      </c>
      <c r="I1215" s="15">
        <v>0</v>
      </c>
      <c r="J1215" s="15">
        <v>0</v>
      </c>
      <c r="K1215" s="15">
        <v>0</v>
      </c>
      <c r="L1215" s="15">
        <v>0</v>
      </c>
      <c r="M1215" s="15">
        <v>0</v>
      </c>
      <c r="N1215" s="15">
        <v>0</v>
      </c>
      <c r="O1215" s="15">
        <v>0</v>
      </c>
    </row>
    <row r="1216" spans="1:15">
      <c r="A1216" s="11" t="s">
        <v>1532</v>
      </c>
      <c r="B1216" s="12" t="s">
        <v>1526</v>
      </c>
      <c r="C1216" s="13" t="s">
        <v>317</v>
      </c>
      <c r="D1216" s="13">
        <v>6</v>
      </c>
      <c r="E1216" s="14">
        <v>156</v>
      </c>
      <c r="F1216" s="15">
        <v>0</v>
      </c>
      <c r="G1216" s="15">
        <v>0</v>
      </c>
      <c r="H1216" s="15">
        <v>0</v>
      </c>
      <c r="I1216" s="15">
        <v>0</v>
      </c>
      <c r="J1216" s="15">
        <v>0</v>
      </c>
      <c r="K1216" s="15">
        <v>0</v>
      </c>
      <c r="L1216" s="15">
        <v>0</v>
      </c>
      <c r="M1216" s="15">
        <v>0</v>
      </c>
      <c r="N1216" s="15">
        <v>0</v>
      </c>
      <c r="O1216" s="15">
        <v>0</v>
      </c>
    </row>
    <row r="1217" spans="1:15">
      <c r="A1217" s="11" t="s">
        <v>1533</v>
      </c>
      <c r="B1217" s="12" t="s">
        <v>1526</v>
      </c>
      <c r="C1217" s="13" t="s">
        <v>317</v>
      </c>
      <c r="D1217" s="13">
        <v>7</v>
      </c>
      <c r="E1217" s="14">
        <v>156</v>
      </c>
      <c r="F1217" s="15">
        <v>0</v>
      </c>
      <c r="G1217" s="15">
        <v>0</v>
      </c>
      <c r="H1217" s="15">
        <v>0</v>
      </c>
      <c r="I1217" s="15">
        <v>0</v>
      </c>
      <c r="J1217" s="15">
        <v>0</v>
      </c>
      <c r="K1217" s="15">
        <v>0</v>
      </c>
      <c r="L1217" s="15">
        <v>0</v>
      </c>
      <c r="M1217" s="15">
        <v>0</v>
      </c>
      <c r="N1217" s="15">
        <v>0</v>
      </c>
      <c r="O1217" s="15">
        <v>0</v>
      </c>
    </row>
    <row r="1218" spans="1:15">
      <c r="A1218" s="11" t="s">
        <v>1534</v>
      </c>
      <c r="B1218" s="12" t="s">
        <v>1526</v>
      </c>
      <c r="C1218" s="13" t="s">
        <v>317</v>
      </c>
      <c r="D1218" s="13">
        <v>8</v>
      </c>
      <c r="E1218" s="14">
        <v>156</v>
      </c>
      <c r="F1218" s="15">
        <v>0</v>
      </c>
      <c r="G1218" s="15">
        <v>0</v>
      </c>
      <c r="H1218" s="15">
        <v>0</v>
      </c>
      <c r="I1218" s="15">
        <v>0</v>
      </c>
      <c r="J1218" s="15">
        <v>0</v>
      </c>
      <c r="K1218" s="15">
        <v>0</v>
      </c>
      <c r="L1218" s="15">
        <v>0</v>
      </c>
      <c r="M1218" s="15">
        <v>0</v>
      </c>
      <c r="N1218" s="15">
        <v>0</v>
      </c>
      <c r="O1218" s="15">
        <v>0</v>
      </c>
    </row>
    <row r="1219" spans="1:15">
      <c r="A1219" t="s">
        <v>1535</v>
      </c>
      <c r="B1219" t="s">
        <v>1526</v>
      </c>
      <c r="C1219" t="s">
        <v>317</v>
      </c>
      <c r="D1219">
        <v>9</v>
      </c>
      <c r="E1219">
        <v>156</v>
      </c>
      <c r="F1219">
        <v>0</v>
      </c>
      <c r="G1219">
        <v>0</v>
      </c>
      <c r="H1219">
        <v>0</v>
      </c>
      <c r="I1219">
        <v>0</v>
      </c>
      <c r="J1219">
        <v>0</v>
      </c>
      <c r="K1219">
        <v>0</v>
      </c>
      <c r="L1219">
        <v>0</v>
      </c>
      <c r="M1219">
        <v>0</v>
      </c>
      <c r="N1219">
        <v>0</v>
      </c>
      <c r="O1219">
        <v>0</v>
      </c>
    </row>
    <row r="1220" spans="1:15">
      <c r="A1220" t="s">
        <v>1536</v>
      </c>
      <c r="B1220" t="s">
        <v>1526</v>
      </c>
      <c r="C1220" t="s">
        <v>317</v>
      </c>
      <c r="D1220">
        <v>10</v>
      </c>
      <c r="E1220">
        <v>156</v>
      </c>
      <c r="F1220">
        <v>0</v>
      </c>
      <c r="G1220">
        <v>0</v>
      </c>
      <c r="H1220">
        <v>0</v>
      </c>
      <c r="I1220">
        <v>0</v>
      </c>
      <c r="J1220">
        <v>0</v>
      </c>
      <c r="K1220">
        <v>0</v>
      </c>
      <c r="L1220">
        <v>0</v>
      </c>
      <c r="M1220">
        <v>0</v>
      </c>
      <c r="N1220">
        <v>0</v>
      </c>
      <c r="O1220">
        <v>0</v>
      </c>
    </row>
    <row r="1221" spans="1:15">
      <c r="A1221" t="s">
        <v>1537</v>
      </c>
      <c r="B1221" t="s">
        <v>1526</v>
      </c>
      <c r="C1221" t="s">
        <v>317</v>
      </c>
      <c r="D1221">
        <v>11</v>
      </c>
      <c r="E1221">
        <v>156</v>
      </c>
      <c r="F1221">
        <v>0</v>
      </c>
      <c r="G1221">
        <v>0</v>
      </c>
      <c r="H1221">
        <v>0</v>
      </c>
      <c r="I1221">
        <v>0</v>
      </c>
      <c r="J1221">
        <v>0</v>
      </c>
      <c r="K1221">
        <v>0</v>
      </c>
      <c r="L1221">
        <v>0</v>
      </c>
      <c r="M1221">
        <v>0</v>
      </c>
      <c r="N1221">
        <v>0</v>
      </c>
      <c r="O1221">
        <v>0</v>
      </c>
    </row>
    <row r="1222" spans="1:15">
      <c r="A1222" t="s">
        <v>1538</v>
      </c>
      <c r="B1222" t="s">
        <v>1526</v>
      </c>
      <c r="C1222" t="s">
        <v>317</v>
      </c>
      <c r="D1222">
        <v>12</v>
      </c>
      <c r="E1222">
        <v>156</v>
      </c>
      <c r="F1222">
        <v>0</v>
      </c>
      <c r="G1222">
        <v>0</v>
      </c>
      <c r="H1222">
        <v>0</v>
      </c>
      <c r="I1222">
        <v>0</v>
      </c>
      <c r="J1222">
        <v>0</v>
      </c>
      <c r="K1222">
        <v>0</v>
      </c>
      <c r="L1222">
        <v>0</v>
      </c>
      <c r="M1222">
        <v>0</v>
      </c>
      <c r="N1222">
        <v>0</v>
      </c>
      <c r="O1222">
        <v>0</v>
      </c>
    </row>
    <row r="1223" spans="1:15">
      <c r="A1223" t="s">
        <v>1539</v>
      </c>
      <c r="B1223" t="s">
        <v>1526</v>
      </c>
      <c r="C1223" t="s">
        <v>317</v>
      </c>
      <c r="D1223">
        <v>13</v>
      </c>
      <c r="E1223">
        <v>156</v>
      </c>
      <c r="F1223">
        <v>0</v>
      </c>
      <c r="G1223">
        <v>0</v>
      </c>
      <c r="H1223">
        <v>0</v>
      </c>
      <c r="I1223">
        <v>0</v>
      </c>
      <c r="J1223">
        <v>0</v>
      </c>
      <c r="K1223">
        <v>0</v>
      </c>
      <c r="L1223">
        <v>0</v>
      </c>
      <c r="M1223">
        <v>0</v>
      </c>
      <c r="N1223">
        <v>0</v>
      </c>
      <c r="O1223">
        <v>0</v>
      </c>
    </row>
    <row r="1224" spans="1:15">
      <c r="A1224" t="s">
        <v>1540</v>
      </c>
      <c r="B1224" t="s">
        <v>1526</v>
      </c>
      <c r="C1224" t="s">
        <v>317</v>
      </c>
      <c r="D1224">
        <v>14</v>
      </c>
      <c r="E1224">
        <v>156</v>
      </c>
      <c r="F1224">
        <v>0</v>
      </c>
      <c r="G1224">
        <v>0</v>
      </c>
      <c r="H1224">
        <v>0</v>
      </c>
      <c r="I1224">
        <v>0</v>
      </c>
      <c r="J1224">
        <v>0</v>
      </c>
      <c r="K1224">
        <v>0</v>
      </c>
      <c r="L1224">
        <v>0</v>
      </c>
      <c r="M1224">
        <v>0</v>
      </c>
      <c r="N1224">
        <v>0</v>
      </c>
      <c r="O1224">
        <v>0</v>
      </c>
    </row>
    <row r="1225" spans="1:15">
      <c r="A1225" t="s">
        <v>1541</v>
      </c>
      <c r="B1225" t="s">
        <v>1526</v>
      </c>
      <c r="C1225" t="s">
        <v>317</v>
      </c>
      <c r="D1225">
        <v>15</v>
      </c>
      <c r="E1225">
        <v>156</v>
      </c>
      <c r="F1225">
        <v>0</v>
      </c>
      <c r="G1225">
        <v>0</v>
      </c>
      <c r="H1225">
        <v>0</v>
      </c>
      <c r="I1225">
        <v>0</v>
      </c>
      <c r="J1225">
        <v>0</v>
      </c>
      <c r="K1225">
        <v>0</v>
      </c>
      <c r="L1225">
        <v>0</v>
      </c>
      <c r="M1225">
        <v>0</v>
      </c>
      <c r="N1225">
        <v>0</v>
      </c>
      <c r="O1225">
        <v>0</v>
      </c>
    </row>
    <row r="1226" spans="1:15">
      <c r="A1226" t="s">
        <v>1542</v>
      </c>
      <c r="B1226" t="s">
        <v>1526</v>
      </c>
      <c r="C1226" t="s">
        <v>317</v>
      </c>
      <c r="D1226">
        <v>16</v>
      </c>
      <c r="E1226">
        <v>156</v>
      </c>
      <c r="F1226">
        <v>0</v>
      </c>
      <c r="G1226">
        <v>0</v>
      </c>
      <c r="H1226">
        <v>0</v>
      </c>
      <c r="I1226">
        <v>0</v>
      </c>
      <c r="J1226">
        <v>0</v>
      </c>
      <c r="K1226">
        <v>0</v>
      </c>
      <c r="L1226">
        <v>0</v>
      </c>
      <c r="M1226">
        <v>0</v>
      </c>
      <c r="N1226">
        <v>0</v>
      </c>
      <c r="O1226">
        <v>0</v>
      </c>
    </row>
    <row r="1227" spans="1:15">
      <c r="A1227" t="s">
        <v>1543</v>
      </c>
      <c r="B1227" t="s">
        <v>1526</v>
      </c>
      <c r="C1227" t="s">
        <v>317</v>
      </c>
      <c r="D1227">
        <v>17</v>
      </c>
      <c r="E1227">
        <v>156</v>
      </c>
      <c r="F1227">
        <v>0</v>
      </c>
      <c r="G1227">
        <v>0</v>
      </c>
      <c r="H1227">
        <v>0</v>
      </c>
      <c r="I1227">
        <v>0</v>
      </c>
      <c r="J1227">
        <v>0</v>
      </c>
      <c r="K1227">
        <v>0</v>
      </c>
      <c r="L1227">
        <v>0</v>
      </c>
      <c r="M1227">
        <v>0</v>
      </c>
      <c r="N1227">
        <v>0</v>
      </c>
      <c r="O1227">
        <v>0</v>
      </c>
    </row>
    <row r="1228" spans="1:15">
      <c r="A1228" t="s">
        <v>1544</v>
      </c>
      <c r="B1228" t="s">
        <v>1526</v>
      </c>
      <c r="C1228" t="s">
        <v>317</v>
      </c>
      <c r="D1228">
        <v>18</v>
      </c>
      <c r="E1228">
        <v>156</v>
      </c>
      <c r="F1228">
        <v>0</v>
      </c>
      <c r="G1228">
        <v>0</v>
      </c>
      <c r="H1228">
        <v>0</v>
      </c>
      <c r="I1228">
        <v>0</v>
      </c>
      <c r="J1228">
        <v>0</v>
      </c>
      <c r="K1228">
        <v>0</v>
      </c>
      <c r="L1228">
        <v>0</v>
      </c>
      <c r="M1228">
        <v>0</v>
      </c>
      <c r="N1228">
        <v>0</v>
      </c>
      <c r="O1228">
        <v>0</v>
      </c>
    </row>
    <row r="1229" spans="1:15">
      <c r="A1229" t="s">
        <v>1545</v>
      </c>
      <c r="B1229" t="s">
        <v>1526</v>
      </c>
      <c r="C1229" t="s">
        <v>317</v>
      </c>
      <c r="D1229">
        <v>19</v>
      </c>
      <c r="E1229">
        <v>156</v>
      </c>
      <c r="F1229">
        <v>0</v>
      </c>
      <c r="G1229">
        <v>0</v>
      </c>
      <c r="H1229">
        <v>0</v>
      </c>
      <c r="I1229">
        <v>0</v>
      </c>
      <c r="J1229">
        <v>0</v>
      </c>
      <c r="K1229">
        <v>0</v>
      </c>
      <c r="L1229">
        <v>0</v>
      </c>
      <c r="M1229">
        <v>0</v>
      </c>
      <c r="N1229">
        <v>0</v>
      </c>
      <c r="O1229">
        <v>0</v>
      </c>
    </row>
    <row r="1230" spans="1:15">
      <c r="A1230" t="s">
        <v>1546</v>
      </c>
      <c r="B1230" t="s">
        <v>1526</v>
      </c>
      <c r="C1230" t="s">
        <v>317</v>
      </c>
      <c r="D1230">
        <v>20</v>
      </c>
      <c r="E1230">
        <v>156</v>
      </c>
      <c r="F1230">
        <v>0</v>
      </c>
      <c r="G1230">
        <v>0</v>
      </c>
      <c r="H1230">
        <v>0</v>
      </c>
      <c r="I1230">
        <v>0</v>
      </c>
      <c r="J1230">
        <v>0</v>
      </c>
      <c r="K1230">
        <v>0</v>
      </c>
      <c r="L1230">
        <v>0</v>
      </c>
      <c r="M1230">
        <v>0</v>
      </c>
      <c r="N1230">
        <v>0</v>
      </c>
      <c r="O1230">
        <v>0</v>
      </c>
    </row>
    <row r="1231" spans="1:15">
      <c r="A1231" t="s">
        <v>1547</v>
      </c>
      <c r="B1231" t="s">
        <v>1526</v>
      </c>
      <c r="C1231" t="s">
        <v>317</v>
      </c>
      <c r="D1231">
        <v>21</v>
      </c>
      <c r="E1231">
        <v>156</v>
      </c>
      <c r="F1231">
        <v>0</v>
      </c>
      <c r="G1231">
        <v>0</v>
      </c>
      <c r="H1231">
        <v>0</v>
      </c>
      <c r="I1231">
        <v>0</v>
      </c>
      <c r="J1231">
        <v>0</v>
      </c>
      <c r="K1231">
        <v>0</v>
      </c>
      <c r="L1231">
        <v>0</v>
      </c>
      <c r="M1231">
        <v>0</v>
      </c>
      <c r="N1231">
        <v>0</v>
      </c>
      <c r="O1231">
        <v>0</v>
      </c>
    </row>
    <row r="1232" spans="1:15">
      <c r="A1232" t="s">
        <v>1548</v>
      </c>
      <c r="B1232" t="s">
        <v>1526</v>
      </c>
      <c r="C1232" t="s">
        <v>317</v>
      </c>
      <c r="D1232">
        <v>22</v>
      </c>
      <c r="E1232">
        <v>156</v>
      </c>
      <c r="F1232">
        <v>0</v>
      </c>
      <c r="G1232">
        <v>0</v>
      </c>
      <c r="H1232">
        <v>0</v>
      </c>
      <c r="I1232">
        <v>0</v>
      </c>
      <c r="J1232">
        <v>0</v>
      </c>
      <c r="K1232">
        <v>0</v>
      </c>
      <c r="L1232">
        <v>0</v>
      </c>
      <c r="M1232">
        <v>0</v>
      </c>
      <c r="N1232">
        <v>0</v>
      </c>
      <c r="O1232">
        <v>0</v>
      </c>
    </row>
    <row r="1233" spans="1:15">
      <c r="A1233" t="s">
        <v>1549</v>
      </c>
      <c r="B1233" t="s">
        <v>1526</v>
      </c>
      <c r="C1233" t="s">
        <v>317</v>
      </c>
      <c r="D1233">
        <v>23</v>
      </c>
      <c r="E1233">
        <v>156</v>
      </c>
      <c r="F1233">
        <v>0</v>
      </c>
      <c r="G1233">
        <v>0</v>
      </c>
      <c r="H1233">
        <v>0</v>
      </c>
      <c r="I1233">
        <v>0</v>
      </c>
      <c r="J1233">
        <v>0</v>
      </c>
      <c r="K1233">
        <v>0</v>
      </c>
      <c r="L1233">
        <v>0</v>
      </c>
      <c r="M1233">
        <v>0</v>
      </c>
      <c r="N1233">
        <v>0</v>
      </c>
      <c r="O1233">
        <v>0</v>
      </c>
    </row>
    <row r="1234" spans="1:15">
      <c r="A1234" t="s">
        <v>1550</v>
      </c>
      <c r="B1234" t="s">
        <v>1526</v>
      </c>
      <c r="C1234" t="s">
        <v>317</v>
      </c>
      <c r="D1234">
        <v>24</v>
      </c>
      <c r="E1234">
        <v>156</v>
      </c>
      <c r="F1234">
        <v>0</v>
      </c>
      <c r="G1234">
        <v>0</v>
      </c>
      <c r="H1234">
        <v>0</v>
      </c>
      <c r="I1234">
        <v>0</v>
      </c>
      <c r="J1234">
        <v>0</v>
      </c>
      <c r="K1234">
        <v>0</v>
      </c>
      <c r="L1234">
        <v>0</v>
      </c>
      <c r="M1234">
        <v>0</v>
      </c>
      <c r="N1234">
        <v>0</v>
      </c>
      <c r="O1234">
        <v>0</v>
      </c>
    </row>
    <row r="1235" spans="1:15">
      <c r="A1235" t="s">
        <v>1551</v>
      </c>
      <c r="B1235" t="s">
        <v>1526</v>
      </c>
      <c r="C1235" t="s">
        <v>317</v>
      </c>
      <c r="D1235">
        <v>25</v>
      </c>
      <c r="E1235">
        <v>156</v>
      </c>
      <c r="F1235">
        <v>0</v>
      </c>
      <c r="G1235">
        <v>0</v>
      </c>
      <c r="H1235">
        <v>0</v>
      </c>
      <c r="I1235">
        <v>0</v>
      </c>
      <c r="J1235">
        <v>0</v>
      </c>
      <c r="K1235">
        <v>0</v>
      </c>
      <c r="L1235">
        <v>0</v>
      </c>
      <c r="M1235">
        <v>0</v>
      </c>
      <c r="N1235">
        <v>0</v>
      </c>
      <c r="O1235">
        <v>0</v>
      </c>
    </row>
    <row r="1236" spans="1:15">
      <c r="A1236" t="s">
        <v>1552</v>
      </c>
      <c r="B1236" t="s">
        <v>1526</v>
      </c>
      <c r="C1236" t="s">
        <v>317</v>
      </c>
      <c r="D1236">
        <v>26</v>
      </c>
      <c r="E1236">
        <v>156</v>
      </c>
      <c r="F1236">
        <v>0</v>
      </c>
      <c r="G1236">
        <v>0</v>
      </c>
      <c r="H1236">
        <v>0</v>
      </c>
      <c r="I1236">
        <v>0</v>
      </c>
      <c r="J1236">
        <v>0</v>
      </c>
      <c r="K1236">
        <v>0</v>
      </c>
      <c r="L1236">
        <v>0</v>
      </c>
      <c r="M1236">
        <v>0</v>
      </c>
      <c r="N1236">
        <v>0</v>
      </c>
      <c r="O1236">
        <v>0</v>
      </c>
    </row>
    <row r="1237" spans="1:15">
      <c r="A1237" t="s">
        <v>1553</v>
      </c>
      <c r="B1237" t="s">
        <v>1526</v>
      </c>
      <c r="C1237" t="s">
        <v>317</v>
      </c>
      <c r="D1237">
        <v>27</v>
      </c>
      <c r="E1237">
        <v>156</v>
      </c>
      <c r="F1237">
        <v>0</v>
      </c>
      <c r="G1237">
        <v>0</v>
      </c>
      <c r="H1237">
        <v>0</v>
      </c>
      <c r="I1237">
        <v>0</v>
      </c>
      <c r="J1237">
        <v>0</v>
      </c>
      <c r="K1237">
        <v>0</v>
      </c>
      <c r="L1237">
        <v>0</v>
      </c>
      <c r="M1237">
        <v>0</v>
      </c>
      <c r="N1237">
        <v>0</v>
      </c>
      <c r="O1237">
        <v>0</v>
      </c>
    </row>
    <row r="1238" spans="1:15">
      <c r="A1238" t="s">
        <v>1554</v>
      </c>
      <c r="B1238" t="s">
        <v>1526</v>
      </c>
      <c r="C1238" t="s">
        <v>317</v>
      </c>
      <c r="D1238">
        <v>28</v>
      </c>
      <c r="E1238">
        <v>156</v>
      </c>
      <c r="F1238">
        <v>0</v>
      </c>
      <c r="G1238">
        <v>0</v>
      </c>
      <c r="H1238">
        <v>0</v>
      </c>
      <c r="I1238">
        <v>0</v>
      </c>
      <c r="J1238">
        <v>0</v>
      </c>
      <c r="K1238">
        <v>0</v>
      </c>
      <c r="L1238">
        <v>0</v>
      </c>
      <c r="M1238">
        <v>0</v>
      </c>
      <c r="N1238">
        <v>0</v>
      </c>
      <c r="O1238">
        <v>0</v>
      </c>
    </row>
    <row r="1239" spans="1:15">
      <c r="A1239" t="s">
        <v>1555</v>
      </c>
      <c r="B1239" t="s">
        <v>1526</v>
      </c>
      <c r="C1239" t="s">
        <v>317</v>
      </c>
      <c r="D1239">
        <v>29</v>
      </c>
      <c r="E1239">
        <v>156</v>
      </c>
      <c r="F1239">
        <v>0</v>
      </c>
      <c r="G1239">
        <v>0</v>
      </c>
      <c r="H1239">
        <v>0</v>
      </c>
      <c r="I1239">
        <v>0</v>
      </c>
      <c r="J1239">
        <v>0</v>
      </c>
      <c r="K1239">
        <v>0</v>
      </c>
      <c r="L1239">
        <v>0</v>
      </c>
      <c r="M1239">
        <v>0</v>
      </c>
      <c r="N1239">
        <v>0</v>
      </c>
      <c r="O1239">
        <v>0</v>
      </c>
    </row>
    <row r="1240" spans="1:15">
      <c r="A1240" t="s">
        <v>1556</v>
      </c>
      <c r="B1240" t="s">
        <v>1526</v>
      </c>
      <c r="C1240" t="s">
        <v>317</v>
      </c>
      <c r="D1240">
        <v>30</v>
      </c>
      <c r="E1240">
        <v>156</v>
      </c>
      <c r="F1240">
        <v>0</v>
      </c>
      <c r="G1240">
        <v>0</v>
      </c>
      <c r="H1240">
        <v>0</v>
      </c>
      <c r="I1240">
        <v>0</v>
      </c>
      <c r="J1240">
        <v>0</v>
      </c>
      <c r="K1240">
        <v>0</v>
      </c>
      <c r="L1240">
        <v>0</v>
      </c>
      <c r="M1240">
        <v>0</v>
      </c>
      <c r="N1240">
        <v>0</v>
      </c>
      <c r="O1240">
        <v>0</v>
      </c>
    </row>
    <row r="1241" spans="1:15">
      <c r="A1241" t="s">
        <v>1557</v>
      </c>
      <c r="B1241" t="s">
        <v>1526</v>
      </c>
      <c r="C1241" t="s">
        <v>317</v>
      </c>
      <c r="D1241">
        <v>31</v>
      </c>
      <c r="E1241">
        <v>156</v>
      </c>
      <c r="F1241">
        <v>0</v>
      </c>
      <c r="G1241">
        <v>0</v>
      </c>
      <c r="H1241">
        <v>0</v>
      </c>
      <c r="I1241">
        <v>0</v>
      </c>
      <c r="J1241">
        <v>0</v>
      </c>
      <c r="K1241">
        <v>0</v>
      </c>
      <c r="L1241">
        <v>0</v>
      </c>
      <c r="M1241">
        <v>0</v>
      </c>
      <c r="N1241">
        <v>0</v>
      </c>
      <c r="O1241">
        <v>0</v>
      </c>
    </row>
    <row r="1242" spans="1:15">
      <c r="A1242" t="s">
        <v>1558</v>
      </c>
      <c r="B1242" t="s">
        <v>1526</v>
      </c>
      <c r="C1242" t="s">
        <v>317</v>
      </c>
      <c r="D1242">
        <v>32</v>
      </c>
      <c r="E1242">
        <v>156</v>
      </c>
      <c r="F1242">
        <v>0</v>
      </c>
      <c r="G1242">
        <v>0</v>
      </c>
      <c r="H1242">
        <v>0</v>
      </c>
      <c r="I1242">
        <v>0</v>
      </c>
      <c r="J1242">
        <v>0</v>
      </c>
      <c r="K1242">
        <v>0</v>
      </c>
      <c r="L1242">
        <v>0</v>
      </c>
      <c r="M1242">
        <v>0</v>
      </c>
      <c r="N1242">
        <v>0</v>
      </c>
      <c r="O1242">
        <v>0</v>
      </c>
    </row>
    <row r="1243" spans="1:15">
      <c r="A1243" t="s">
        <v>1559</v>
      </c>
      <c r="B1243" t="s">
        <v>1526</v>
      </c>
      <c r="C1243" t="s">
        <v>317</v>
      </c>
      <c r="D1243">
        <v>33</v>
      </c>
      <c r="E1243">
        <v>156</v>
      </c>
      <c r="F1243">
        <v>0</v>
      </c>
      <c r="G1243">
        <v>0</v>
      </c>
      <c r="H1243">
        <v>0</v>
      </c>
      <c r="I1243">
        <v>0</v>
      </c>
      <c r="J1243">
        <v>0</v>
      </c>
      <c r="K1243">
        <v>0</v>
      </c>
      <c r="L1243">
        <v>0</v>
      </c>
      <c r="M1243">
        <v>0</v>
      </c>
      <c r="N1243">
        <v>0</v>
      </c>
      <c r="O1243">
        <v>0</v>
      </c>
    </row>
    <row r="1244" spans="1:15">
      <c r="A1244" t="s">
        <v>1560</v>
      </c>
      <c r="B1244" t="s">
        <v>1526</v>
      </c>
      <c r="C1244" t="s">
        <v>317</v>
      </c>
      <c r="D1244">
        <v>34</v>
      </c>
      <c r="E1244">
        <v>156</v>
      </c>
      <c r="F1244">
        <v>0</v>
      </c>
      <c r="G1244">
        <v>0</v>
      </c>
      <c r="H1244">
        <v>0</v>
      </c>
      <c r="I1244">
        <v>0</v>
      </c>
      <c r="J1244">
        <v>0</v>
      </c>
      <c r="K1244">
        <v>0</v>
      </c>
      <c r="L1244">
        <v>0</v>
      </c>
      <c r="M1244">
        <v>0</v>
      </c>
      <c r="N1244">
        <v>0</v>
      </c>
      <c r="O1244">
        <v>0</v>
      </c>
    </row>
    <row r="1245" spans="1:15">
      <c r="A1245" t="s">
        <v>1561</v>
      </c>
      <c r="B1245" t="s">
        <v>1526</v>
      </c>
      <c r="C1245" t="s">
        <v>317</v>
      </c>
      <c r="D1245">
        <v>35</v>
      </c>
      <c r="E1245">
        <v>156</v>
      </c>
      <c r="F1245">
        <v>0</v>
      </c>
      <c r="G1245">
        <v>0</v>
      </c>
      <c r="H1245">
        <v>0</v>
      </c>
      <c r="I1245">
        <v>0</v>
      </c>
      <c r="J1245">
        <v>0</v>
      </c>
      <c r="K1245">
        <v>0</v>
      </c>
      <c r="L1245">
        <v>0</v>
      </c>
      <c r="M1245">
        <v>0</v>
      </c>
      <c r="N1245">
        <v>0</v>
      </c>
      <c r="O1245">
        <v>0</v>
      </c>
    </row>
    <row r="1246" spans="1:15">
      <c r="A1246" t="s">
        <v>1562</v>
      </c>
      <c r="B1246" t="s">
        <v>1526</v>
      </c>
      <c r="C1246" t="s">
        <v>317</v>
      </c>
      <c r="D1246">
        <v>36</v>
      </c>
      <c r="E1246">
        <v>156</v>
      </c>
      <c r="F1246">
        <v>0</v>
      </c>
      <c r="G1246">
        <v>0</v>
      </c>
      <c r="H1246">
        <v>0</v>
      </c>
      <c r="I1246">
        <v>0</v>
      </c>
      <c r="J1246">
        <v>0</v>
      </c>
      <c r="K1246">
        <v>0</v>
      </c>
      <c r="L1246">
        <v>0</v>
      </c>
      <c r="M1246">
        <v>0</v>
      </c>
      <c r="N1246">
        <v>0</v>
      </c>
      <c r="O1246">
        <v>0</v>
      </c>
    </row>
    <row r="1247" spans="1:15">
      <c r="A1247" t="s">
        <v>1563</v>
      </c>
      <c r="B1247" t="s">
        <v>1526</v>
      </c>
      <c r="C1247" t="s">
        <v>317</v>
      </c>
      <c r="D1247">
        <v>37</v>
      </c>
      <c r="E1247">
        <v>156</v>
      </c>
      <c r="F1247">
        <v>0</v>
      </c>
      <c r="G1247">
        <v>0</v>
      </c>
      <c r="H1247">
        <v>0</v>
      </c>
      <c r="I1247">
        <v>0</v>
      </c>
      <c r="J1247">
        <v>0</v>
      </c>
      <c r="K1247">
        <v>0</v>
      </c>
      <c r="L1247">
        <v>0</v>
      </c>
      <c r="M1247">
        <v>0</v>
      </c>
      <c r="N1247">
        <v>0</v>
      </c>
      <c r="O1247">
        <v>0</v>
      </c>
    </row>
    <row r="1248" spans="1:15">
      <c r="A1248" t="s">
        <v>1564</v>
      </c>
      <c r="B1248" t="s">
        <v>1526</v>
      </c>
      <c r="C1248" t="s">
        <v>317</v>
      </c>
      <c r="D1248">
        <v>38</v>
      </c>
      <c r="E1248">
        <v>156</v>
      </c>
      <c r="F1248">
        <v>0</v>
      </c>
      <c r="G1248">
        <v>0</v>
      </c>
      <c r="H1248">
        <v>0</v>
      </c>
      <c r="I1248">
        <v>0</v>
      </c>
      <c r="J1248">
        <v>0</v>
      </c>
      <c r="K1248">
        <v>0</v>
      </c>
      <c r="L1248">
        <v>0</v>
      </c>
      <c r="M1248">
        <v>0</v>
      </c>
      <c r="N1248">
        <v>0</v>
      </c>
      <c r="O1248">
        <v>0</v>
      </c>
    </row>
    <row r="1249" spans="1:15">
      <c r="A1249" t="s">
        <v>1565</v>
      </c>
      <c r="B1249" t="s">
        <v>1526</v>
      </c>
      <c r="C1249" t="s">
        <v>317</v>
      </c>
      <c r="D1249">
        <v>39</v>
      </c>
      <c r="E1249">
        <v>156</v>
      </c>
      <c r="F1249">
        <v>0</v>
      </c>
      <c r="G1249">
        <v>0</v>
      </c>
      <c r="H1249">
        <v>0</v>
      </c>
      <c r="I1249">
        <v>0</v>
      </c>
      <c r="J1249">
        <v>0</v>
      </c>
      <c r="K1249">
        <v>0</v>
      </c>
      <c r="L1249">
        <v>0</v>
      </c>
      <c r="M1249">
        <v>0</v>
      </c>
      <c r="N1249">
        <v>0</v>
      </c>
      <c r="O1249">
        <v>0</v>
      </c>
    </row>
    <row r="1250" spans="1:15">
      <c r="A1250" t="s">
        <v>1566</v>
      </c>
      <c r="B1250" t="s">
        <v>1526</v>
      </c>
      <c r="C1250" t="s">
        <v>317</v>
      </c>
      <c r="D1250">
        <v>40</v>
      </c>
      <c r="E1250">
        <v>156</v>
      </c>
      <c r="F1250">
        <v>0</v>
      </c>
      <c r="G1250">
        <v>0</v>
      </c>
      <c r="H1250">
        <v>0</v>
      </c>
      <c r="I1250">
        <v>0</v>
      </c>
      <c r="J1250">
        <v>0</v>
      </c>
      <c r="K1250">
        <v>0</v>
      </c>
      <c r="L1250">
        <v>0</v>
      </c>
      <c r="M1250">
        <v>0</v>
      </c>
      <c r="N1250">
        <v>0</v>
      </c>
      <c r="O1250">
        <v>0</v>
      </c>
    </row>
    <row r="1251" spans="1:15">
      <c r="A1251" t="s">
        <v>1567</v>
      </c>
      <c r="B1251" t="s">
        <v>1526</v>
      </c>
      <c r="C1251" t="s">
        <v>317</v>
      </c>
      <c r="D1251">
        <v>41</v>
      </c>
      <c r="E1251">
        <v>156</v>
      </c>
      <c r="F1251">
        <v>0</v>
      </c>
      <c r="G1251">
        <v>0</v>
      </c>
      <c r="H1251">
        <v>0</v>
      </c>
      <c r="I1251">
        <v>0</v>
      </c>
      <c r="J1251">
        <v>0</v>
      </c>
      <c r="K1251">
        <v>0</v>
      </c>
      <c r="L1251">
        <v>0</v>
      </c>
      <c r="M1251">
        <v>0</v>
      </c>
      <c r="N1251">
        <v>0</v>
      </c>
      <c r="O1251">
        <v>0</v>
      </c>
    </row>
    <row r="1252" spans="1:15">
      <c r="A1252" t="s">
        <v>1568</v>
      </c>
      <c r="B1252" t="s">
        <v>1526</v>
      </c>
      <c r="C1252" t="s">
        <v>317</v>
      </c>
      <c r="D1252">
        <v>42</v>
      </c>
      <c r="E1252">
        <v>156</v>
      </c>
      <c r="F1252">
        <v>0</v>
      </c>
      <c r="G1252">
        <v>0</v>
      </c>
      <c r="H1252">
        <v>0</v>
      </c>
      <c r="I1252">
        <v>0</v>
      </c>
      <c r="J1252">
        <v>0</v>
      </c>
      <c r="K1252">
        <v>0</v>
      </c>
      <c r="L1252">
        <v>0</v>
      </c>
      <c r="M1252">
        <v>0</v>
      </c>
      <c r="N1252">
        <v>0</v>
      </c>
      <c r="O1252">
        <v>0</v>
      </c>
    </row>
    <row r="1253" spans="1:15">
      <c r="A1253" t="s">
        <v>1569</v>
      </c>
      <c r="B1253" t="s">
        <v>1526</v>
      </c>
      <c r="C1253" t="s">
        <v>317</v>
      </c>
      <c r="D1253">
        <v>43</v>
      </c>
      <c r="E1253">
        <v>156</v>
      </c>
      <c r="F1253">
        <v>0</v>
      </c>
      <c r="G1253">
        <v>0</v>
      </c>
      <c r="H1253">
        <v>0</v>
      </c>
      <c r="I1253">
        <v>0</v>
      </c>
      <c r="J1253">
        <v>0</v>
      </c>
      <c r="K1253">
        <v>0</v>
      </c>
      <c r="L1253">
        <v>0</v>
      </c>
      <c r="M1253">
        <v>0</v>
      </c>
      <c r="N1253">
        <v>0</v>
      </c>
      <c r="O1253">
        <v>0</v>
      </c>
    </row>
    <row r="1254" spans="1:15">
      <c r="A1254" t="s">
        <v>1570</v>
      </c>
      <c r="B1254" t="s">
        <v>1526</v>
      </c>
      <c r="C1254" t="s">
        <v>317</v>
      </c>
      <c r="D1254">
        <v>44</v>
      </c>
      <c r="E1254">
        <v>156</v>
      </c>
      <c r="F1254">
        <v>0</v>
      </c>
      <c r="G1254">
        <v>0</v>
      </c>
      <c r="H1254">
        <v>0</v>
      </c>
      <c r="I1254">
        <v>0</v>
      </c>
      <c r="J1254">
        <v>0</v>
      </c>
      <c r="K1254">
        <v>0</v>
      </c>
      <c r="L1254">
        <v>0</v>
      </c>
      <c r="M1254">
        <v>0</v>
      </c>
      <c r="N1254">
        <v>0</v>
      </c>
      <c r="O1254">
        <v>0</v>
      </c>
    </row>
    <row r="1255" spans="1:15">
      <c r="A1255" t="s">
        <v>1571</v>
      </c>
      <c r="B1255" t="s">
        <v>1526</v>
      </c>
      <c r="C1255" t="s">
        <v>317</v>
      </c>
      <c r="D1255">
        <v>45</v>
      </c>
      <c r="E1255">
        <v>156</v>
      </c>
      <c r="F1255">
        <v>0</v>
      </c>
      <c r="G1255">
        <v>0</v>
      </c>
      <c r="H1255">
        <v>0</v>
      </c>
      <c r="I1255">
        <v>0</v>
      </c>
      <c r="J1255">
        <v>0</v>
      </c>
      <c r="K1255">
        <v>0</v>
      </c>
      <c r="L1255">
        <v>0</v>
      </c>
      <c r="M1255">
        <v>0</v>
      </c>
      <c r="N1255">
        <v>0</v>
      </c>
      <c r="O1255">
        <v>0</v>
      </c>
    </row>
    <row r="1256" spans="1:15">
      <c r="A1256" t="s">
        <v>1572</v>
      </c>
      <c r="B1256" t="s">
        <v>1526</v>
      </c>
      <c r="C1256" t="s">
        <v>317</v>
      </c>
      <c r="D1256">
        <v>46</v>
      </c>
      <c r="E1256">
        <v>156</v>
      </c>
      <c r="F1256">
        <v>0</v>
      </c>
      <c r="G1256">
        <v>0</v>
      </c>
      <c r="H1256">
        <v>0</v>
      </c>
      <c r="I1256">
        <v>0</v>
      </c>
      <c r="J1256">
        <v>0</v>
      </c>
      <c r="K1256">
        <v>0</v>
      </c>
      <c r="L1256">
        <v>0</v>
      </c>
      <c r="M1256">
        <v>0</v>
      </c>
      <c r="N1256">
        <v>0</v>
      </c>
      <c r="O1256">
        <v>0</v>
      </c>
    </row>
    <row r="1257" spans="1:15">
      <c r="A1257" t="s">
        <v>1573</v>
      </c>
      <c r="B1257" t="s">
        <v>1526</v>
      </c>
      <c r="C1257" t="s">
        <v>317</v>
      </c>
      <c r="D1257">
        <v>47</v>
      </c>
      <c r="E1257">
        <v>156</v>
      </c>
      <c r="F1257">
        <v>0</v>
      </c>
      <c r="G1257">
        <v>0</v>
      </c>
      <c r="H1257">
        <v>0</v>
      </c>
      <c r="I1257">
        <v>0</v>
      </c>
      <c r="J1257">
        <v>0</v>
      </c>
      <c r="K1257">
        <v>0</v>
      </c>
      <c r="L1257">
        <v>0</v>
      </c>
      <c r="M1257">
        <v>0</v>
      </c>
      <c r="N1257">
        <v>0</v>
      </c>
      <c r="O1257">
        <v>0</v>
      </c>
    </row>
    <row r="1258" spans="1:15">
      <c r="A1258" t="s">
        <v>1574</v>
      </c>
      <c r="B1258" t="s">
        <v>1526</v>
      </c>
      <c r="C1258" t="s">
        <v>317</v>
      </c>
      <c r="D1258">
        <v>48</v>
      </c>
      <c r="E1258">
        <v>156</v>
      </c>
      <c r="F1258">
        <v>0</v>
      </c>
      <c r="G1258">
        <v>0</v>
      </c>
      <c r="H1258">
        <v>0</v>
      </c>
      <c r="I1258">
        <v>0</v>
      </c>
      <c r="J1258">
        <v>0</v>
      </c>
      <c r="K1258">
        <v>0</v>
      </c>
      <c r="L1258">
        <v>0</v>
      </c>
      <c r="M1258">
        <v>0</v>
      </c>
      <c r="N1258">
        <v>0</v>
      </c>
      <c r="O1258">
        <v>0</v>
      </c>
    </row>
    <row r="1259" spans="1:15">
      <c r="A1259" t="s">
        <v>1575</v>
      </c>
      <c r="B1259" t="s">
        <v>1526</v>
      </c>
      <c r="C1259" t="s">
        <v>317</v>
      </c>
      <c r="D1259">
        <v>49</v>
      </c>
      <c r="E1259">
        <v>156</v>
      </c>
      <c r="F1259">
        <v>0</v>
      </c>
      <c r="G1259">
        <v>0</v>
      </c>
      <c r="H1259">
        <v>0</v>
      </c>
      <c r="I1259">
        <v>0</v>
      </c>
      <c r="J1259">
        <v>0</v>
      </c>
      <c r="K1259">
        <v>0</v>
      </c>
      <c r="L1259">
        <v>0</v>
      </c>
      <c r="M1259">
        <v>0</v>
      </c>
      <c r="N1259">
        <v>0</v>
      </c>
      <c r="O1259">
        <v>0</v>
      </c>
    </row>
    <row r="1260" spans="1:15">
      <c r="A1260" t="s">
        <v>1576</v>
      </c>
      <c r="B1260" t="s">
        <v>1526</v>
      </c>
      <c r="C1260" t="s">
        <v>317</v>
      </c>
      <c r="D1260">
        <v>50</v>
      </c>
      <c r="E1260">
        <v>156</v>
      </c>
      <c r="F1260">
        <v>0</v>
      </c>
      <c r="G1260">
        <v>0</v>
      </c>
      <c r="H1260">
        <v>0</v>
      </c>
      <c r="I1260">
        <v>0</v>
      </c>
      <c r="J1260">
        <v>0</v>
      </c>
      <c r="K1260">
        <v>0</v>
      </c>
      <c r="L1260">
        <v>0</v>
      </c>
      <c r="M1260">
        <v>0</v>
      </c>
      <c r="N1260">
        <v>0</v>
      </c>
      <c r="O1260">
        <v>0</v>
      </c>
    </row>
    <row r="1261" spans="1:15">
      <c r="A1261" t="s">
        <v>1577</v>
      </c>
      <c r="B1261" t="s">
        <v>1526</v>
      </c>
      <c r="C1261" t="s">
        <v>317</v>
      </c>
      <c r="D1261">
        <v>51</v>
      </c>
      <c r="E1261">
        <v>156</v>
      </c>
      <c r="F1261">
        <v>0</v>
      </c>
      <c r="G1261">
        <v>0</v>
      </c>
      <c r="H1261">
        <v>0</v>
      </c>
      <c r="I1261">
        <v>0</v>
      </c>
      <c r="J1261">
        <v>0</v>
      </c>
      <c r="K1261">
        <v>0</v>
      </c>
      <c r="L1261">
        <v>0</v>
      </c>
      <c r="M1261">
        <v>0</v>
      </c>
      <c r="N1261">
        <v>0</v>
      </c>
      <c r="O1261">
        <v>0</v>
      </c>
    </row>
    <row r="1262" spans="1:15">
      <c r="A1262" t="s">
        <v>1578</v>
      </c>
      <c r="B1262" t="s">
        <v>1526</v>
      </c>
      <c r="C1262" t="s">
        <v>317</v>
      </c>
      <c r="D1262">
        <v>52</v>
      </c>
      <c r="E1262">
        <v>156</v>
      </c>
      <c r="F1262">
        <v>0</v>
      </c>
      <c r="G1262">
        <v>0</v>
      </c>
      <c r="H1262">
        <v>0</v>
      </c>
      <c r="I1262">
        <v>0</v>
      </c>
      <c r="J1262">
        <v>0</v>
      </c>
      <c r="K1262">
        <v>0</v>
      </c>
      <c r="L1262">
        <v>0</v>
      </c>
      <c r="M1262">
        <v>0</v>
      </c>
      <c r="N1262">
        <v>0</v>
      </c>
      <c r="O1262">
        <v>0</v>
      </c>
    </row>
    <row r="1263" spans="1:15">
      <c r="A1263" t="s">
        <v>1579</v>
      </c>
      <c r="B1263" t="s">
        <v>1526</v>
      </c>
      <c r="C1263" t="s">
        <v>317</v>
      </c>
      <c r="D1263">
        <v>53</v>
      </c>
      <c r="E1263">
        <v>156</v>
      </c>
      <c r="F1263">
        <v>0</v>
      </c>
      <c r="G1263">
        <v>0</v>
      </c>
      <c r="H1263">
        <v>0</v>
      </c>
      <c r="I1263">
        <v>0</v>
      </c>
      <c r="J1263">
        <v>0</v>
      </c>
      <c r="K1263">
        <v>0</v>
      </c>
      <c r="L1263">
        <v>0</v>
      </c>
      <c r="M1263">
        <v>0</v>
      </c>
      <c r="N1263">
        <v>0</v>
      </c>
      <c r="O1263">
        <v>0</v>
      </c>
    </row>
    <row r="1264" spans="1:15">
      <c r="A1264" t="s">
        <v>1580</v>
      </c>
      <c r="B1264" t="s">
        <v>1526</v>
      </c>
      <c r="C1264" t="s">
        <v>317</v>
      </c>
      <c r="D1264">
        <v>54</v>
      </c>
      <c r="E1264">
        <v>156</v>
      </c>
      <c r="F1264">
        <v>0</v>
      </c>
      <c r="G1264">
        <v>0</v>
      </c>
      <c r="H1264">
        <v>0</v>
      </c>
      <c r="I1264">
        <v>0</v>
      </c>
      <c r="J1264">
        <v>0</v>
      </c>
      <c r="K1264">
        <v>0</v>
      </c>
      <c r="L1264">
        <v>0</v>
      </c>
      <c r="M1264">
        <v>0</v>
      </c>
      <c r="N1264">
        <v>0</v>
      </c>
      <c r="O1264">
        <v>0</v>
      </c>
    </row>
    <row r="1265" spans="1:15">
      <c r="A1265" t="s">
        <v>1581</v>
      </c>
      <c r="B1265" t="s">
        <v>1526</v>
      </c>
      <c r="C1265" t="s">
        <v>317</v>
      </c>
      <c r="D1265">
        <v>55</v>
      </c>
      <c r="E1265">
        <v>156</v>
      </c>
      <c r="F1265">
        <v>0</v>
      </c>
      <c r="G1265">
        <v>0</v>
      </c>
      <c r="H1265">
        <v>0</v>
      </c>
      <c r="I1265">
        <v>0</v>
      </c>
      <c r="J1265">
        <v>0</v>
      </c>
      <c r="K1265">
        <v>0</v>
      </c>
      <c r="L1265">
        <v>0</v>
      </c>
      <c r="M1265">
        <v>0</v>
      </c>
      <c r="N1265">
        <v>0</v>
      </c>
      <c r="O1265">
        <v>0</v>
      </c>
    </row>
    <row r="1266" spans="1:15">
      <c r="A1266" t="s">
        <v>1582</v>
      </c>
      <c r="B1266" t="s">
        <v>1526</v>
      </c>
      <c r="C1266" t="s">
        <v>317</v>
      </c>
      <c r="D1266">
        <v>56</v>
      </c>
      <c r="E1266">
        <v>156</v>
      </c>
      <c r="F1266">
        <v>0</v>
      </c>
      <c r="G1266">
        <v>0</v>
      </c>
      <c r="H1266">
        <v>0</v>
      </c>
      <c r="I1266">
        <v>0</v>
      </c>
      <c r="J1266">
        <v>0</v>
      </c>
      <c r="K1266">
        <v>0</v>
      </c>
      <c r="L1266">
        <v>0</v>
      </c>
      <c r="M1266">
        <v>0</v>
      </c>
      <c r="N1266">
        <v>0</v>
      </c>
      <c r="O1266">
        <v>0</v>
      </c>
    </row>
    <row r="1267" spans="1:15">
      <c r="A1267" t="s">
        <v>1583</v>
      </c>
      <c r="B1267" t="s">
        <v>1526</v>
      </c>
      <c r="C1267" t="s">
        <v>317</v>
      </c>
      <c r="D1267">
        <v>57</v>
      </c>
      <c r="E1267">
        <v>156</v>
      </c>
      <c r="F1267">
        <v>0</v>
      </c>
      <c r="G1267">
        <v>0</v>
      </c>
      <c r="H1267">
        <v>0</v>
      </c>
      <c r="I1267">
        <v>0</v>
      </c>
      <c r="J1267">
        <v>0</v>
      </c>
      <c r="K1267">
        <v>0</v>
      </c>
      <c r="L1267">
        <v>0</v>
      </c>
      <c r="M1267">
        <v>0</v>
      </c>
      <c r="N1267">
        <v>0</v>
      </c>
      <c r="O1267">
        <v>0</v>
      </c>
    </row>
    <row r="1268" spans="1:15">
      <c r="A1268" t="s">
        <v>1584</v>
      </c>
      <c r="B1268" t="s">
        <v>1526</v>
      </c>
      <c r="C1268" t="s">
        <v>317</v>
      </c>
      <c r="D1268">
        <v>58</v>
      </c>
      <c r="E1268">
        <v>156</v>
      </c>
      <c r="F1268">
        <v>0</v>
      </c>
      <c r="G1268">
        <v>0</v>
      </c>
      <c r="H1268">
        <v>0</v>
      </c>
      <c r="I1268">
        <v>0</v>
      </c>
      <c r="J1268">
        <v>0</v>
      </c>
      <c r="K1268">
        <v>0</v>
      </c>
      <c r="L1268">
        <v>0</v>
      </c>
      <c r="M1268">
        <v>0</v>
      </c>
      <c r="N1268">
        <v>0</v>
      </c>
      <c r="O1268">
        <v>0</v>
      </c>
    </row>
    <row r="1269" spans="1:15">
      <c r="A1269" t="s">
        <v>1585</v>
      </c>
      <c r="B1269" t="s">
        <v>1526</v>
      </c>
      <c r="C1269" t="s">
        <v>317</v>
      </c>
      <c r="D1269">
        <v>59</v>
      </c>
      <c r="E1269">
        <v>156</v>
      </c>
      <c r="F1269">
        <v>0</v>
      </c>
      <c r="G1269">
        <v>0</v>
      </c>
      <c r="H1269">
        <v>0</v>
      </c>
      <c r="I1269">
        <v>0</v>
      </c>
      <c r="J1269">
        <v>0</v>
      </c>
      <c r="K1269">
        <v>0</v>
      </c>
      <c r="L1269">
        <v>0</v>
      </c>
      <c r="M1269">
        <v>0</v>
      </c>
      <c r="N1269">
        <v>0</v>
      </c>
      <c r="O1269">
        <v>0</v>
      </c>
    </row>
    <row r="1270" spans="1:15">
      <c r="A1270" t="s">
        <v>1586</v>
      </c>
      <c r="B1270" t="s">
        <v>1526</v>
      </c>
      <c r="C1270" t="s">
        <v>317</v>
      </c>
      <c r="D1270">
        <v>60</v>
      </c>
      <c r="E1270">
        <v>156</v>
      </c>
      <c r="F1270">
        <v>0</v>
      </c>
      <c r="G1270">
        <v>0</v>
      </c>
      <c r="H1270">
        <v>0</v>
      </c>
      <c r="I1270">
        <v>0</v>
      </c>
      <c r="J1270">
        <v>0</v>
      </c>
      <c r="K1270">
        <v>0</v>
      </c>
      <c r="L1270">
        <v>0</v>
      </c>
      <c r="M1270">
        <v>0</v>
      </c>
      <c r="N1270">
        <v>0</v>
      </c>
      <c r="O1270">
        <v>0</v>
      </c>
    </row>
    <row r="1271" spans="1:15">
      <c r="A1271" t="s">
        <v>1587</v>
      </c>
      <c r="B1271" t="s">
        <v>1526</v>
      </c>
      <c r="C1271" t="s">
        <v>317</v>
      </c>
      <c r="D1271">
        <v>61</v>
      </c>
      <c r="E1271">
        <v>156</v>
      </c>
      <c r="F1271">
        <v>0</v>
      </c>
      <c r="G1271">
        <v>0</v>
      </c>
      <c r="H1271">
        <v>0</v>
      </c>
      <c r="I1271">
        <v>0</v>
      </c>
      <c r="J1271">
        <v>0</v>
      </c>
      <c r="K1271">
        <v>0</v>
      </c>
      <c r="L1271">
        <v>0</v>
      </c>
      <c r="M1271">
        <v>0</v>
      </c>
      <c r="N1271">
        <v>0</v>
      </c>
      <c r="O1271">
        <v>0</v>
      </c>
    </row>
    <row r="1272" spans="1:15">
      <c r="A1272" t="s">
        <v>1588</v>
      </c>
      <c r="B1272" t="s">
        <v>1526</v>
      </c>
      <c r="C1272" t="s">
        <v>317</v>
      </c>
      <c r="D1272">
        <v>62</v>
      </c>
      <c r="E1272">
        <v>156</v>
      </c>
      <c r="F1272">
        <v>0</v>
      </c>
      <c r="G1272">
        <v>0</v>
      </c>
      <c r="H1272">
        <v>0</v>
      </c>
      <c r="I1272">
        <v>0</v>
      </c>
      <c r="J1272">
        <v>0</v>
      </c>
      <c r="K1272">
        <v>0</v>
      </c>
      <c r="L1272">
        <v>0</v>
      </c>
      <c r="M1272">
        <v>0</v>
      </c>
      <c r="N1272">
        <v>0</v>
      </c>
      <c r="O1272">
        <v>0</v>
      </c>
    </row>
    <row r="1273" spans="1:15">
      <c r="A1273" t="s">
        <v>1589</v>
      </c>
      <c r="B1273" t="s">
        <v>1526</v>
      </c>
      <c r="C1273" t="s">
        <v>317</v>
      </c>
      <c r="D1273">
        <v>63</v>
      </c>
      <c r="E1273">
        <v>156</v>
      </c>
      <c r="F1273">
        <v>0</v>
      </c>
      <c r="G1273">
        <v>0</v>
      </c>
      <c r="H1273">
        <v>0</v>
      </c>
      <c r="I1273">
        <v>0</v>
      </c>
      <c r="J1273">
        <v>0</v>
      </c>
      <c r="K1273">
        <v>0</v>
      </c>
      <c r="L1273">
        <v>0</v>
      </c>
      <c r="M1273">
        <v>0</v>
      </c>
      <c r="N1273">
        <v>0</v>
      </c>
      <c r="O1273">
        <v>0</v>
      </c>
    </row>
    <row r="1274" spans="1:15">
      <c r="A1274" t="s">
        <v>1590</v>
      </c>
      <c r="B1274" t="s">
        <v>1526</v>
      </c>
      <c r="C1274" t="s">
        <v>317</v>
      </c>
      <c r="D1274">
        <v>64</v>
      </c>
      <c r="E1274">
        <v>156</v>
      </c>
      <c r="F1274">
        <v>0</v>
      </c>
      <c r="G1274">
        <v>0</v>
      </c>
      <c r="H1274">
        <v>0</v>
      </c>
      <c r="I1274">
        <v>0</v>
      </c>
      <c r="J1274">
        <v>0</v>
      </c>
      <c r="K1274">
        <v>0</v>
      </c>
      <c r="L1274">
        <v>0</v>
      </c>
      <c r="M1274">
        <v>0</v>
      </c>
      <c r="N1274">
        <v>0</v>
      </c>
      <c r="O1274">
        <v>0</v>
      </c>
    </row>
    <row r="1275" spans="1:15">
      <c r="A1275" t="s">
        <v>1591</v>
      </c>
      <c r="B1275" t="s">
        <v>1526</v>
      </c>
      <c r="C1275" t="s">
        <v>317</v>
      </c>
      <c r="D1275">
        <v>65</v>
      </c>
      <c r="E1275">
        <v>156</v>
      </c>
      <c r="F1275">
        <v>0</v>
      </c>
      <c r="G1275">
        <v>0</v>
      </c>
      <c r="H1275">
        <v>0</v>
      </c>
      <c r="I1275">
        <v>0</v>
      </c>
      <c r="J1275">
        <v>0</v>
      </c>
      <c r="K1275">
        <v>0</v>
      </c>
      <c r="L1275">
        <v>0</v>
      </c>
      <c r="M1275">
        <v>0</v>
      </c>
      <c r="N1275">
        <v>0</v>
      </c>
      <c r="O1275">
        <v>0</v>
      </c>
    </row>
    <row r="1276" spans="1:15">
      <c r="A1276" t="s">
        <v>1592</v>
      </c>
      <c r="B1276" t="s">
        <v>1526</v>
      </c>
      <c r="C1276" t="s">
        <v>317</v>
      </c>
      <c r="D1276">
        <v>66</v>
      </c>
      <c r="E1276">
        <v>156</v>
      </c>
      <c r="F1276">
        <v>0</v>
      </c>
      <c r="G1276">
        <v>0</v>
      </c>
      <c r="H1276">
        <v>0</v>
      </c>
      <c r="I1276">
        <v>0</v>
      </c>
      <c r="J1276">
        <v>0</v>
      </c>
      <c r="K1276">
        <v>0</v>
      </c>
      <c r="L1276">
        <v>0</v>
      </c>
      <c r="M1276">
        <v>0</v>
      </c>
      <c r="N1276">
        <v>0</v>
      </c>
      <c r="O1276">
        <v>0</v>
      </c>
    </row>
    <row r="1277" spans="1:15">
      <c r="A1277" t="s">
        <v>1593</v>
      </c>
      <c r="B1277" t="s">
        <v>1526</v>
      </c>
      <c r="C1277" t="s">
        <v>317</v>
      </c>
      <c r="D1277">
        <v>67</v>
      </c>
      <c r="E1277">
        <v>156</v>
      </c>
      <c r="F1277">
        <v>0</v>
      </c>
      <c r="G1277">
        <v>0</v>
      </c>
      <c r="H1277">
        <v>0</v>
      </c>
      <c r="I1277">
        <v>0</v>
      </c>
      <c r="J1277">
        <v>0</v>
      </c>
      <c r="K1277">
        <v>0</v>
      </c>
      <c r="L1277">
        <v>0</v>
      </c>
      <c r="M1277">
        <v>0</v>
      </c>
      <c r="N1277">
        <v>0</v>
      </c>
      <c r="O1277">
        <v>0</v>
      </c>
    </row>
    <row r="1278" spans="1:15">
      <c r="A1278" t="s">
        <v>1594</v>
      </c>
      <c r="B1278" t="s">
        <v>1526</v>
      </c>
      <c r="C1278" t="s">
        <v>317</v>
      </c>
      <c r="D1278">
        <v>68</v>
      </c>
      <c r="E1278">
        <v>156</v>
      </c>
      <c r="F1278">
        <v>0</v>
      </c>
      <c r="G1278">
        <v>0</v>
      </c>
      <c r="H1278">
        <v>0</v>
      </c>
      <c r="I1278">
        <v>0</v>
      </c>
      <c r="J1278">
        <v>0</v>
      </c>
      <c r="K1278">
        <v>0</v>
      </c>
      <c r="L1278">
        <v>0</v>
      </c>
      <c r="M1278">
        <v>0</v>
      </c>
      <c r="N1278">
        <v>0</v>
      </c>
      <c r="O1278">
        <v>0</v>
      </c>
    </row>
    <row r="1279" spans="1:15">
      <c r="A1279" t="s">
        <v>1595</v>
      </c>
      <c r="B1279" t="s">
        <v>1526</v>
      </c>
      <c r="C1279" t="s">
        <v>317</v>
      </c>
      <c r="D1279">
        <v>69</v>
      </c>
      <c r="E1279">
        <v>156</v>
      </c>
      <c r="F1279">
        <v>0</v>
      </c>
      <c r="G1279">
        <v>0</v>
      </c>
      <c r="H1279">
        <v>0</v>
      </c>
      <c r="I1279">
        <v>0</v>
      </c>
      <c r="J1279">
        <v>0</v>
      </c>
      <c r="K1279">
        <v>0</v>
      </c>
      <c r="L1279">
        <v>0</v>
      </c>
      <c r="M1279">
        <v>0</v>
      </c>
      <c r="N1279">
        <v>0</v>
      </c>
      <c r="O1279">
        <v>0</v>
      </c>
    </row>
    <row r="1280" spans="1:15">
      <c r="A1280" t="s">
        <v>1596</v>
      </c>
      <c r="B1280" t="s">
        <v>1526</v>
      </c>
      <c r="C1280" t="s">
        <v>317</v>
      </c>
      <c r="D1280">
        <v>70</v>
      </c>
      <c r="E1280">
        <v>156</v>
      </c>
      <c r="F1280">
        <v>0</v>
      </c>
      <c r="G1280">
        <v>0</v>
      </c>
      <c r="H1280">
        <v>0</v>
      </c>
      <c r="I1280">
        <v>0</v>
      </c>
      <c r="J1280">
        <v>0</v>
      </c>
      <c r="K1280">
        <v>0</v>
      </c>
      <c r="L1280">
        <v>0</v>
      </c>
      <c r="M1280">
        <v>0</v>
      </c>
      <c r="N1280">
        <v>0</v>
      </c>
      <c r="O1280">
        <v>0</v>
      </c>
    </row>
    <row r="1281" spans="1:15">
      <c r="A1281" t="s">
        <v>1597</v>
      </c>
      <c r="B1281" t="s">
        <v>1526</v>
      </c>
      <c r="C1281" t="s">
        <v>317</v>
      </c>
      <c r="D1281">
        <v>71</v>
      </c>
      <c r="E1281">
        <v>156</v>
      </c>
      <c r="F1281">
        <v>0</v>
      </c>
      <c r="G1281">
        <v>0</v>
      </c>
      <c r="H1281">
        <v>0</v>
      </c>
      <c r="I1281">
        <v>0</v>
      </c>
      <c r="J1281">
        <v>0</v>
      </c>
      <c r="K1281">
        <v>0</v>
      </c>
      <c r="L1281">
        <v>0</v>
      </c>
      <c r="M1281">
        <v>0</v>
      </c>
      <c r="N1281">
        <v>0</v>
      </c>
      <c r="O1281">
        <v>0</v>
      </c>
    </row>
    <row r="1282" spans="1:15">
      <c r="A1282" t="s">
        <v>1598</v>
      </c>
      <c r="B1282" t="s">
        <v>1526</v>
      </c>
      <c r="C1282" t="s">
        <v>317</v>
      </c>
      <c r="D1282">
        <v>72</v>
      </c>
      <c r="E1282">
        <v>156</v>
      </c>
      <c r="F1282">
        <v>0</v>
      </c>
      <c r="G1282">
        <v>0</v>
      </c>
      <c r="H1282">
        <v>0</v>
      </c>
      <c r="I1282">
        <v>0</v>
      </c>
      <c r="J1282">
        <v>0</v>
      </c>
      <c r="K1282">
        <v>0</v>
      </c>
      <c r="L1282">
        <v>0</v>
      </c>
      <c r="M1282">
        <v>0</v>
      </c>
      <c r="N1282">
        <v>0</v>
      </c>
      <c r="O1282">
        <v>0</v>
      </c>
    </row>
    <row r="1283" spans="1:15">
      <c r="A1283" t="s">
        <v>1599</v>
      </c>
      <c r="B1283" t="s">
        <v>1526</v>
      </c>
      <c r="C1283" t="s">
        <v>317</v>
      </c>
      <c r="D1283">
        <v>73</v>
      </c>
      <c r="E1283">
        <v>156</v>
      </c>
      <c r="F1283">
        <v>0</v>
      </c>
      <c r="G1283">
        <v>0</v>
      </c>
      <c r="H1283">
        <v>0</v>
      </c>
      <c r="I1283">
        <v>0</v>
      </c>
      <c r="J1283">
        <v>0</v>
      </c>
      <c r="K1283">
        <v>0</v>
      </c>
      <c r="L1283">
        <v>0</v>
      </c>
      <c r="M1283">
        <v>0</v>
      </c>
      <c r="N1283">
        <v>0</v>
      </c>
      <c r="O1283">
        <v>0</v>
      </c>
    </row>
    <row r="1284" spans="1:15">
      <c r="A1284" t="s">
        <v>1600</v>
      </c>
      <c r="B1284" t="s">
        <v>1526</v>
      </c>
      <c r="C1284" t="s">
        <v>317</v>
      </c>
      <c r="D1284">
        <v>74</v>
      </c>
      <c r="E1284">
        <v>156</v>
      </c>
      <c r="F1284">
        <v>0</v>
      </c>
      <c r="G1284">
        <v>0</v>
      </c>
      <c r="H1284">
        <v>0</v>
      </c>
      <c r="I1284">
        <v>0</v>
      </c>
      <c r="J1284">
        <v>0</v>
      </c>
      <c r="K1284">
        <v>0</v>
      </c>
      <c r="L1284">
        <v>0</v>
      </c>
      <c r="M1284">
        <v>0</v>
      </c>
      <c r="N1284">
        <v>0</v>
      </c>
      <c r="O1284">
        <v>0</v>
      </c>
    </row>
    <row r="1285" spans="1:15">
      <c r="A1285" t="s">
        <v>1601</v>
      </c>
      <c r="B1285" t="s">
        <v>1526</v>
      </c>
      <c r="C1285" t="s">
        <v>317</v>
      </c>
      <c r="D1285">
        <v>75</v>
      </c>
      <c r="E1285">
        <v>156</v>
      </c>
      <c r="F1285">
        <v>0</v>
      </c>
      <c r="G1285">
        <v>0</v>
      </c>
      <c r="H1285">
        <v>0</v>
      </c>
      <c r="I1285">
        <v>0</v>
      </c>
      <c r="J1285">
        <v>0</v>
      </c>
      <c r="K1285">
        <v>0</v>
      </c>
      <c r="L1285">
        <v>0</v>
      </c>
      <c r="M1285">
        <v>0</v>
      </c>
      <c r="N1285">
        <v>0</v>
      </c>
      <c r="O1285">
        <v>0</v>
      </c>
    </row>
    <row r="1286" spans="1:15">
      <c r="A1286" t="s">
        <v>1602</v>
      </c>
      <c r="B1286" t="s">
        <v>1526</v>
      </c>
      <c r="C1286" t="s">
        <v>317</v>
      </c>
      <c r="D1286">
        <v>76</v>
      </c>
      <c r="E1286">
        <v>156</v>
      </c>
      <c r="F1286">
        <v>0</v>
      </c>
      <c r="G1286">
        <v>0</v>
      </c>
      <c r="H1286">
        <v>0</v>
      </c>
      <c r="I1286">
        <v>0</v>
      </c>
      <c r="J1286">
        <v>0</v>
      </c>
      <c r="K1286">
        <v>0</v>
      </c>
      <c r="L1286">
        <v>0</v>
      </c>
      <c r="M1286">
        <v>0</v>
      </c>
      <c r="N1286">
        <v>0</v>
      </c>
      <c r="O1286">
        <v>0</v>
      </c>
    </row>
    <row r="1287" spans="1:15">
      <c r="A1287" t="s">
        <v>1603</v>
      </c>
      <c r="B1287" t="s">
        <v>1526</v>
      </c>
      <c r="C1287" t="s">
        <v>317</v>
      </c>
      <c r="D1287">
        <v>77</v>
      </c>
      <c r="E1287">
        <v>156</v>
      </c>
      <c r="F1287">
        <v>0</v>
      </c>
      <c r="G1287">
        <v>0</v>
      </c>
      <c r="H1287">
        <v>0</v>
      </c>
      <c r="I1287">
        <v>0</v>
      </c>
      <c r="J1287">
        <v>0</v>
      </c>
      <c r="K1287">
        <v>0</v>
      </c>
      <c r="L1287">
        <v>0</v>
      </c>
      <c r="M1287">
        <v>0</v>
      </c>
      <c r="N1287">
        <v>0</v>
      </c>
      <c r="O1287">
        <v>0</v>
      </c>
    </row>
    <row r="1288" spans="1:15">
      <c r="A1288" t="s">
        <v>1604</v>
      </c>
      <c r="B1288" t="s">
        <v>1526</v>
      </c>
      <c r="C1288" t="s">
        <v>317</v>
      </c>
      <c r="D1288">
        <v>78</v>
      </c>
      <c r="E1288">
        <v>156</v>
      </c>
      <c r="F1288">
        <v>0</v>
      </c>
      <c r="G1288">
        <v>0</v>
      </c>
      <c r="H1288">
        <v>0</v>
      </c>
      <c r="I1288">
        <v>0</v>
      </c>
      <c r="J1288">
        <v>0</v>
      </c>
      <c r="K1288">
        <v>0</v>
      </c>
      <c r="L1288">
        <v>0</v>
      </c>
      <c r="M1288">
        <v>0</v>
      </c>
      <c r="N1288">
        <v>0</v>
      </c>
      <c r="O1288">
        <v>0</v>
      </c>
    </row>
    <row r="1289" spans="1:15">
      <c r="A1289" t="s">
        <v>1605</v>
      </c>
      <c r="B1289" t="s">
        <v>1526</v>
      </c>
      <c r="C1289" t="s">
        <v>317</v>
      </c>
      <c r="D1289">
        <v>79</v>
      </c>
      <c r="E1289">
        <v>156</v>
      </c>
      <c r="F1289">
        <v>0</v>
      </c>
      <c r="G1289">
        <v>0</v>
      </c>
      <c r="H1289">
        <v>0</v>
      </c>
      <c r="I1289">
        <v>0</v>
      </c>
      <c r="J1289">
        <v>0</v>
      </c>
      <c r="K1289">
        <v>0</v>
      </c>
      <c r="L1289">
        <v>0</v>
      </c>
      <c r="M1289">
        <v>0</v>
      </c>
      <c r="N1289">
        <v>0</v>
      </c>
      <c r="O1289">
        <v>0</v>
      </c>
    </row>
    <row r="1290" spans="1:15">
      <c r="A1290" t="s">
        <v>1606</v>
      </c>
      <c r="B1290" t="s">
        <v>1526</v>
      </c>
      <c r="C1290" t="s">
        <v>317</v>
      </c>
      <c r="D1290">
        <v>80</v>
      </c>
      <c r="E1290">
        <v>156</v>
      </c>
      <c r="F1290">
        <v>0</v>
      </c>
      <c r="G1290">
        <v>0</v>
      </c>
      <c r="H1290">
        <v>0</v>
      </c>
      <c r="I1290">
        <v>0</v>
      </c>
      <c r="J1290">
        <v>0</v>
      </c>
      <c r="K1290">
        <v>0</v>
      </c>
      <c r="L1290">
        <v>0</v>
      </c>
      <c r="M1290">
        <v>0</v>
      </c>
      <c r="N1290">
        <v>0</v>
      </c>
      <c r="O1290">
        <v>0</v>
      </c>
    </row>
    <row r="1291" spans="1:15">
      <c r="A1291" t="s">
        <v>1607</v>
      </c>
      <c r="B1291" t="s">
        <v>1526</v>
      </c>
      <c r="C1291" t="s">
        <v>317</v>
      </c>
      <c r="D1291">
        <v>81</v>
      </c>
      <c r="E1291">
        <v>156</v>
      </c>
      <c r="F1291">
        <v>0</v>
      </c>
      <c r="G1291">
        <v>0</v>
      </c>
      <c r="H1291">
        <v>0</v>
      </c>
      <c r="I1291">
        <v>0</v>
      </c>
      <c r="J1291">
        <v>0</v>
      </c>
      <c r="K1291">
        <v>0</v>
      </c>
      <c r="L1291">
        <v>0</v>
      </c>
      <c r="M1291">
        <v>0</v>
      </c>
      <c r="N1291">
        <v>0</v>
      </c>
      <c r="O1291">
        <v>0</v>
      </c>
    </row>
    <row r="1292" spans="1:15">
      <c r="A1292" t="s">
        <v>1608</v>
      </c>
      <c r="B1292" t="s">
        <v>1526</v>
      </c>
      <c r="C1292" t="s">
        <v>317</v>
      </c>
      <c r="D1292">
        <v>82</v>
      </c>
      <c r="E1292">
        <v>156</v>
      </c>
      <c r="F1292">
        <v>0</v>
      </c>
      <c r="G1292">
        <v>0</v>
      </c>
      <c r="H1292">
        <v>0</v>
      </c>
      <c r="I1292">
        <v>0</v>
      </c>
      <c r="J1292">
        <v>0</v>
      </c>
      <c r="K1292">
        <v>0</v>
      </c>
      <c r="L1292">
        <v>0</v>
      </c>
      <c r="M1292">
        <v>0</v>
      </c>
      <c r="N1292">
        <v>0</v>
      </c>
      <c r="O1292">
        <v>0</v>
      </c>
    </row>
    <row r="1293" spans="1:15">
      <c r="A1293" t="s">
        <v>1609</v>
      </c>
      <c r="B1293" t="s">
        <v>1526</v>
      </c>
      <c r="C1293" t="s">
        <v>317</v>
      </c>
      <c r="D1293">
        <v>83</v>
      </c>
      <c r="E1293">
        <v>156</v>
      </c>
      <c r="F1293">
        <v>0</v>
      </c>
      <c r="G1293">
        <v>0</v>
      </c>
      <c r="H1293">
        <v>0</v>
      </c>
      <c r="I1293">
        <v>0</v>
      </c>
      <c r="J1293">
        <v>0</v>
      </c>
      <c r="K1293">
        <v>0</v>
      </c>
      <c r="L1293">
        <v>0</v>
      </c>
      <c r="M1293">
        <v>0</v>
      </c>
      <c r="N1293">
        <v>0</v>
      </c>
      <c r="O1293">
        <v>0</v>
      </c>
    </row>
    <row r="1294" spans="1:15">
      <c r="A1294" t="s">
        <v>1610</v>
      </c>
      <c r="B1294" t="s">
        <v>1526</v>
      </c>
      <c r="C1294" t="s">
        <v>317</v>
      </c>
      <c r="D1294">
        <v>84</v>
      </c>
      <c r="E1294">
        <v>156</v>
      </c>
      <c r="F1294">
        <v>0</v>
      </c>
      <c r="G1294">
        <v>0</v>
      </c>
      <c r="H1294">
        <v>0</v>
      </c>
      <c r="I1294">
        <v>0</v>
      </c>
      <c r="J1294">
        <v>0</v>
      </c>
      <c r="K1294">
        <v>0</v>
      </c>
      <c r="L1294">
        <v>0</v>
      </c>
      <c r="M1294">
        <v>0</v>
      </c>
      <c r="N1294">
        <v>0</v>
      </c>
      <c r="O1294">
        <v>0</v>
      </c>
    </row>
    <row r="1295" spans="1:15">
      <c r="A1295" t="s">
        <v>1611</v>
      </c>
      <c r="B1295" t="s">
        <v>1526</v>
      </c>
      <c r="C1295" t="s">
        <v>317</v>
      </c>
      <c r="D1295">
        <v>85</v>
      </c>
      <c r="E1295">
        <v>156</v>
      </c>
      <c r="F1295">
        <v>0</v>
      </c>
      <c r="G1295">
        <v>0</v>
      </c>
      <c r="H1295">
        <v>0</v>
      </c>
      <c r="I1295">
        <v>0</v>
      </c>
      <c r="J1295">
        <v>0</v>
      </c>
      <c r="K1295">
        <v>0</v>
      </c>
      <c r="L1295">
        <v>0</v>
      </c>
      <c r="M1295">
        <v>0</v>
      </c>
      <c r="N1295">
        <v>0</v>
      </c>
      <c r="O1295">
        <v>0</v>
      </c>
    </row>
    <row r="1296" spans="1:15">
      <c r="A1296" t="s">
        <v>1612</v>
      </c>
      <c r="B1296" t="s">
        <v>1526</v>
      </c>
      <c r="C1296" t="s">
        <v>404</v>
      </c>
      <c r="D1296">
        <v>0</v>
      </c>
      <c r="E1296">
        <v>156</v>
      </c>
      <c r="F1296">
        <v>0</v>
      </c>
      <c r="G1296">
        <v>0</v>
      </c>
      <c r="H1296">
        <v>0</v>
      </c>
      <c r="I1296">
        <v>0</v>
      </c>
      <c r="J1296">
        <v>0</v>
      </c>
      <c r="K1296">
        <v>0</v>
      </c>
      <c r="L1296">
        <v>0</v>
      </c>
      <c r="M1296">
        <v>0</v>
      </c>
      <c r="N1296">
        <v>0</v>
      </c>
      <c r="O1296">
        <v>0</v>
      </c>
    </row>
    <row r="1297" spans="1:15">
      <c r="A1297" t="s">
        <v>1613</v>
      </c>
      <c r="B1297" t="s">
        <v>1526</v>
      </c>
      <c r="C1297" t="s">
        <v>404</v>
      </c>
      <c r="D1297">
        <v>1</v>
      </c>
      <c r="E1297">
        <v>156</v>
      </c>
      <c r="F1297">
        <v>0</v>
      </c>
      <c r="G1297">
        <v>0</v>
      </c>
      <c r="H1297">
        <v>0</v>
      </c>
      <c r="I1297">
        <v>0</v>
      </c>
      <c r="J1297">
        <v>0</v>
      </c>
      <c r="K1297">
        <v>0</v>
      </c>
      <c r="L1297">
        <v>0</v>
      </c>
      <c r="M1297">
        <v>0</v>
      </c>
      <c r="N1297">
        <v>0</v>
      </c>
      <c r="O1297">
        <v>0</v>
      </c>
    </row>
    <row r="1298" spans="1:15">
      <c r="A1298" t="s">
        <v>1614</v>
      </c>
      <c r="B1298" t="s">
        <v>1526</v>
      </c>
      <c r="C1298" t="s">
        <v>404</v>
      </c>
      <c r="D1298">
        <v>2</v>
      </c>
      <c r="E1298">
        <v>156</v>
      </c>
      <c r="F1298">
        <v>0</v>
      </c>
      <c r="G1298">
        <v>0</v>
      </c>
      <c r="H1298">
        <v>0</v>
      </c>
      <c r="I1298">
        <v>0</v>
      </c>
      <c r="J1298">
        <v>0</v>
      </c>
      <c r="K1298">
        <v>0</v>
      </c>
      <c r="L1298">
        <v>0</v>
      </c>
      <c r="M1298">
        <v>0</v>
      </c>
      <c r="N1298">
        <v>0</v>
      </c>
      <c r="O1298">
        <v>0</v>
      </c>
    </row>
    <row r="1299" spans="1:15">
      <c r="A1299" t="s">
        <v>1615</v>
      </c>
      <c r="B1299" t="s">
        <v>1526</v>
      </c>
      <c r="C1299" t="s">
        <v>404</v>
      </c>
      <c r="D1299">
        <v>3</v>
      </c>
      <c r="E1299">
        <v>156</v>
      </c>
      <c r="F1299">
        <v>0</v>
      </c>
      <c r="G1299">
        <v>0</v>
      </c>
      <c r="H1299">
        <v>0</v>
      </c>
      <c r="I1299">
        <v>0</v>
      </c>
      <c r="J1299">
        <v>0</v>
      </c>
      <c r="K1299">
        <v>0</v>
      </c>
      <c r="L1299">
        <v>0</v>
      </c>
      <c r="M1299">
        <v>0</v>
      </c>
      <c r="N1299">
        <v>0</v>
      </c>
      <c r="O1299">
        <v>0</v>
      </c>
    </row>
    <row r="1300" spans="1:15">
      <c r="A1300" t="s">
        <v>1616</v>
      </c>
      <c r="B1300" t="s">
        <v>1526</v>
      </c>
      <c r="C1300" t="s">
        <v>404</v>
      </c>
      <c r="D1300">
        <v>4</v>
      </c>
      <c r="E1300">
        <v>156</v>
      </c>
      <c r="F1300">
        <v>0</v>
      </c>
      <c r="G1300">
        <v>0</v>
      </c>
      <c r="H1300">
        <v>0</v>
      </c>
      <c r="I1300">
        <v>0</v>
      </c>
      <c r="J1300">
        <v>0</v>
      </c>
      <c r="K1300">
        <v>0</v>
      </c>
      <c r="L1300">
        <v>0</v>
      </c>
      <c r="M1300">
        <v>0</v>
      </c>
      <c r="N1300">
        <v>0</v>
      </c>
      <c r="O1300">
        <v>0</v>
      </c>
    </row>
    <row r="1301" spans="1:15">
      <c r="A1301" t="s">
        <v>1617</v>
      </c>
      <c r="B1301" t="s">
        <v>1526</v>
      </c>
      <c r="C1301" t="s">
        <v>404</v>
      </c>
      <c r="D1301">
        <v>5</v>
      </c>
      <c r="E1301">
        <v>156</v>
      </c>
      <c r="F1301">
        <v>0</v>
      </c>
      <c r="G1301">
        <v>0</v>
      </c>
      <c r="H1301">
        <v>0</v>
      </c>
      <c r="I1301">
        <v>0</v>
      </c>
      <c r="J1301">
        <v>0</v>
      </c>
      <c r="K1301">
        <v>0</v>
      </c>
      <c r="L1301">
        <v>0</v>
      </c>
      <c r="M1301">
        <v>0</v>
      </c>
      <c r="N1301">
        <v>0</v>
      </c>
      <c r="O1301">
        <v>0</v>
      </c>
    </row>
    <row r="1302" spans="1:15">
      <c r="A1302" t="s">
        <v>1618</v>
      </c>
      <c r="B1302" t="s">
        <v>1526</v>
      </c>
      <c r="C1302" t="s">
        <v>404</v>
      </c>
      <c r="D1302">
        <v>6</v>
      </c>
      <c r="E1302">
        <v>156</v>
      </c>
      <c r="F1302">
        <v>0</v>
      </c>
      <c r="G1302">
        <v>0</v>
      </c>
      <c r="H1302">
        <v>0</v>
      </c>
      <c r="I1302">
        <v>0</v>
      </c>
      <c r="J1302">
        <v>0</v>
      </c>
      <c r="K1302">
        <v>0</v>
      </c>
      <c r="L1302">
        <v>0</v>
      </c>
      <c r="M1302">
        <v>0</v>
      </c>
      <c r="N1302">
        <v>0</v>
      </c>
      <c r="O1302">
        <v>0</v>
      </c>
    </row>
    <row r="1303" spans="1:15">
      <c r="A1303" t="s">
        <v>1619</v>
      </c>
      <c r="B1303" t="s">
        <v>1526</v>
      </c>
      <c r="C1303" t="s">
        <v>404</v>
      </c>
      <c r="D1303">
        <v>7</v>
      </c>
      <c r="E1303">
        <v>156</v>
      </c>
      <c r="F1303">
        <v>0</v>
      </c>
      <c r="G1303">
        <v>0</v>
      </c>
      <c r="H1303">
        <v>0</v>
      </c>
      <c r="I1303">
        <v>0</v>
      </c>
      <c r="J1303">
        <v>0</v>
      </c>
      <c r="K1303">
        <v>0</v>
      </c>
      <c r="L1303">
        <v>0</v>
      </c>
      <c r="M1303">
        <v>0</v>
      </c>
      <c r="N1303">
        <v>0</v>
      </c>
      <c r="O1303">
        <v>0</v>
      </c>
    </row>
    <row r="1304" spans="1:15">
      <c r="A1304" t="s">
        <v>1620</v>
      </c>
      <c r="B1304" t="s">
        <v>1526</v>
      </c>
      <c r="C1304" t="s">
        <v>404</v>
      </c>
      <c r="D1304">
        <v>8</v>
      </c>
      <c r="E1304">
        <v>156</v>
      </c>
      <c r="F1304">
        <v>0</v>
      </c>
      <c r="G1304">
        <v>0</v>
      </c>
      <c r="H1304">
        <v>0</v>
      </c>
      <c r="I1304">
        <v>0</v>
      </c>
      <c r="J1304">
        <v>0</v>
      </c>
      <c r="K1304">
        <v>0</v>
      </c>
      <c r="L1304">
        <v>0</v>
      </c>
      <c r="M1304">
        <v>0</v>
      </c>
      <c r="N1304">
        <v>0</v>
      </c>
      <c r="O1304">
        <v>0</v>
      </c>
    </row>
    <row r="1305" spans="1:15">
      <c r="A1305" t="s">
        <v>1621</v>
      </c>
      <c r="B1305" t="s">
        <v>1526</v>
      </c>
      <c r="C1305" t="s">
        <v>404</v>
      </c>
      <c r="D1305">
        <v>9</v>
      </c>
      <c r="E1305">
        <v>156</v>
      </c>
      <c r="F1305">
        <v>0</v>
      </c>
      <c r="G1305">
        <v>0</v>
      </c>
      <c r="H1305">
        <v>0</v>
      </c>
      <c r="I1305">
        <v>0</v>
      </c>
      <c r="J1305">
        <v>0</v>
      </c>
      <c r="K1305">
        <v>0</v>
      </c>
      <c r="L1305">
        <v>0</v>
      </c>
      <c r="M1305">
        <v>0</v>
      </c>
      <c r="N1305">
        <v>0</v>
      </c>
      <c r="O1305">
        <v>0</v>
      </c>
    </row>
    <row r="1306" spans="1:15">
      <c r="A1306" t="s">
        <v>1622</v>
      </c>
      <c r="B1306" t="s">
        <v>1526</v>
      </c>
      <c r="C1306" t="s">
        <v>404</v>
      </c>
      <c r="D1306">
        <v>10</v>
      </c>
      <c r="E1306">
        <v>156</v>
      </c>
      <c r="F1306">
        <v>0</v>
      </c>
      <c r="G1306">
        <v>0</v>
      </c>
      <c r="H1306">
        <v>0</v>
      </c>
      <c r="I1306">
        <v>0</v>
      </c>
      <c r="J1306">
        <v>0</v>
      </c>
      <c r="K1306">
        <v>0</v>
      </c>
      <c r="L1306">
        <v>0</v>
      </c>
      <c r="M1306">
        <v>0</v>
      </c>
      <c r="N1306">
        <v>0</v>
      </c>
      <c r="O1306">
        <v>0</v>
      </c>
    </row>
    <row r="1307" spans="1:15">
      <c r="A1307" t="s">
        <v>1623</v>
      </c>
      <c r="B1307" t="s">
        <v>1526</v>
      </c>
      <c r="C1307" t="s">
        <v>404</v>
      </c>
      <c r="D1307">
        <v>11</v>
      </c>
      <c r="E1307">
        <v>156</v>
      </c>
      <c r="F1307">
        <v>0</v>
      </c>
      <c r="G1307">
        <v>0</v>
      </c>
      <c r="H1307">
        <v>0</v>
      </c>
      <c r="I1307">
        <v>0</v>
      </c>
      <c r="J1307">
        <v>0</v>
      </c>
      <c r="K1307">
        <v>0</v>
      </c>
      <c r="L1307">
        <v>0</v>
      </c>
      <c r="M1307">
        <v>0</v>
      </c>
      <c r="N1307">
        <v>0</v>
      </c>
      <c r="O1307">
        <v>0</v>
      </c>
    </row>
    <row r="1308" spans="1:15">
      <c r="A1308" t="s">
        <v>1624</v>
      </c>
      <c r="B1308" t="s">
        <v>1526</v>
      </c>
      <c r="C1308" t="s">
        <v>404</v>
      </c>
      <c r="D1308">
        <v>12</v>
      </c>
      <c r="E1308">
        <v>156</v>
      </c>
      <c r="F1308">
        <v>0</v>
      </c>
      <c r="G1308">
        <v>0</v>
      </c>
      <c r="H1308">
        <v>0</v>
      </c>
      <c r="I1308">
        <v>0</v>
      </c>
      <c r="J1308">
        <v>0</v>
      </c>
      <c r="K1308">
        <v>0</v>
      </c>
      <c r="L1308">
        <v>0</v>
      </c>
      <c r="M1308">
        <v>0</v>
      </c>
      <c r="N1308">
        <v>0</v>
      </c>
      <c r="O1308">
        <v>0</v>
      </c>
    </row>
    <row r="1309" spans="1:15">
      <c r="A1309" t="s">
        <v>1625</v>
      </c>
      <c r="B1309" t="s">
        <v>1526</v>
      </c>
      <c r="C1309" t="s">
        <v>404</v>
      </c>
      <c r="D1309">
        <v>13</v>
      </c>
      <c r="E1309">
        <v>156</v>
      </c>
      <c r="F1309">
        <v>0</v>
      </c>
      <c r="G1309">
        <v>0</v>
      </c>
      <c r="H1309">
        <v>0</v>
      </c>
      <c r="I1309">
        <v>0</v>
      </c>
      <c r="J1309">
        <v>0</v>
      </c>
      <c r="K1309">
        <v>0</v>
      </c>
      <c r="L1309">
        <v>0</v>
      </c>
      <c r="M1309">
        <v>0</v>
      </c>
      <c r="N1309">
        <v>0</v>
      </c>
      <c r="O1309">
        <v>0</v>
      </c>
    </row>
    <row r="1310" spans="1:15">
      <c r="A1310" t="s">
        <v>1626</v>
      </c>
      <c r="B1310" t="s">
        <v>1526</v>
      </c>
      <c r="C1310" t="s">
        <v>404</v>
      </c>
      <c r="D1310">
        <v>14</v>
      </c>
      <c r="E1310">
        <v>156</v>
      </c>
      <c r="F1310">
        <v>0</v>
      </c>
      <c r="G1310">
        <v>0</v>
      </c>
      <c r="H1310">
        <v>0</v>
      </c>
      <c r="I1310">
        <v>0</v>
      </c>
      <c r="J1310">
        <v>0</v>
      </c>
      <c r="K1310">
        <v>0</v>
      </c>
      <c r="L1310">
        <v>0</v>
      </c>
      <c r="M1310">
        <v>0</v>
      </c>
      <c r="N1310">
        <v>0</v>
      </c>
      <c r="O1310">
        <v>0</v>
      </c>
    </row>
    <row r="1311" spans="1:15">
      <c r="A1311" t="s">
        <v>1627</v>
      </c>
      <c r="B1311" t="s">
        <v>1526</v>
      </c>
      <c r="C1311" t="s">
        <v>404</v>
      </c>
      <c r="D1311">
        <v>15</v>
      </c>
      <c r="E1311">
        <v>156</v>
      </c>
      <c r="F1311">
        <v>0</v>
      </c>
      <c r="G1311">
        <v>0</v>
      </c>
      <c r="H1311">
        <v>0</v>
      </c>
      <c r="I1311">
        <v>0</v>
      </c>
      <c r="J1311">
        <v>0</v>
      </c>
      <c r="K1311">
        <v>0</v>
      </c>
      <c r="L1311">
        <v>0</v>
      </c>
      <c r="M1311">
        <v>0</v>
      </c>
      <c r="N1311">
        <v>0</v>
      </c>
      <c r="O1311">
        <v>0</v>
      </c>
    </row>
    <row r="1312" spans="1:15">
      <c r="A1312" t="s">
        <v>1628</v>
      </c>
      <c r="B1312" t="s">
        <v>1526</v>
      </c>
      <c r="C1312" t="s">
        <v>404</v>
      </c>
      <c r="D1312">
        <v>16</v>
      </c>
      <c r="E1312">
        <v>156</v>
      </c>
      <c r="F1312">
        <v>0</v>
      </c>
      <c r="G1312">
        <v>0</v>
      </c>
      <c r="H1312">
        <v>0</v>
      </c>
      <c r="I1312">
        <v>0</v>
      </c>
      <c r="J1312">
        <v>0</v>
      </c>
      <c r="K1312">
        <v>0</v>
      </c>
      <c r="L1312">
        <v>0</v>
      </c>
      <c r="M1312">
        <v>0</v>
      </c>
      <c r="N1312">
        <v>0</v>
      </c>
      <c r="O1312">
        <v>0</v>
      </c>
    </row>
    <row r="1313" spans="1:15">
      <c r="A1313" t="s">
        <v>1629</v>
      </c>
      <c r="B1313" t="s">
        <v>1526</v>
      </c>
      <c r="C1313" t="s">
        <v>404</v>
      </c>
      <c r="D1313">
        <v>17</v>
      </c>
      <c r="E1313">
        <v>156</v>
      </c>
      <c r="F1313">
        <v>0</v>
      </c>
      <c r="G1313">
        <v>0</v>
      </c>
      <c r="H1313">
        <v>0</v>
      </c>
      <c r="I1313">
        <v>0</v>
      </c>
      <c r="J1313">
        <v>0</v>
      </c>
      <c r="K1313">
        <v>0</v>
      </c>
      <c r="L1313">
        <v>0</v>
      </c>
      <c r="M1313">
        <v>0</v>
      </c>
      <c r="N1313">
        <v>0</v>
      </c>
      <c r="O1313">
        <v>0</v>
      </c>
    </row>
    <row r="1314" spans="1:15">
      <c r="A1314" t="s">
        <v>1630</v>
      </c>
      <c r="B1314" t="s">
        <v>1526</v>
      </c>
      <c r="C1314" t="s">
        <v>404</v>
      </c>
      <c r="D1314">
        <v>18</v>
      </c>
      <c r="E1314">
        <v>156</v>
      </c>
      <c r="F1314">
        <v>0</v>
      </c>
      <c r="G1314">
        <v>0</v>
      </c>
      <c r="H1314">
        <v>0</v>
      </c>
      <c r="I1314">
        <v>0</v>
      </c>
      <c r="J1314">
        <v>0</v>
      </c>
      <c r="K1314">
        <v>0</v>
      </c>
      <c r="L1314">
        <v>0</v>
      </c>
      <c r="M1314">
        <v>0</v>
      </c>
      <c r="N1314">
        <v>0</v>
      </c>
      <c r="O1314">
        <v>0</v>
      </c>
    </row>
    <row r="1315" spans="1:15">
      <c r="A1315" t="s">
        <v>1631</v>
      </c>
      <c r="B1315" t="s">
        <v>1526</v>
      </c>
      <c r="C1315" t="s">
        <v>404</v>
      </c>
      <c r="D1315">
        <v>19</v>
      </c>
      <c r="E1315">
        <v>156</v>
      </c>
      <c r="F1315">
        <v>0</v>
      </c>
      <c r="G1315">
        <v>0</v>
      </c>
      <c r="H1315">
        <v>0</v>
      </c>
      <c r="I1315">
        <v>0</v>
      </c>
      <c r="J1315">
        <v>0</v>
      </c>
      <c r="K1315">
        <v>0</v>
      </c>
      <c r="L1315">
        <v>0</v>
      </c>
      <c r="M1315">
        <v>0</v>
      </c>
      <c r="N1315">
        <v>0</v>
      </c>
      <c r="O1315">
        <v>0</v>
      </c>
    </row>
    <row r="1316" spans="1:15">
      <c r="A1316" t="s">
        <v>1632</v>
      </c>
      <c r="B1316" t="s">
        <v>1526</v>
      </c>
      <c r="C1316" t="s">
        <v>404</v>
      </c>
      <c r="D1316">
        <v>20</v>
      </c>
      <c r="E1316">
        <v>156</v>
      </c>
      <c r="F1316">
        <v>0</v>
      </c>
      <c r="G1316">
        <v>0</v>
      </c>
      <c r="H1316">
        <v>0</v>
      </c>
      <c r="I1316">
        <v>0</v>
      </c>
      <c r="J1316">
        <v>0</v>
      </c>
      <c r="K1316">
        <v>0</v>
      </c>
      <c r="L1316">
        <v>0</v>
      </c>
      <c r="M1316">
        <v>0</v>
      </c>
      <c r="N1316">
        <v>0</v>
      </c>
      <c r="O1316">
        <v>0</v>
      </c>
    </row>
    <row r="1317" spans="1:15">
      <c r="A1317" t="s">
        <v>1633</v>
      </c>
      <c r="B1317" t="s">
        <v>1526</v>
      </c>
      <c r="C1317" t="s">
        <v>404</v>
      </c>
      <c r="D1317">
        <v>21</v>
      </c>
      <c r="E1317">
        <v>156</v>
      </c>
      <c r="F1317">
        <v>0</v>
      </c>
      <c r="G1317">
        <v>0</v>
      </c>
      <c r="H1317">
        <v>0</v>
      </c>
      <c r="I1317">
        <v>0</v>
      </c>
      <c r="J1317">
        <v>0</v>
      </c>
      <c r="K1317">
        <v>0</v>
      </c>
      <c r="L1317">
        <v>0</v>
      </c>
      <c r="M1317">
        <v>0</v>
      </c>
      <c r="N1317">
        <v>0</v>
      </c>
      <c r="O1317">
        <v>0</v>
      </c>
    </row>
    <row r="1318" spans="1:15">
      <c r="A1318" t="s">
        <v>1634</v>
      </c>
      <c r="B1318" t="s">
        <v>1526</v>
      </c>
      <c r="C1318" t="s">
        <v>404</v>
      </c>
      <c r="D1318">
        <v>22</v>
      </c>
      <c r="E1318">
        <v>156</v>
      </c>
      <c r="F1318">
        <v>0</v>
      </c>
      <c r="G1318">
        <v>0</v>
      </c>
      <c r="H1318">
        <v>0</v>
      </c>
      <c r="I1318">
        <v>0</v>
      </c>
      <c r="J1318">
        <v>0</v>
      </c>
      <c r="K1318">
        <v>0</v>
      </c>
      <c r="L1318">
        <v>0</v>
      </c>
      <c r="M1318">
        <v>0</v>
      </c>
      <c r="N1318">
        <v>0</v>
      </c>
      <c r="O1318">
        <v>0</v>
      </c>
    </row>
    <row r="1319" spans="1:15">
      <c r="A1319" t="s">
        <v>1635</v>
      </c>
      <c r="B1319" t="s">
        <v>1526</v>
      </c>
      <c r="C1319" t="s">
        <v>404</v>
      </c>
      <c r="D1319">
        <v>23</v>
      </c>
      <c r="E1319">
        <v>156</v>
      </c>
      <c r="F1319">
        <v>0</v>
      </c>
      <c r="G1319">
        <v>0</v>
      </c>
      <c r="H1319">
        <v>0</v>
      </c>
      <c r="I1319">
        <v>0</v>
      </c>
      <c r="J1319">
        <v>0</v>
      </c>
      <c r="K1319">
        <v>0</v>
      </c>
      <c r="L1319">
        <v>0</v>
      </c>
      <c r="M1319">
        <v>0</v>
      </c>
      <c r="N1319">
        <v>0</v>
      </c>
      <c r="O1319">
        <v>0</v>
      </c>
    </row>
    <row r="1320" spans="1:15">
      <c r="A1320" t="s">
        <v>1636</v>
      </c>
      <c r="B1320" t="s">
        <v>1526</v>
      </c>
      <c r="C1320" t="s">
        <v>404</v>
      </c>
      <c r="D1320">
        <v>24</v>
      </c>
      <c r="E1320">
        <v>156</v>
      </c>
      <c r="F1320">
        <v>0</v>
      </c>
      <c r="G1320">
        <v>0</v>
      </c>
      <c r="H1320">
        <v>0</v>
      </c>
      <c r="I1320">
        <v>0</v>
      </c>
      <c r="J1320">
        <v>0</v>
      </c>
      <c r="K1320">
        <v>0</v>
      </c>
      <c r="L1320">
        <v>0</v>
      </c>
      <c r="M1320">
        <v>0</v>
      </c>
      <c r="N1320">
        <v>0</v>
      </c>
      <c r="O1320">
        <v>0</v>
      </c>
    </row>
    <row r="1321" spans="1:15">
      <c r="A1321" t="s">
        <v>1637</v>
      </c>
      <c r="B1321" t="s">
        <v>1526</v>
      </c>
      <c r="C1321" t="s">
        <v>404</v>
      </c>
      <c r="D1321">
        <v>25</v>
      </c>
      <c r="E1321">
        <v>156</v>
      </c>
      <c r="F1321">
        <v>0</v>
      </c>
      <c r="G1321">
        <v>0</v>
      </c>
      <c r="H1321">
        <v>0</v>
      </c>
      <c r="I1321">
        <v>0</v>
      </c>
      <c r="J1321">
        <v>0</v>
      </c>
      <c r="K1321">
        <v>0</v>
      </c>
      <c r="L1321">
        <v>0</v>
      </c>
      <c r="M1321">
        <v>0</v>
      </c>
      <c r="N1321">
        <v>0</v>
      </c>
      <c r="O1321">
        <v>0</v>
      </c>
    </row>
    <row r="1322" spans="1:15">
      <c r="A1322" t="s">
        <v>1638</v>
      </c>
      <c r="B1322" t="s">
        <v>1526</v>
      </c>
      <c r="C1322" t="s">
        <v>404</v>
      </c>
      <c r="D1322">
        <v>26</v>
      </c>
      <c r="E1322">
        <v>156</v>
      </c>
      <c r="F1322">
        <v>0</v>
      </c>
      <c r="G1322">
        <v>0</v>
      </c>
      <c r="H1322">
        <v>0</v>
      </c>
      <c r="I1322">
        <v>0</v>
      </c>
      <c r="J1322">
        <v>0</v>
      </c>
      <c r="K1322">
        <v>0</v>
      </c>
      <c r="L1322">
        <v>0</v>
      </c>
      <c r="M1322">
        <v>0</v>
      </c>
      <c r="N1322">
        <v>0</v>
      </c>
      <c r="O1322">
        <v>0</v>
      </c>
    </row>
    <row r="1323" spans="1:15">
      <c r="A1323" t="s">
        <v>1639</v>
      </c>
      <c r="B1323" t="s">
        <v>1526</v>
      </c>
      <c r="C1323" t="s">
        <v>404</v>
      </c>
      <c r="D1323">
        <v>27</v>
      </c>
      <c r="E1323">
        <v>156</v>
      </c>
      <c r="F1323">
        <v>0</v>
      </c>
      <c r="G1323">
        <v>0</v>
      </c>
      <c r="H1323">
        <v>0</v>
      </c>
      <c r="I1323">
        <v>0</v>
      </c>
      <c r="J1323">
        <v>0</v>
      </c>
      <c r="K1323">
        <v>0</v>
      </c>
      <c r="L1323">
        <v>0</v>
      </c>
      <c r="M1323">
        <v>0</v>
      </c>
      <c r="N1323">
        <v>0</v>
      </c>
      <c r="O1323">
        <v>0</v>
      </c>
    </row>
    <row r="1324" spans="1:15">
      <c r="A1324" t="s">
        <v>1640</v>
      </c>
      <c r="B1324" t="s">
        <v>1526</v>
      </c>
      <c r="C1324" t="s">
        <v>404</v>
      </c>
      <c r="D1324">
        <v>28</v>
      </c>
      <c r="E1324">
        <v>156</v>
      </c>
      <c r="F1324">
        <v>0</v>
      </c>
      <c r="G1324">
        <v>0</v>
      </c>
      <c r="H1324">
        <v>0</v>
      </c>
      <c r="I1324">
        <v>0</v>
      </c>
      <c r="J1324">
        <v>0</v>
      </c>
      <c r="K1324">
        <v>0</v>
      </c>
      <c r="L1324">
        <v>0</v>
      </c>
      <c r="M1324">
        <v>0</v>
      </c>
      <c r="N1324">
        <v>0</v>
      </c>
      <c r="O1324">
        <v>0</v>
      </c>
    </row>
    <row r="1325" spans="1:15">
      <c r="A1325" t="s">
        <v>1641</v>
      </c>
      <c r="B1325" t="s">
        <v>1526</v>
      </c>
      <c r="C1325" t="s">
        <v>404</v>
      </c>
      <c r="D1325">
        <v>29</v>
      </c>
      <c r="E1325">
        <v>156</v>
      </c>
      <c r="F1325">
        <v>0</v>
      </c>
      <c r="G1325">
        <v>0</v>
      </c>
      <c r="H1325">
        <v>0</v>
      </c>
      <c r="I1325">
        <v>0</v>
      </c>
      <c r="J1325">
        <v>0</v>
      </c>
      <c r="K1325">
        <v>0</v>
      </c>
      <c r="L1325">
        <v>0</v>
      </c>
      <c r="M1325">
        <v>0</v>
      </c>
      <c r="N1325">
        <v>0</v>
      </c>
      <c r="O1325">
        <v>0</v>
      </c>
    </row>
    <row r="1326" spans="1:15">
      <c r="A1326" t="s">
        <v>1642</v>
      </c>
      <c r="B1326" t="s">
        <v>1526</v>
      </c>
      <c r="C1326" t="s">
        <v>404</v>
      </c>
      <c r="D1326">
        <v>30</v>
      </c>
      <c r="E1326">
        <v>156</v>
      </c>
      <c r="F1326">
        <v>0</v>
      </c>
      <c r="G1326">
        <v>0</v>
      </c>
      <c r="H1326">
        <v>0</v>
      </c>
      <c r="I1326">
        <v>0</v>
      </c>
      <c r="J1326">
        <v>0</v>
      </c>
      <c r="K1326">
        <v>0</v>
      </c>
      <c r="L1326">
        <v>0</v>
      </c>
      <c r="M1326">
        <v>0</v>
      </c>
      <c r="N1326">
        <v>0</v>
      </c>
      <c r="O1326">
        <v>0</v>
      </c>
    </row>
    <row r="1327" spans="1:15">
      <c r="A1327" t="s">
        <v>1643</v>
      </c>
      <c r="B1327" t="s">
        <v>1526</v>
      </c>
      <c r="C1327" t="s">
        <v>404</v>
      </c>
      <c r="D1327">
        <v>31</v>
      </c>
      <c r="E1327">
        <v>156</v>
      </c>
      <c r="F1327">
        <v>0</v>
      </c>
      <c r="G1327">
        <v>0</v>
      </c>
      <c r="H1327">
        <v>0</v>
      </c>
      <c r="I1327">
        <v>0</v>
      </c>
      <c r="J1327">
        <v>0</v>
      </c>
      <c r="K1327">
        <v>0</v>
      </c>
      <c r="L1327">
        <v>0</v>
      </c>
      <c r="M1327">
        <v>0</v>
      </c>
      <c r="N1327">
        <v>0</v>
      </c>
      <c r="O1327">
        <v>0</v>
      </c>
    </row>
    <row r="1328" spans="1:15">
      <c r="A1328" t="s">
        <v>1644</v>
      </c>
      <c r="B1328" t="s">
        <v>1526</v>
      </c>
      <c r="C1328" t="s">
        <v>404</v>
      </c>
      <c r="D1328">
        <v>32</v>
      </c>
      <c r="E1328">
        <v>156</v>
      </c>
      <c r="F1328">
        <v>0</v>
      </c>
      <c r="G1328">
        <v>0</v>
      </c>
      <c r="H1328">
        <v>0</v>
      </c>
      <c r="I1328">
        <v>0</v>
      </c>
      <c r="J1328">
        <v>0</v>
      </c>
      <c r="K1328">
        <v>0</v>
      </c>
      <c r="L1328">
        <v>0</v>
      </c>
      <c r="M1328">
        <v>0</v>
      </c>
      <c r="N1328">
        <v>0</v>
      </c>
      <c r="O1328">
        <v>0</v>
      </c>
    </row>
    <row r="1329" spans="1:15">
      <c r="A1329" t="s">
        <v>1645</v>
      </c>
      <c r="B1329" t="s">
        <v>1526</v>
      </c>
      <c r="C1329" t="s">
        <v>404</v>
      </c>
      <c r="D1329">
        <v>33</v>
      </c>
      <c r="E1329">
        <v>156</v>
      </c>
      <c r="F1329">
        <v>0</v>
      </c>
      <c r="G1329">
        <v>0</v>
      </c>
      <c r="H1329">
        <v>0</v>
      </c>
      <c r="I1329">
        <v>0</v>
      </c>
      <c r="J1329">
        <v>0</v>
      </c>
      <c r="K1329">
        <v>0</v>
      </c>
      <c r="L1329">
        <v>0</v>
      </c>
      <c r="M1329">
        <v>0</v>
      </c>
      <c r="N1329">
        <v>0</v>
      </c>
      <c r="O1329">
        <v>0</v>
      </c>
    </row>
    <row r="1330" spans="1:15">
      <c r="A1330" t="s">
        <v>1646</v>
      </c>
      <c r="B1330" t="s">
        <v>1526</v>
      </c>
      <c r="C1330" t="s">
        <v>404</v>
      </c>
      <c r="D1330">
        <v>34</v>
      </c>
      <c r="E1330">
        <v>156</v>
      </c>
      <c r="F1330">
        <v>0</v>
      </c>
      <c r="G1330">
        <v>0</v>
      </c>
      <c r="H1330">
        <v>0</v>
      </c>
      <c r="I1330">
        <v>0</v>
      </c>
      <c r="J1330">
        <v>0</v>
      </c>
      <c r="K1330">
        <v>0</v>
      </c>
      <c r="L1330">
        <v>0</v>
      </c>
      <c r="M1330">
        <v>0</v>
      </c>
      <c r="N1330">
        <v>0</v>
      </c>
      <c r="O1330">
        <v>0</v>
      </c>
    </row>
    <row r="1331" spans="1:15">
      <c r="A1331" t="s">
        <v>1647</v>
      </c>
      <c r="B1331" t="s">
        <v>1526</v>
      </c>
      <c r="C1331" t="s">
        <v>404</v>
      </c>
      <c r="D1331">
        <v>35</v>
      </c>
      <c r="E1331">
        <v>156</v>
      </c>
      <c r="F1331">
        <v>0</v>
      </c>
      <c r="G1331">
        <v>0</v>
      </c>
      <c r="H1331">
        <v>0</v>
      </c>
      <c r="I1331">
        <v>0</v>
      </c>
      <c r="J1331">
        <v>0</v>
      </c>
      <c r="K1331">
        <v>0</v>
      </c>
      <c r="L1331">
        <v>0</v>
      </c>
      <c r="M1331">
        <v>0</v>
      </c>
      <c r="N1331">
        <v>0</v>
      </c>
      <c r="O1331">
        <v>0</v>
      </c>
    </row>
    <row r="1332" spans="1:15">
      <c r="A1332" t="s">
        <v>1648</v>
      </c>
      <c r="B1332" t="s">
        <v>1526</v>
      </c>
      <c r="C1332" t="s">
        <v>404</v>
      </c>
      <c r="D1332">
        <v>36</v>
      </c>
      <c r="E1332">
        <v>156</v>
      </c>
      <c r="F1332">
        <v>0</v>
      </c>
      <c r="G1332">
        <v>0</v>
      </c>
      <c r="H1332">
        <v>0</v>
      </c>
      <c r="I1332">
        <v>0</v>
      </c>
      <c r="J1332">
        <v>0</v>
      </c>
      <c r="K1332">
        <v>0</v>
      </c>
      <c r="L1332">
        <v>0</v>
      </c>
      <c r="M1332">
        <v>0</v>
      </c>
      <c r="N1332">
        <v>0</v>
      </c>
      <c r="O1332">
        <v>0</v>
      </c>
    </row>
    <row r="1333" spans="1:15">
      <c r="A1333" t="s">
        <v>1649</v>
      </c>
      <c r="B1333" t="s">
        <v>1526</v>
      </c>
      <c r="C1333" t="s">
        <v>404</v>
      </c>
      <c r="D1333">
        <v>37</v>
      </c>
      <c r="E1333">
        <v>156</v>
      </c>
      <c r="F1333">
        <v>0</v>
      </c>
      <c r="G1333">
        <v>0</v>
      </c>
      <c r="H1333">
        <v>0</v>
      </c>
      <c r="I1333">
        <v>0</v>
      </c>
      <c r="J1333">
        <v>0</v>
      </c>
      <c r="K1333">
        <v>0</v>
      </c>
      <c r="L1333">
        <v>0</v>
      </c>
      <c r="M1333">
        <v>0</v>
      </c>
      <c r="N1333">
        <v>0</v>
      </c>
      <c r="O1333">
        <v>0</v>
      </c>
    </row>
    <row r="1334" spans="1:15">
      <c r="A1334" t="s">
        <v>1650</v>
      </c>
      <c r="B1334" t="s">
        <v>1526</v>
      </c>
      <c r="C1334" t="s">
        <v>404</v>
      </c>
      <c r="D1334">
        <v>38</v>
      </c>
      <c r="E1334">
        <v>156</v>
      </c>
      <c r="F1334">
        <v>0</v>
      </c>
      <c r="G1334">
        <v>0</v>
      </c>
      <c r="H1334">
        <v>0</v>
      </c>
      <c r="I1334">
        <v>0</v>
      </c>
      <c r="J1334">
        <v>0</v>
      </c>
      <c r="K1334">
        <v>0</v>
      </c>
      <c r="L1334">
        <v>0</v>
      </c>
      <c r="M1334">
        <v>0</v>
      </c>
      <c r="N1334">
        <v>0</v>
      </c>
      <c r="O1334">
        <v>0</v>
      </c>
    </row>
    <row r="1335" spans="1:15">
      <c r="A1335" t="s">
        <v>1651</v>
      </c>
      <c r="B1335" t="s">
        <v>1526</v>
      </c>
      <c r="C1335" t="s">
        <v>404</v>
      </c>
      <c r="D1335">
        <v>39</v>
      </c>
      <c r="E1335">
        <v>156</v>
      </c>
      <c r="F1335">
        <v>0</v>
      </c>
      <c r="G1335">
        <v>0</v>
      </c>
      <c r="H1335">
        <v>0</v>
      </c>
      <c r="I1335">
        <v>0</v>
      </c>
      <c r="J1335">
        <v>0</v>
      </c>
      <c r="K1335">
        <v>0</v>
      </c>
      <c r="L1335">
        <v>0</v>
      </c>
      <c r="M1335">
        <v>0</v>
      </c>
      <c r="N1335">
        <v>0</v>
      </c>
      <c r="O1335">
        <v>0</v>
      </c>
    </row>
    <row r="1336" spans="1:15">
      <c r="A1336" t="s">
        <v>1652</v>
      </c>
      <c r="B1336" t="s">
        <v>1526</v>
      </c>
      <c r="C1336" t="s">
        <v>404</v>
      </c>
      <c r="D1336">
        <v>40</v>
      </c>
      <c r="E1336">
        <v>156</v>
      </c>
      <c r="F1336">
        <v>0</v>
      </c>
      <c r="G1336">
        <v>0</v>
      </c>
      <c r="H1336">
        <v>0</v>
      </c>
      <c r="I1336">
        <v>0</v>
      </c>
      <c r="J1336">
        <v>0</v>
      </c>
      <c r="K1336">
        <v>0</v>
      </c>
      <c r="L1336">
        <v>0</v>
      </c>
      <c r="M1336">
        <v>0</v>
      </c>
      <c r="N1336">
        <v>0</v>
      </c>
      <c r="O1336">
        <v>0</v>
      </c>
    </row>
    <row r="1337" spans="1:15">
      <c r="A1337" t="s">
        <v>1653</v>
      </c>
      <c r="B1337" t="s">
        <v>1526</v>
      </c>
      <c r="C1337" t="s">
        <v>404</v>
      </c>
      <c r="D1337">
        <v>41</v>
      </c>
      <c r="E1337">
        <v>156</v>
      </c>
      <c r="F1337">
        <v>0</v>
      </c>
      <c r="G1337">
        <v>0</v>
      </c>
      <c r="H1337">
        <v>0</v>
      </c>
      <c r="I1337">
        <v>0</v>
      </c>
      <c r="J1337">
        <v>0</v>
      </c>
      <c r="K1337">
        <v>0</v>
      </c>
      <c r="L1337">
        <v>0</v>
      </c>
      <c r="M1337">
        <v>0</v>
      </c>
      <c r="N1337">
        <v>0</v>
      </c>
      <c r="O1337">
        <v>0</v>
      </c>
    </row>
    <row r="1338" spans="1:15">
      <c r="A1338" t="s">
        <v>1654</v>
      </c>
      <c r="B1338" t="s">
        <v>1526</v>
      </c>
      <c r="C1338" t="s">
        <v>404</v>
      </c>
      <c r="D1338">
        <v>42</v>
      </c>
      <c r="E1338">
        <v>156</v>
      </c>
      <c r="F1338">
        <v>0</v>
      </c>
      <c r="G1338">
        <v>0</v>
      </c>
      <c r="H1338">
        <v>0</v>
      </c>
      <c r="I1338">
        <v>0</v>
      </c>
      <c r="J1338">
        <v>0</v>
      </c>
      <c r="K1338">
        <v>0</v>
      </c>
      <c r="L1338">
        <v>0</v>
      </c>
      <c r="M1338">
        <v>0</v>
      </c>
      <c r="N1338">
        <v>0</v>
      </c>
      <c r="O1338">
        <v>0</v>
      </c>
    </row>
    <row r="1339" spans="1:15">
      <c r="A1339" t="s">
        <v>1655</v>
      </c>
      <c r="B1339" t="s">
        <v>1526</v>
      </c>
      <c r="C1339" t="s">
        <v>404</v>
      </c>
      <c r="D1339">
        <v>43</v>
      </c>
      <c r="E1339">
        <v>156</v>
      </c>
      <c r="F1339">
        <v>0</v>
      </c>
      <c r="G1339">
        <v>0</v>
      </c>
      <c r="H1339">
        <v>0</v>
      </c>
      <c r="I1339">
        <v>0</v>
      </c>
      <c r="J1339">
        <v>0</v>
      </c>
      <c r="K1339">
        <v>0</v>
      </c>
      <c r="L1339">
        <v>0</v>
      </c>
      <c r="M1339">
        <v>0</v>
      </c>
      <c r="N1339">
        <v>0</v>
      </c>
      <c r="O1339">
        <v>0</v>
      </c>
    </row>
    <row r="1340" spans="1:15">
      <c r="A1340" t="s">
        <v>1656</v>
      </c>
      <c r="B1340" t="s">
        <v>1526</v>
      </c>
      <c r="C1340" t="s">
        <v>404</v>
      </c>
      <c r="D1340">
        <v>44</v>
      </c>
      <c r="E1340">
        <v>156</v>
      </c>
      <c r="F1340">
        <v>0</v>
      </c>
      <c r="G1340">
        <v>0</v>
      </c>
      <c r="H1340">
        <v>0</v>
      </c>
      <c r="I1340">
        <v>0</v>
      </c>
      <c r="J1340">
        <v>0</v>
      </c>
      <c r="K1340">
        <v>0</v>
      </c>
      <c r="L1340">
        <v>0</v>
      </c>
      <c r="M1340">
        <v>0</v>
      </c>
      <c r="N1340">
        <v>0</v>
      </c>
      <c r="O1340">
        <v>0</v>
      </c>
    </row>
    <row r="1341" spans="1:15">
      <c r="A1341" t="s">
        <v>1657</v>
      </c>
      <c r="B1341" t="s">
        <v>1526</v>
      </c>
      <c r="C1341" t="s">
        <v>404</v>
      </c>
      <c r="D1341">
        <v>45</v>
      </c>
      <c r="E1341">
        <v>156</v>
      </c>
      <c r="F1341">
        <v>0</v>
      </c>
      <c r="G1341">
        <v>0</v>
      </c>
      <c r="H1341">
        <v>0</v>
      </c>
      <c r="I1341">
        <v>0</v>
      </c>
      <c r="J1341">
        <v>0</v>
      </c>
      <c r="K1341">
        <v>0</v>
      </c>
      <c r="L1341">
        <v>0</v>
      </c>
      <c r="M1341">
        <v>0</v>
      </c>
      <c r="N1341">
        <v>0</v>
      </c>
      <c r="O1341">
        <v>0</v>
      </c>
    </row>
    <row r="1342" spans="1:15">
      <c r="A1342" t="s">
        <v>1658</v>
      </c>
      <c r="B1342" t="s">
        <v>1526</v>
      </c>
      <c r="C1342" t="s">
        <v>404</v>
      </c>
      <c r="D1342">
        <v>46</v>
      </c>
      <c r="E1342">
        <v>156</v>
      </c>
      <c r="F1342">
        <v>0</v>
      </c>
      <c r="G1342">
        <v>0</v>
      </c>
      <c r="H1342">
        <v>0</v>
      </c>
      <c r="I1342">
        <v>0</v>
      </c>
      <c r="J1342">
        <v>0</v>
      </c>
      <c r="K1342">
        <v>0</v>
      </c>
      <c r="L1342">
        <v>0</v>
      </c>
      <c r="M1342">
        <v>0</v>
      </c>
      <c r="N1342">
        <v>0</v>
      </c>
      <c r="O1342">
        <v>0</v>
      </c>
    </row>
    <row r="1343" spans="1:15">
      <c r="A1343" t="s">
        <v>1659</v>
      </c>
      <c r="B1343" t="s">
        <v>1526</v>
      </c>
      <c r="C1343" t="s">
        <v>404</v>
      </c>
      <c r="D1343">
        <v>47</v>
      </c>
      <c r="E1343">
        <v>156</v>
      </c>
      <c r="F1343">
        <v>0</v>
      </c>
      <c r="G1343">
        <v>0</v>
      </c>
      <c r="H1343">
        <v>0</v>
      </c>
      <c r="I1343">
        <v>0</v>
      </c>
      <c r="J1343">
        <v>0</v>
      </c>
      <c r="K1343">
        <v>0</v>
      </c>
      <c r="L1343">
        <v>0</v>
      </c>
      <c r="M1343">
        <v>0</v>
      </c>
      <c r="N1343">
        <v>0</v>
      </c>
      <c r="O1343">
        <v>0</v>
      </c>
    </row>
    <row r="1344" spans="1:15">
      <c r="A1344" t="s">
        <v>1660</v>
      </c>
      <c r="B1344" t="s">
        <v>1526</v>
      </c>
      <c r="C1344" t="s">
        <v>404</v>
      </c>
      <c r="D1344">
        <v>48</v>
      </c>
      <c r="E1344">
        <v>156</v>
      </c>
      <c r="F1344">
        <v>0</v>
      </c>
      <c r="G1344">
        <v>0</v>
      </c>
      <c r="H1344">
        <v>0</v>
      </c>
      <c r="I1344">
        <v>0</v>
      </c>
      <c r="J1344">
        <v>0</v>
      </c>
      <c r="K1344">
        <v>0</v>
      </c>
      <c r="L1344">
        <v>0</v>
      </c>
      <c r="M1344">
        <v>0</v>
      </c>
      <c r="N1344">
        <v>0</v>
      </c>
      <c r="O1344">
        <v>0</v>
      </c>
    </row>
    <row r="1345" spans="1:15">
      <c r="A1345" t="s">
        <v>1661</v>
      </c>
      <c r="B1345" t="s">
        <v>1526</v>
      </c>
      <c r="C1345" t="s">
        <v>404</v>
      </c>
      <c r="D1345">
        <v>49</v>
      </c>
      <c r="E1345">
        <v>156</v>
      </c>
      <c r="F1345">
        <v>0</v>
      </c>
      <c r="G1345">
        <v>0</v>
      </c>
      <c r="H1345">
        <v>0</v>
      </c>
      <c r="I1345">
        <v>0</v>
      </c>
      <c r="J1345">
        <v>0</v>
      </c>
      <c r="K1345">
        <v>0</v>
      </c>
      <c r="L1345">
        <v>0</v>
      </c>
      <c r="M1345">
        <v>0</v>
      </c>
      <c r="N1345">
        <v>0</v>
      </c>
      <c r="O1345">
        <v>0</v>
      </c>
    </row>
    <row r="1346" spans="1:15">
      <c r="A1346" t="s">
        <v>1662</v>
      </c>
      <c r="B1346" t="s">
        <v>1526</v>
      </c>
      <c r="C1346" t="s">
        <v>404</v>
      </c>
      <c r="D1346">
        <v>50</v>
      </c>
      <c r="E1346">
        <v>156</v>
      </c>
      <c r="F1346">
        <v>0</v>
      </c>
      <c r="G1346">
        <v>0</v>
      </c>
      <c r="H1346">
        <v>0</v>
      </c>
      <c r="I1346">
        <v>0</v>
      </c>
      <c r="J1346">
        <v>0</v>
      </c>
      <c r="K1346">
        <v>0</v>
      </c>
      <c r="L1346">
        <v>0</v>
      </c>
      <c r="M1346">
        <v>0</v>
      </c>
      <c r="N1346">
        <v>0</v>
      </c>
      <c r="O1346">
        <v>0</v>
      </c>
    </row>
    <row r="1347" spans="1:15">
      <c r="A1347" t="s">
        <v>1663</v>
      </c>
      <c r="B1347" t="s">
        <v>1526</v>
      </c>
      <c r="C1347" t="s">
        <v>404</v>
      </c>
      <c r="D1347">
        <v>51</v>
      </c>
      <c r="E1347">
        <v>156</v>
      </c>
      <c r="F1347">
        <v>0</v>
      </c>
      <c r="G1347">
        <v>0</v>
      </c>
      <c r="H1347">
        <v>0</v>
      </c>
      <c r="I1347">
        <v>0</v>
      </c>
      <c r="J1347">
        <v>0</v>
      </c>
      <c r="K1347">
        <v>0</v>
      </c>
      <c r="L1347">
        <v>0</v>
      </c>
      <c r="M1347">
        <v>0</v>
      </c>
      <c r="N1347">
        <v>0</v>
      </c>
      <c r="O1347">
        <v>0</v>
      </c>
    </row>
    <row r="1348" spans="1:15">
      <c r="A1348" t="s">
        <v>1664</v>
      </c>
      <c r="B1348" t="s">
        <v>1526</v>
      </c>
      <c r="C1348" t="s">
        <v>404</v>
      </c>
      <c r="D1348">
        <v>52</v>
      </c>
      <c r="E1348">
        <v>156</v>
      </c>
      <c r="F1348">
        <v>0</v>
      </c>
      <c r="G1348">
        <v>0</v>
      </c>
      <c r="H1348">
        <v>0</v>
      </c>
      <c r="I1348">
        <v>0</v>
      </c>
      <c r="J1348">
        <v>0</v>
      </c>
      <c r="K1348">
        <v>0</v>
      </c>
      <c r="L1348">
        <v>0</v>
      </c>
      <c r="M1348">
        <v>0</v>
      </c>
      <c r="N1348">
        <v>0</v>
      </c>
      <c r="O1348">
        <v>0</v>
      </c>
    </row>
    <row r="1349" spans="1:15">
      <c r="A1349" t="s">
        <v>1665</v>
      </c>
      <c r="B1349" t="s">
        <v>1526</v>
      </c>
      <c r="C1349" t="s">
        <v>404</v>
      </c>
      <c r="D1349">
        <v>53</v>
      </c>
      <c r="E1349">
        <v>156</v>
      </c>
      <c r="F1349">
        <v>0</v>
      </c>
      <c r="G1349">
        <v>0</v>
      </c>
      <c r="H1349">
        <v>0</v>
      </c>
      <c r="I1349">
        <v>0</v>
      </c>
      <c r="J1349">
        <v>0</v>
      </c>
      <c r="K1349">
        <v>0</v>
      </c>
      <c r="L1349">
        <v>0</v>
      </c>
      <c r="M1349">
        <v>0</v>
      </c>
      <c r="N1349">
        <v>0</v>
      </c>
      <c r="O1349">
        <v>0</v>
      </c>
    </row>
    <row r="1350" spans="1:15">
      <c r="A1350" t="s">
        <v>1666</v>
      </c>
      <c r="B1350" t="s">
        <v>1526</v>
      </c>
      <c r="C1350" t="s">
        <v>404</v>
      </c>
      <c r="D1350">
        <v>54</v>
      </c>
      <c r="E1350">
        <v>156</v>
      </c>
      <c r="F1350">
        <v>0</v>
      </c>
      <c r="G1350">
        <v>0</v>
      </c>
      <c r="H1350">
        <v>0</v>
      </c>
      <c r="I1350">
        <v>0</v>
      </c>
      <c r="J1350">
        <v>0</v>
      </c>
      <c r="K1350">
        <v>0</v>
      </c>
      <c r="L1350">
        <v>0</v>
      </c>
      <c r="M1350">
        <v>0</v>
      </c>
      <c r="N1350">
        <v>0</v>
      </c>
      <c r="O1350">
        <v>0</v>
      </c>
    </row>
    <row r="1351" spans="1:15">
      <c r="A1351" t="s">
        <v>1667</v>
      </c>
      <c r="B1351" t="s">
        <v>1526</v>
      </c>
      <c r="C1351" t="s">
        <v>404</v>
      </c>
      <c r="D1351">
        <v>55</v>
      </c>
      <c r="E1351">
        <v>156</v>
      </c>
      <c r="F1351">
        <v>0</v>
      </c>
      <c r="G1351">
        <v>0</v>
      </c>
      <c r="H1351">
        <v>0</v>
      </c>
      <c r="I1351">
        <v>0</v>
      </c>
      <c r="J1351">
        <v>0</v>
      </c>
      <c r="K1351">
        <v>0</v>
      </c>
      <c r="L1351">
        <v>0</v>
      </c>
      <c r="M1351">
        <v>0</v>
      </c>
      <c r="N1351">
        <v>0</v>
      </c>
      <c r="O1351">
        <v>0</v>
      </c>
    </row>
    <row r="1352" spans="1:15">
      <c r="A1352" t="s">
        <v>1668</v>
      </c>
      <c r="B1352" t="s">
        <v>1526</v>
      </c>
      <c r="C1352" t="s">
        <v>404</v>
      </c>
      <c r="D1352">
        <v>56</v>
      </c>
      <c r="E1352">
        <v>156</v>
      </c>
      <c r="F1352">
        <v>0</v>
      </c>
      <c r="G1352">
        <v>0</v>
      </c>
      <c r="H1352">
        <v>0</v>
      </c>
      <c r="I1352">
        <v>0</v>
      </c>
      <c r="J1352">
        <v>0</v>
      </c>
      <c r="K1352">
        <v>0</v>
      </c>
      <c r="L1352">
        <v>0</v>
      </c>
      <c r="M1352">
        <v>0</v>
      </c>
      <c r="N1352">
        <v>0</v>
      </c>
      <c r="O1352">
        <v>0</v>
      </c>
    </row>
    <row r="1353" spans="1:15">
      <c r="A1353" t="s">
        <v>1669</v>
      </c>
      <c r="B1353" t="s">
        <v>1526</v>
      </c>
      <c r="C1353" t="s">
        <v>404</v>
      </c>
      <c r="D1353">
        <v>57</v>
      </c>
      <c r="E1353">
        <v>156</v>
      </c>
      <c r="F1353">
        <v>0</v>
      </c>
      <c r="G1353">
        <v>0</v>
      </c>
      <c r="H1353">
        <v>0</v>
      </c>
      <c r="I1353">
        <v>0</v>
      </c>
      <c r="J1353">
        <v>0</v>
      </c>
      <c r="K1353">
        <v>0</v>
      </c>
      <c r="L1353">
        <v>0</v>
      </c>
      <c r="M1353">
        <v>0</v>
      </c>
      <c r="N1353">
        <v>0</v>
      </c>
      <c r="O1353">
        <v>0</v>
      </c>
    </row>
    <row r="1354" spans="1:15">
      <c r="A1354" t="s">
        <v>1670</v>
      </c>
      <c r="B1354" t="s">
        <v>1526</v>
      </c>
      <c r="C1354" t="s">
        <v>404</v>
      </c>
      <c r="D1354">
        <v>58</v>
      </c>
      <c r="E1354">
        <v>156</v>
      </c>
      <c r="F1354">
        <v>0</v>
      </c>
      <c r="G1354">
        <v>0</v>
      </c>
      <c r="H1354">
        <v>0</v>
      </c>
      <c r="I1354">
        <v>0</v>
      </c>
      <c r="J1354">
        <v>0</v>
      </c>
      <c r="K1354">
        <v>0</v>
      </c>
      <c r="L1354">
        <v>0</v>
      </c>
      <c r="M1354">
        <v>0</v>
      </c>
      <c r="N1354">
        <v>0</v>
      </c>
      <c r="O1354">
        <v>0</v>
      </c>
    </row>
    <row r="1355" spans="1:15">
      <c r="A1355" t="s">
        <v>1671</v>
      </c>
      <c r="B1355" t="s">
        <v>1526</v>
      </c>
      <c r="C1355" t="s">
        <v>404</v>
      </c>
      <c r="D1355">
        <v>59</v>
      </c>
      <c r="E1355">
        <v>156</v>
      </c>
      <c r="F1355">
        <v>0</v>
      </c>
      <c r="G1355">
        <v>0</v>
      </c>
      <c r="H1355">
        <v>0</v>
      </c>
      <c r="I1355">
        <v>0</v>
      </c>
      <c r="J1355">
        <v>0</v>
      </c>
      <c r="K1355">
        <v>0</v>
      </c>
      <c r="L1355">
        <v>0</v>
      </c>
      <c r="M1355">
        <v>0</v>
      </c>
      <c r="N1355">
        <v>0</v>
      </c>
      <c r="O1355">
        <v>0</v>
      </c>
    </row>
    <row r="1356" spans="1:15">
      <c r="A1356" t="s">
        <v>1672</v>
      </c>
      <c r="B1356" t="s">
        <v>1526</v>
      </c>
      <c r="C1356" t="s">
        <v>404</v>
      </c>
      <c r="D1356">
        <v>60</v>
      </c>
      <c r="E1356">
        <v>156</v>
      </c>
      <c r="F1356">
        <v>0</v>
      </c>
      <c r="G1356">
        <v>0</v>
      </c>
      <c r="H1356">
        <v>0</v>
      </c>
      <c r="I1356">
        <v>0</v>
      </c>
      <c r="J1356">
        <v>0</v>
      </c>
      <c r="K1356">
        <v>0</v>
      </c>
      <c r="L1356">
        <v>0</v>
      </c>
      <c r="M1356">
        <v>0</v>
      </c>
      <c r="N1356">
        <v>0</v>
      </c>
      <c r="O1356">
        <v>0</v>
      </c>
    </row>
    <row r="1357" spans="1:15">
      <c r="A1357" t="s">
        <v>1673</v>
      </c>
      <c r="B1357" t="s">
        <v>1526</v>
      </c>
      <c r="C1357" t="s">
        <v>404</v>
      </c>
      <c r="D1357">
        <v>61</v>
      </c>
      <c r="E1357">
        <v>156</v>
      </c>
      <c r="F1357">
        <v>0</v>
      </c>
      <c r="G1357">
        <v>0</v>
      </c>
      <c r="H1357">
        <v>0</v>
      </c>
      <c r="I1357">
        <v>0</v>
      </c>
      <c r="J1357">
        <v>0</v>
      </c>
      <c r="K1357">
        <v>0</v>
      </c>
      <c r="L1357">
        <v>0</v>
      </c>
      <c r="M1357">
        <v>0</v>
      </c>
      <c r="N1357">
        <v>0</v>
      </c>
      <c r="O1357">
        <v>0</v>
      </c>
    </row>
    <row r="1358" spans="1:15">
      <c r="A1358" t="s">
        <v>1674</v>
      </c>
      <c r="B1358" t="s">
        <v>1526</v>
      </c>
      <c r="C1358" t="s">
        <v>404</v>
      </c>
      <c r="D1358">
        <v>62</v>
      </c>
      <c r="E1358">
        <v>156</v>
      </c>
      <c r="F1358">
        <v>0</v>
      </c>
      <c r="G1358">
        <v>0</v>
      </c>
      <c r="H1358">
        <v>0</v>
      </c>
      <c r="I1358">
        <v>0</v>
      </c>
      <c r="J1358">
        <v>0</v>
      </c>
      <c r="K1358">
        <v>0</v>
      </c>
      <c r="L1358">
        <v>0</v>
      </c>
      <c r="M1358">
        <v>0</v>
      </c>
      <c r="N1358">
        <v>0</v>
      </c>
      <c r="O1358">
        <v>0</v>
      </c>
    </row>
    <row r="1359" spans="1:15">
      <c r="A1359" t="s">
        <v>1675</v>
      </c>
      <c r="B1359" t="s">
        <v>1526</v>
      </c>
      <c r="C1359" t="s">
        <v>404</v>
      </c>
      <c r="D1359">
        <v>63</v>
      </c>
      <c r="E1359">
        <v>156</v>
      </c>
      <c r="F1359">
        <v>0</v>
      </c>
      <c r="G1359">
        <v>0</v>
      </c>
      <c r="H1359">
        <v>0</v>
      </c>
      <c r="I1359">
        <v>0</v>
      </c>
      <c r="J1359">
        <v>0</v>
      </c>
      <c r="K1359">
        <v>0</v>
      </c>
      <c r="L1359">
        <v>0</v>
      </c>
      <c r="M1359">
        <v>0</v>
      </c>
      <c r="N1359">
        <v>0</v>
      </c>
      <c r="O1359">
        <v>0</v>
      </c>
    </row>
    <row r="1360" spans="1:15">
      <c r="A1360" t="s">
        <v>1676</v>
      </c>
      <c r="B1360" t="s">
        <v>1526</v>
      </c>
      <c r="C1360" t="s">
        <v>404</v>
      </c>
      <c r="D1360">
        <v>64</v>
      </c>
      <c r="E1360">
        <v>156</v>
      </c>
      <c r="F1360">
        <v>0</v>
      </c>
      <c r="G1360">
        <v>0</v>
      </c>
      <c r="H1360">
        <v>0</v>
      </c>
      <c r="I1360">
        <v>0</v>
      </c>
      <c r="J1360">
        <v>0</v>
      </c>
      <c r="K1360">
        <v>0</v>
      </c>
      <c r="L1360">
        <v>0</v>
      </c>
      <c r="M1360">
        <v>0</v>
      </c>
      <c r="N1360">
        <v>0</v>
      </c>
      <c r="O1360">
        <v>0</v>
      </c>
    </row>
    <row r="1361" spans="1:15">
      <c r="A1361" t="s">
        <v>1677</v>
      </c>
      <c r="B1361" t="s">
        <v>1526</v>
      </c>
      <c r="C1361" t="s">
        <v>404</v>
      </c>
      <c r="D1361">
        <v>65</v>
      </c>
      <c r="E1361">
        <v>156</v>
      </c>
      <c r="F1361">
        <v>0</v>
      </c>
      <c r="G1361">
        <v>0</v>
      </c>
      <c r="H1361">
        <v>0</v>
      </c>
      <c r="I1361">
        <v>0</v>
      </c>
      <c r="J1361">
        <v>0</v>
      </c>
      <c r="K1361">
        <v>0</v>
      </c>
      <c r="L1361">
        <v>0</v>
      </c>
      <c r="M1361">
        <v>0</v>
      </c>
      <c r="N1361">
        <v>0</v>
      </c>
      <c r="O1361">
        <v>0</v>
      </c>
    </row>
    <row r="1362" spans="1:15">
      <c r="A1362" t="s">
        <v>1678</v>
      </c>
      <c r="B1362" t="s">
        <v>1526</v>
      </c>
      <c r="C1362" t="s">
        <v>404</v>
      </c>
      <c r="D1362">
        <v>66</v>
      </c>
      <c r="E1362">
        <v>156</v>
      </c>
      <c r="F1362">
        <v>0</v>
      </c>
      <c r="G1362">
        <v>0</v>
      </c>
      <c r="H1362">
        <v>0</v>
      </c>
      <c r="I1362">
        <v>0</v>
      </c>
      <c r="J1362">
        <v>0</v>
      </c>
      <c r="K1362">
        <v>0</v>
      </c>
      <c r="L1362">
        <v>0</v>
      </c>
      <c r="M1362">
        <v>0</v>
      </c>
      <c r="N1362">
        <v>0</v>
      </c>
      <c r="O1362">
        <v>0</v>
      </c>
    </row>
    <row r="1363" spans="1:15">
      <c r="A1363" t="s">
        <v>1679</v>
      </c>
      <c r="B1363" t="s">
        <v>1526</v>
      </c>
      <c r="C1363" t="s">
        <v>404</v>
      </c>
      <c r="D1363">
        <v>67</v>
      </c>
      <c r="E1363">
        <v>156</v>
      </c>
      <c r="F1363">
        <v>0</v>
      </c>
      <c r="G1363">
        <v>0</v>
      </c>
      <c r="H1363">
        <v>0</v>
      </c>
      <c r="I1363">
        <v>0</v>
      </c>
      <c r="J1363">
        <v>0</v>
      </c>
      <c r="K1363">
        <v>0</v>
      </c>
      <c r="L1363">
        <v>0</v>
      </c>
      <c r="M1363">
        <v>0</v>
      </c>
      <c r="N1363">
        <v>0</v>
      </c>
      <c r="O1363">
        <v>0</v>
      </c>
    </row>
    <row r="1364" spans="1:15">
      <c r="A1364" t="s">
        <v>1680</v>
      </c>
      <c r="B1364" t="s">
        <v>1526</v>
      </c>
      <c r="C1364" t="s">
        <v>404</v>
      </c>
      <c r="D1364">
        <v>68</v>
      </c>
      <c r="E1364">
        <v>156</v>
      </c>
      <c r="F1364">
        <v>0</v>
      </c>
      <c r="G1364">
        <v>0</v>
      </c>
      <c r="H1364">
        <v>0</v>
      </c>
      <c r="I1364">
        <v>0</v>
      </c>
      <c r="J1364">
        <v>0</v>
      </c>
      <c r="K1364">
        <v>0</v>
      </c>
      <c r="L1364">
        <v>0</v>
      </c>
      <c r="M1364">
        <v>0</v>
      </c>
      <c r="N1364">
        <v>0</v>
      </c>
      <c r="O1364">
        <v>0</v>
      </c>
    </row>
    <row r="1365" spans="1:15">
      <c r="A1365" t="s">
        <v>1681</v>
      </c>
      <c r="B1365" t="s">
        <v>1526</v>
      </c>
      <c r="C1365" t="s">
        <v>404</v>
      </c>
      <c r="D1365">
        <v>69</v>
      </c>
      <c r="E1365">
        <v>156</v>
      </c>
      <c r="F1365">
        <v>0</v>
      </c>
      <c r="G1365">
        <v>0</v>
      </c>
      <c r="H1365">
        <v>0</v>
      </c>
      <c r="I1365">
        <v>0</v>
      </c>
      <c r="J1365">
        <v>0</v>
      </c>
      <c r="K1365">
        <v>0</v>
      </c>
      <c r="L1365">
        <v>0</v>
      </c>
      <c r="M1365">
        <v>0</v>
      </c>
      <c r="N1365">
        <v>0</v>
      </c>
      <c r="O1365">
        <v>0</v>
      </c>
    </row>
    <row r="1366" spans="1:15">
      <c r="A1366" t="s">
        <v>1682</v>
      </c>
      <c r="B1366" t="s">
        <v>1526</v>
      </c>
      <c r="C1366" t="s">
        <v>404</v>
      </c>
      <c r="D1366">
        <v>70</v>
      </c>
      <c r="E1366">
        <v>156</v>
      </c>
      <c r="F1366">
        <v>0</v>
      </c>
      <c r="G1366">
        <v>0</v>
      </c>
      <c r="H1366">
        <v>0</v>
      </c>
      <c r="I1366">
        <v>0</v>
      </c>
      <c r="J1366">
        <v>0</v>
      </c>
      <c r="K1366">
        <v>0</v>
      </c>
      <c r="L1366">
        <v>0</v>
      </c>
      <c r="M1366">
        <v>0</v>
      </c>
      <c r="N1366">
        <v>0</v>
      </c>
      <c r="O1366">
        <v>0</v>
      </c>
    </row>
    <row r="1367" spans="1:15">
      <c r="A1367" t="s">
        <v>1683</v>
      </c>
      <c r="B1367" t="s">
        <v>1526</v>
      </c>
      <c r="C1367" t="s">
        <v>404</v>
      </c>
      <c r="D1367">
        <v>71</v>
      </c>
      <c r="E1367">
        <v>156</v>
      </c>
      <c r="F1367">
        <v>0</v>
      </c>
      <c r="G1367">
        <v>0</v>
      </c>
      <c r="H1367">
        <v>0</v>
      </c>
      <c r="I1367">
        <v>0</v>
      </c>
      <c r="J1367">
        <v>0</v>
      </c>
      <c r="K1367">
        <v>0</v>
      </c>
      <c r="L1367">
        <v>0</v>
      </c>
      <c r="M1367">
        <v>0</v>
      </c>
      <c r="N1367">
        <v>0</v>
      </c>
      <c r="O1367">
        <v>0</v>
      </c>
    </row>
    <row r="1368" spans="1:15">
      <c r="A1368" t="s">
        <v>1684</v>
      </c>
      <c r="B1368" t="s">
        <v>1526</v>
      </c>
      <c r="C1368" t="s">
        <v>404</v>
      </c>
      <c r="D1368">
        <v>72</v>
      </c>
      <c r="E1368">
        <v>156</v>
      </c>
      <c r="F1368">
        <v>0</v>
      </c>
      <c r="G1368">
        <v>0</v>
      </c>
      <c r="H1368">
        <v>0</v>
      </c>
      <c r="I1368">
        <v>0</v>
      </c>
      <c r="J1368">
        <v>0</v>
      </c>
      <c r="K1368">
        <v>0</v>
      </c>
      <c r="L1368">
        <v>0</v>
      </c>
      <c r="M1368">
        <v>0</v>
      </c>
      <c r="N1368">
        <v>0</v>
      </c>
      <c r="O1368">
        <v>0</v>
      </c>
    </row>
    <row r="1369" spans="1:15">
      <c r="A1369" t="s">
        <v>1685</v>
      </c>
      <c r="B1369" t="s">
        <v>1526</v>
      </c>
      <c r="C1369" t="s">
        <v>404</v>
      </c>
      <c r="D1369">
        <v>73</v>
      </c>
      <c r="E1369">
        <v>156</v>
      </c>
      <c r="F1369">
        <v>0</v>
      </c>
      <c r="G1369">
        <v>0</v>
      </c>
      <c r="H1369">
        <v>0</v>
      </c>
      <c r="I1369">
        <v>0</v>
      </c>
      <c r="J1369">
        <v>0</v>
      </c>
      <c r="K1369">
        <v>0</v>
      </c>
      <c r="L1369">
        <v>0</v>
      </c>
      <c r="M1369">
        <v>0</v>
      </c>
      <c r="N1369">
        <v>0</v>
      </c>
      <c r="O1369">
        <v>0</v>
      </c>
    </row>
    <row r="1370" spans="1:15">
      <c r="A1370" t="s">
        <v>1686</v>
      </c>
      <c r="B1370" t="s">
        <v>1526</v>
      </c>
      <c r="C1370" t="s">
        <v>404</v>
      </c>
      <c r="D1370">
        <v>74</v>
      </c>
      <c r="E1370">
        <v>156</v>
      </c>
      <c r="F1370">
        <v>0</v>
      </c>
      <c r="G1370">
        <v>0</v>
      </c>
      <c r="H1370">
        <v>0</v>
      </c>
      <c r="I1370">
        <v>0</v>
      </c>
      <c r="J1370">
        <v>0</v>
      </c>
      <c r="K1370">
        <v>0</v>
      </c>
      <c r="L1370">
        <v>0</v>
      </c>
      <c r="M1370">
        <v>0</v>
      </c>
      <c r="N1370">
        <v>0</v>
      </c>
      <c r="O1370">
        <v>0</v>
      </c>
    </row>
    <row r="1371" spans="1:15">
      <c r="A1371" t="s">
        <v>1687</v>
      </c>
      <c r="B1371" t="s">
        <v>1526</v>
      </c>
      <c r="C1371" t="s">
        <v>404</v>
      </c>
      <c r="D1371">
        <v>75</v>
      </c>
      <c r="E1371">
        <v>156</v>
      </c>
      <c r="F1371">
        <v>0</v>
      </c>
      <c r="G1371">
        <v>0</v>
      </c>
      <c r="H1371">
        <v>0</v>
      </c>
      <c r="I1371">
        <v>0</v>
      </c>
      <c r="J1371">
        <v>0</v>
      </c>
      <c r="K1371">
        <v>0</v>
      </c>
      <c r="L1371">
        <v>0</v>
      </c>
      <c r="M1371">
        <v>0</v>
      </c>
      <c r="N1371">
        <v>0</v>
      </c>
      <c r="O1371">
        <v>0</v>
      </c>
    </row>
    <row r="1372" spans="1:15">
      <c r="A1372" t="s">
        <v>1688</v>
      </c>
      <c r="B1372" t="s">
        <v>1526</v>
      </c>
      <c r="C1372" t="s">
        <v>404</v>
      </c>
      <c r="D1372">
        <v>76</v>
      </c>
      <c r="E1372">
        <v>156</v>
      </c>
      <c r="F1372">
        <v>0</v>
      </c>
      <c r="G1372">
        <v>0</v>
      </c>
      <c r="H1372">
        <v>0</v>
      </c>
      <c r="I1372">
        <v>0</v>
      </c>
      <c r="J1372">
        <v>0</v>
      </c>
      <c r="K1372">
        <v>0</v>
      </c>
      <c r="L1372">
        <v>0</v>
      </c>
      <c r="M1372">
        <v>0</v>
      </c>
      <c r="N1372">
        <v>0</v>
      </c>
      <c r="O1372">
        <v>0</v>
      </c>
    </row>
    <row r="1373" spans="1:15">
      <c r="A1373" t="s">
        <v>1689</v>
      </c>
      <c r="B1373" t="s">
        <v>1526</v>
      </c>
      <c r="C1373" t="s">
        <v>404</v>
      </c>
      <c r="D1373">
        <v>77</v>
      </c>
      <c r="E1373">
        <v>156</v>
      </c>
      <c r="F1373">
        <v>0</v>
      </c>
      <c r="G1373">
        <v>0</v>
      </c>
      <c r="H1373">
        <v>0</v>
      </c>
      <c r="I1373">
        <v>0</v>
      </c>
      <c r="J1373">
        <v>0</v>
      </c>
      <c r="K1373">
        <v>0</v>
      </c>
      <c r="L1373">
        <v>0</v>
      </c>
      <c r="M1373">
        <v>0</v>
      </c>
      <c r="N1373">
        <v>0</v>
      </c>
      <c r="O1373">
        <v>0</v>
      </c>
    </row>
    <row r="1374" spans="1:15">
      <c r="A1374" t="s">
        <v>1690</v>
      </c>
      <c r="B1374" t="s">
        <v>1526</v>
      </c>
      <c r="C1374" t="s">
        <v>404</v>
      </c>
      <c r="D1374">
        <v>78</v>
      </c>
      <c r="E1374">
        <v>156</v>
      </c>
      <c r="F1374">
        <v>0</v>
      </c>
      <c r="G1374">
        <v>0</v>
      </c>
      <c r="H1374">
        <v>0</v>
      </c>
      <c r="I1374">
        <v>0</v>
      </c>
      <c r="J1374">
        <v>0</v>
      </c>
      <c r="K1374">
        <v>0</v>
      </c>
      <c r="L1374">
        <v>0</v>
      </c>
      <c r="M1374">
        <v>0</v>
      </c>
      <c r="N1374">
        <v>0</v>
      </c>
      <c r="O1374">
        <v>0</v>
      </c>
    </row>
    <row r="1375" spans="1:15">
      <c r="A1375" t="s">
        <v>1691</v>
      </c>
      <c r="B1375" t="s">
        <v>1526</v>
      </c>
      <c r="C1375" t="s">
        <v>404</v>
      </c>
      <c r="D1375">
        <v>79</v>
      </c>
      <c r="E1375">
        <v>156</v>
      </c>
      <c r="F1375">
        <v>0</v>
      </c>
      <c r="G1375">
        <v>0</v>
      </c>
      <c r="H1375">
        <v>0</v>
      </c>
      <c r="I1375">
        <v>0</v>
      </c>
      <c r="J1375">
        <v>0</v>
      </c>
      <c r="K1375">
        <v>0</v>
      </c>
      <c r="L1375">
        <v>0</v>
      </c>
      <c r="M1375">
        <v>0</v>
      </c>
      <c r="N1375">
        <v>0</v>
      </c>
      <c r="O1375">
        <v>0</v>
      </c>
    </row>
    <row r="1376" spans="1:15">
      <c r="A1376" t="s">
        <v>1692</v>
      </c>
      <c r="B1376" t="s">
        <v>1526</v>
      </c>
      <c r="C1376" t="s">
        <v>404</v>
      </c>
      <c r="D1376">
        <v>80</v>
      </c>
      <c r="E1376">
        <v>156</v>
      </c>
      <c r="F1376">
        <v>0</v>
      </c>
      <c r="G1376">
        <v>0</v>
      </c>
      <c r="H1376">
        <v>0</v>
      </c>
      <c r="I1376">
        <v>0</v>
      </c>
      <c r="J1376">
        <v>0</v>
      </c>
      <c r="K1376">
        <v>0</v>
      </c>
      <c r="L1376">
        <v>0</v>
      </c>
      <c r="M1376">
        <v>0</v>
      </c>
      <c r="N1376">
        <v>0</v>
      </c>
      <c r="O1376">
        <v>0</v>
      </c>
    </row>
    <row r="1377" spans="1:15">
      <c r="A1377" t="s">
        <v>1693</v>
      </c>
      <c r="B1377" t="s">
        <v>1526</v>
      </c>
      <c r="C1377" t="s">
        <v>404</v>
      </c>
      <c r="D1377">
        <v>81</v>
      </c>
      <c r="E1377">
        <v>156</v>
      </c>
      <c r="F1377">
        <v>0</v>
      </c>
      <c r="G1377">
        <v>0</v>
      </c>
      <c r="H1377">
        <v>0</v>
      </c>
      <c r="I1377">
        <v>0</v>
      </c>
      <c r="J1377">
        <v>0</v>
      </c>
      <c r="K1377">
        <v>0</v>
      </c>
      <c r="L1377">
        <v>0</v>
      </c>
      <c r="M1377">
        <v>0</v>
      </c>
      <c r="N1377">
        <v>0</v>
      </c>
      <c r="O1377">
        <v>0</v>
      </c>
    </row>
    <row r="1378" spans="1:15">
      <c r="A1378" t="s">
        <v>1694</v>
      </c>
      <c r="B1378" t="s">
        <v>1526</v>
      </c>
      <c r="C1378" t="s">
        <v>404</v>
      </c>
      <c r="D1378">
        <v>82</v>
      </c>
      <c r="E1378">
        <v>156</v>
      </c>
      <c r="F1378">
        <v>0</v>
      </c>
      <c r="G1378">
        <v>0</v>
      </c>
      <c r="H1378">
        <v>0</v>
      </c>
      <c r="I1378">
        <v>0</v>
      </c>
      <c r="J1378">
        <v>0</v>
      </c>
      <c r="K1378">
        <v>0</v>
      </c>
      <c r="L1378">
        <v>0</v>
      </c>
      <c r="M1378">
        <v>0</v>
      </c>
      <c r="N1378">
        <v>0</v>
      </c>
      <c r="O1378">
        <v>0</v>
      </c>
    </row>
    <row r="1379" spans="1:15">
      <c r="A1379" t="s">
        <v>1695</v>
      </c>
      <c r="B1379" t="s">
        <v>1526</v>
      </c>
      <c r="C1379" t="s">
        <v>404</v>
      </c>
      <c r="D1379">
        <v>83</v>
      </c>
      <c r="E1379">
        <v>156</v>
      </c>
      <c r="F1379">
        <v>0</v>
      </c>
      <c r="G1379">
        <v>0</v>
      </c>
      <c r="H1379">
        <v>0</v>
      </c>
      <c r="I1379">
        <v>0</v>
      </c>
      <c r="J1379">
        <v>0</v>
      </c>
      <c r="K1379">
        <v>0</v>
      </c>
      <c r="L1379">
        <v>0</v>
      </c>
      <c r="M1379">
        <v>0</v>
      </c>
      <c r="N1379">
        <v>0</v>
      </c>
      <c r="O1379">
        <v>0</v>
      </c>
    </row>
    <row r="1380" spans="1:15">
      <c r="A1380" t="s">
        <v>1696</v>
      </c>
      <c r="B1380" t="s">
        <v>1526</v>
      </c>
      <c r="C1380" t="s">
        <v>404</v>
      </c>
      <c r="D1380">
        <v>84</v>
      </c>
      <c r="E1380">
        <v>156</v>
      </c>
      <c r="F1380">
        <v>0</v>
      </c>
      <c r="G1380">
        <v>0</v>
      </c>
      <c r="H1380">
        <v>0</v>
      </c>
      <c r="I1380">
        <v>0</v>
      </c>
      <c r="J1380">
        <v>0</v>
      </c>
      <c r="K1380">
        <v>0</v>
      </c>
      <c r="L1380">
        <v>0</v>
      </c>
      <c r="M1380">
        <v>0</v>
      </c>
      <c r="N1380">
        <v>0</v>
      </c>
      <c r="O1380">
        <v>0</v>
      </c>
    </row>
    <row r="1381" spans="1:15">
      <c r="A1381" t="s">
        <v>1697</v>
      </c>
      <c r="B1381" t="s">
        <v>1526</v>
      </c>
      <c r="C1381" t="s">
        <v>404</v>
      </c>
      <c r="D1381">
        <v>85</v>
      </c>
      <c r="E1381">
        <v>156</v>
      </c>
      <c r="F1381">
        <v>0</v>
      </c>
      <c r="G1381">
        <v>0</v>
      </c>
      <c r="H1381">
        <v>0</v>
      </c>
      <c r="I1381">
        <v>0</v>
      </c>
      <c r="J1381">
        <v>0</v>
      </c>
      <c r="K1381">
        <v>0</v>
      </c>
      <c r="L1381">
        <v>0</v>
      </c>
      <c r="M1381">
        <v>0</v>
      </c>
      <c r="N1381">
        <v>0</v>
      </c>
      <c r="O1381">
        <v>0</v>
      </c>
    </row>
    <row r="1383" spans="1:15">
      <c r="A1383" t="s">
        <v>1698</v>
      </c>
      <c r="B1383" t="s">
        <v>292</v>
      </c>
      <c r="C1383" t="s">
        <v>317</v>
      </c>
      <c r="D1383">
        <v>0</v>
      </c>
      <c r="E1383">
        <v>156</v>
      </c>
      <c r="F1383">
        <v>0</v>
      </c>
      <c r="G1383">
        <v>0</v>
      </c>
      <c r="H1383">
        <v>0</v>
      </c>
      <c r="I1383">
        <v>0</v>
      </c>
      <c r="J1383">
        <v>0</v>
      </c>
      <c r="K1383">
        <v>0</v>
      </c>
      <c r="L1383">
        <v>0</v>
      </c>
      <c r="M1383">
        <v>0</v>
      </c>
      <c r="N1383">
        <v>0</v>
      </c>
      <c r="O1383">
        <v>0</v>
      </c>
    </row>
    <row r="1384" spans="1:15">
      <c r="A1384" t="s">
        <v>1699</v>
      </c>
      <c r="B1384" t="s">
        <v>292</v>
      </c>
      <c r="C1384" t="s">
        <v>317</v>
      </c>
      <c r="D1384">
        <v>1</v>
      </c>
      <c r="E1384">
        <v>156</v>
      </c>
      <c r="F1384">
        <v>0</v>
      </c>
      <c r="G1384">
        <v>0</v>
      </c>
      <c r="H1384">
        <v>0</v>
      </c>
      <c r="I1384">
        <v>0</v>
      </c>
      <c r="J1384">
        <v>0</v>
      </c>
      <c r="K1384">
        <v>0</v>
      </c>
      <c r="L1384">
        <v>0</v>
      </c>
      <c r="M1384">
        <v>0</v>
      </c>
      <c r="N1384">
        <v>0</v>
      </c>
      <c r="O1384">
        <v>0</v>
      </c>
    </row>
    <row r="1385" spans="1:15">
      <c r="A1385" t="s">
        <v>1700</v>
      </c>
      <c r="B1385" t="s">
        <v>292</v>
      </c>
      <c r="C1385" t="s">
        <v>317</v>
      </c>
      <c r="D1385">
        <v>2</v>
      </c>
      <c r="E1385">
        <v>156</v>
      </c>
      <c r="F1385">
        <v>0</v>
      </c>
      <c r="G1385">
        <v>0</v>
      </c>
      <c r="H1385">
        <v>0</v>
      </c>
      <c r="I1385">
        <v>0</v>
      </c>
      <c r="J1385">
        <v>0</v>
      </c>
      <c r="K1385">
        <v>0</v>
      </c>
      <c r="L1385">
        <v>0</v>
      </c>
      <c r="M1385">
        <v>0</v>
      </c>
      <c r="N1385">
        <v>0</v>
      </c>
      <c r="O1385">
        <v>0</v>
      </c>
    </row>
    <row r="1386" spans="1:15">
      <c r="A1386" t="s">
        <v>1701</v>
      </c>
      <c r="B1386" t="s">
        <v>292</v>
      </c>
      <c r="C1386" t="s">
        <v>317</v>
      </c>
      <c r="D1386">
        <v>3</v>
      </c>
      <c r="E1386">
        <v>156</v>
      </c>
      <c r="F1386">
        <v>0</v>
      </c>
      <c r="G1386">
        <v>0</v>
      </c>
      <c r="H1386">
        <v>0</v>
      </c>
      <c r="I1386">
        <v>0</v>
      </c>
      <c r="J1386">
        <v>0</v>
      </c>
      <c r="K1386">
        <v>0</v>
      </c>
      <c r="L1386">
        <v>0</v>
      </c>
      <c r="M1386">
        <v>0</v>
      </c>
      <c r="N1386">
        <v>0</v>
      </c>
      <c r="O1386">
        <v>0</v>
      </c>
    </row>
    <row r="1387" spans="1:15">
      <c r="A1387" t="s">
        <v>1702</v>
      </c>
      <c r="B1387" t="s">
        <v>292</v>
      </c>
      <c r="C1387" t="s">
        <v>317</v>
      </c>
      <c r="D1387">
        <v>4</v>
      </c>
      <c r="E1387">
        <v>156</v>
      </c>
      <c r="F1387">
        <v>0</v>
      </c>
      <c r="G1387">
        <v>0</v>
      </c>
      <c r="H1387">
        <v>0</v>
      </c>
      <c r="I1387">
        <v>0</v>
      </c>
      <c r="J1387">
        <v>0</v>
      </c>
      <c r="K1387">
        <v>0</v>
      </c>
      <c r="L1387">
        <v>0</v>
      </c>
      <c r="M1387">
        <v>0</v>
      </c>
      <c r="N1387">
        <v>0</v>
      </c>
      <c r="O1387">
        <v>0</v>
      </c>
    </row>
    <row r="1388" spans="1:15">
      <c r="A1388" t="s">
        <v>1703</v>
      </c>
      <c r="B1388" t="s">
        <v>292</v>
      </c>
      <c r="C1388" t="s">
        <v>317</v>
      </c>
      <c r="D1388">
        <v>5</v>
      </c>
      <c r="E1388">
        <v>156</v>
      </c>
      <c r="F1388">
        <v>0</v>
      </c>
      <c r="G1388">
        <v>0</v>
      </c>
      <c r="H1388">
        <v>0</v>
      </c>
      <c r="I1388">
        <v>0</v>
      </c>
      <c r="J1388">
        <v>0</v>
      </c>
      <c r="K1388">
        <v>0</v>
      </c>
      <c r="L1388">
        <v>0</v>
      </c>
      <c r="M1388">
        <v>0</v>
      </c>
      <c r="N1388">
        <v>0</v>
      </c>
      <c r="O1388">
        <v>0</v>
      </c>
    </row>
    <row r="1389" spans="1:15">
      <c r="A1389" t="s">
        <v>1704</v>
      </c>
      <c r="B1389" t="s">
        <v>292</v>
      </c>
      <c r="C1389" t="s">
        <v>317</v>
      </c>
      <c r="D1389">
        <v>6</v>
      </c>
      <c r="E1389">
        <v>156</v>
      </c>
      <c r="F1389">
        <v>0</v>
      </c>
      <c r="G1389">
        <v>0</v>
      </c>
      <c r="H1389">
        <v>0</v>
      </c>
      <c r="I1389">
        <v>0</v>
      </c>
      <c r="J1389">
        <v>0</v>
      </c>
      <c r="K1389">
        <v>0</v>
      </c>
      <c r="L1389">
        <v>0</v>
      </c>
      <c r="M1389">
        <v>0</v>
      </c>
      <c r="N1389">
        <v>0</v>
      </c>
      <c r="O1389">
        <v>0</v>
      </c>
    </row>
    <row r="1390" spans="1:15">
      <c r="A1390" t="s">
        <v>1705</v>
      </c>
      <c r="B1390" t="s">
        <v>292</v>
      </c>
      <c r="C1390" t="s">
        <v>317</v>
      </c>
      <c r="D1390">
        <v>7</v>
      </c>
      <c r="E1390">
        <v>156</v>
      </c>
      <c r="F1390">
        <v>0</v>
      </c>
      <c r="G1390">
        <v>0</v>
      </c>
      <c r="H1390">
        <v>0</v>
      </c>
      <c r="I1390">
        <v>0</v>
      </c>
      <c r="J1390">
        <v>0</v>
      </c>
      <c r="K1390">
        <v>0</v>
      </c>
      <c r="L1390">
        <v>0</v>
      </c>
      <c r="M1390">
        <v>0</v>
      </c>
      <c r="N1390">
        <v>0</v>
      </c>
      <c r="O1390">
        <v>0</v>
      </c>
    </row>
    <row r="1391" spans="1:15">
      <c r="A1391" t="s">
        <v>1706</v>
      </c>
      <c r="B1391" t="s">
        <v>292</v>
      </c>
      <c r="C1391" t="s">
        <v>317</v>
      </c>
      <c r="D1391">
        <v>8</v>
      </c>
      <c r="E1391">
        <v>156</v>
      </c>
      <c r="F1391">
        <v>0</v>
      </c>
      <c r="G1391">
        <v>0</v>
      </c>
      <c r="H1391">
        <v>0</v>
      </c>
      <c r="I1391">
        <v>0</v>
      </c>
      <c r="J1391">
        <v>0</v>
      </c>
      <c r="K1391">
        <v>0</v>
      </c>
      <c r="L1391">
        <v>0</v>
      </c>
      <c r="M1391">
        <v>0</v>
      </c>
      <c r="N1391">
        <v>0</v>
      </c>
      <c r="O1391">
        <v>0</v>
      </c>
    </row>
    <row r="1392" spans="1:15">
      <c r="A1392" t="s">
        <v>1707</v>
      </c>
      <c r="B1392" t="s">
        <v>292</v>
      </c>
      <c r="C1392" t="s">
        <v>317</v>
      </c>
      <c r="D1392">
        <v>9</v>
      </c>
      <c r="E1392">
        <v>156</v>
      </c>
      <c r="F1392">
        <v>0</v>
      </c>
      <c r="G1392">
        <v>0</v>
      </c>
      <c r="H1392">
        <v>0</v>
      </c>
      <c r="I1392">
        <v>0</v>
      </c>
      <c r="J1392">
        <v>0</v>
      </c>
      <c r="K1392">
        <v>0</v>
      </c>
      <c r="L1392">
        <v>0</v>
      </c>
      <c r="M1392">
        <v>0</v>
      </c>
      <c r="N1392">
        <v>0</v>
      </c>
      <c r="O1392">
        <v>0</v>
      </c>
    </row>
    <row r="1393" spans="1:15">
      <c r="A1393" t="s">
        <v>1708</v>
      </c>
      <c r="B1393" t="s">
        <v>292</v>
      </c>
      <c r="C1393" t="s">
        <v>317</v>
      </c>
      <c r="D1393">
        <v>10</v>
      </c>
      <c r="E1393">
        <v>156</v>
      </c>
      <c r="F1393">
        <v>0</v>
      </c>
      <c r="G1393">
        <v>0</v>
      </c>
      <c r="H1393">
        <v>0</v>
      </c>
      <c r="I1393">
        <v>0</v>
      </c>
      <c r="J1393">
        <v>0</v>
      </c>
      <c r="K1393">
        <v>0</v>
      </c>
      <c r="L1393">
        <v>0</v>
      </c>
      <c r="M1393">
        <v>0</v>
      </c>
      <c r="N1393">
        <v>0</v>
      </c>
      <c r="O1393">
        <v>0</v>
      </c>
    </row>
    <row r="1394" spans="1:15">
      <c r="A1394" t="s">
        <v>1709</v>
      </c>
      <c r="B1394" t="s">
        <v>292</v>
      </c>
      <c r="C1394" t="s">
        <v>317</v>
      </c>
      <c r="D1394">
        <v>11</v>
      </c>
      <c r="E1394">
        <v>156</v>
      </c>
      <c r="F1394">
        <v>0</v>
      </c>
      <c r="G1394">
        <v>0</v>
      </c>
      <c r="H1394">
        <v>0</v>
      </c>
      <c r="I1394">
        <v>0</v>
      </c>
      <c r="J1394">
        <v>0</v>
      </c>
      <c r="K1394">
        <v>0</v>
      </c>
      <c r="L1394">
        <v>0</v>
      </c>
      <c r="M1394">
        <v>0</v>
      </c>
      <c r="N1394">
        <v>0</v>
      </c>
      <c r="O1394">
        <v>0</v>
      </c>
    </row>
    <row r="1395" spans="1:15">
      <c r="A1395" t="s">
        <v>1710</v>
      </c>
      <c r="B1395" t="s">
        <v>292</v>
      </c>
      <c r="C1395" t="s">
        <v>317</v>
      </c>
      <c r="D1395">
        <v>12</v>
      </c>
      <c r="E1395">
        <v>156</v>
      </c>
      <c r="F1395">
        <v>0</v>
      </c>
      <c r="G1395">
        <v>0</v>
      </c>
      <c r="H1395">
        <v>0</v>
      </c>
      <c r="I1395">
        <v>0</v>
      </c>
      <c r="J1395">
        <v>0</v>
      </c>
      <c r="K1395">
        <v>0</v>
      </c>
      <c r="L1395">
        <v>0</v>
      </c>
      <c r="M1395">
        <v>0</v>
      </c>
      <c r="N1395">
        <v>0</v>
      </c>
      <c r="O1395">
        <v>0</v>
      </c>
    </row>
    <row r="1396" spans="1:15">
      <c r="A1396" t="s">
        <v>1711</v>
      </c>
      <c r="B1396" t="s">
        <v>292</v>
      </c>
      <c r="C1396" t="s">
        <v>317</v>
      </c>
      <c r="D1396">
        <v>13</v>
      </c>
      <c r="E1396">
        <v>156</v>
      </c>
      <c r="F1396">
        <v>0</v>
      </c>
      <c r="G1396">
        <v>0</v>
      </c>
      <c r="H1396">
        <v>0</v>
      </c>
      <c r="I1396">
        <v>0</v>
      </c>
      <c r="J1396">
        <v>0</v>
      </c>
      <c r="K1396">
        <v>0</v>
      </c>
      <c r="L1396">
        <v>0</v>
      </c>
      <c r="M1396">
        <v>0</v>
      </c>
      <c r="N1396">
        <v>0</v>
      </c>
      <c r="O1396">
        <v>0</v>
      </c>
    </row>
    <row r="1397" spans="1:15">
      <c r="A1397" t="s">
        <v>1712</v>
      </c>
      <c r="B1397" t="s">
        <v>292</v>
      </c>
      <c r="C1397" t="s">
        <v>317</v>
      </c>
      <c r="D1397">
        <v>14</v>
      </c>
      <c r="E1397">
        <v>156</v>
      </c>
      <c r="F1397">
        <v>0</v>
      </c>
      <c r="G1397">
        <v>0</v>
      </c>
      <c r="H1397">
        <v>0</v>
      </c>
      <c r="I1397">
        <v>0</v>
      </c>
      <c r="J1397">
        <v>0</v>
      </c>
      <c r="K1397">
        <v>0</v>
      </c>
      <c r="L1397">
        <v>0</v>
      </c>
      <c r="M1397">
        <v>0</v>
      </c>
      <c r="N1397">
        <v>0</v>
      </c>
      <c r="O1397">
        <v>0</v>
      </c>
    </row>
    <row r="1398" spans="1:15">
      <c r="A1398" t="s">
        <v>1713</v>
      </c>
      <c r="B1398" t="s">
        <v>292</v>
      </c>
      <c r="C1398" t="s">
        <v>317</v>
      </c>
      <c r="D1398">
        <v>15</v>
      </c>
      <c r="E1398">
        <v>156</v>
      </c>
      <c r="F1398">
        <v>0</v>
      </c>
      <c r="G1398">
        <v>0</v>
      </c>
      <c r="H1398">
        <v>0</v>
      </c>
      <c r="I1398">
        <v>0</v>
      </c>
      <c r="J1398">
        <v>0</v>
      </c>
      <c r="K1398">
        <v>0</v>
      </c>
      <c r="L1398">
        <v>0</v>
      </c>
      <c r="M1398">
        <v>0</v>
      </c>
      <c r="N1398">
        <v>0</v>
      </c>
      <c r="O1398">
        <v>0</v>
      </c>
    </row>
    <row r="1399" spans="1:15">
      <c r="A1399" t="s">
        <v>1714</v>
      </c>
      <c r="B1399" t="s">
        <v>292</v>
      </c>
      <c r="C1399" t="s">
        <v>317</v>
      </c>
      <c r="D1399">
        <v>16</v>
      </c>
      <c r="E1399">
        <v>156</v>
      </c>
      <c r="F1399">
        <v>0</v>
      </c>
      <c r="G1399">
        <v>0</v>
      </c>
      <c r="H1399">
        <v>0</v>
      </c>
      <c r="I1399">
        <v>0</v>
      </c>
      <c r="J1399">
        <v>0</v>
      </c>
      <c r="K1399">
        <v>0</v>
      </c>
      <c r="L1399">
        <v>0</v>
      </c>
      <c r="M1399">
        <v>0</v>
      </c>
      <c r="N1399">
        <v>0</v>
      </c>
      <c r="O1399">
        <v>0</v>
      </c>
    </row>
    <row r="1400" spans="1:15">
      <c r="A1400" t="s">
        <v>1715</v>
      </c>
      <c r="B1400" t="s">
        <v>292</v>
      </c>
      <c r="C1400" t="s">
        <v>317</v>
      </c>
      <c r="D1400">
        <v>17</v>
      </c>
      <c r="E1400">
        <v>156</v>
      </c>
      <c r="F1400">
        <v>0</v>
      </c>
      <c r="G1400">
        <v>0</v>
      </c>
      <c r="H1400">
        <v>0</v>
      </c>
      <c r="I1400">
        <v>0</v>
      </c>
      <c r="J1400">
        <v>0</v>
      </c>
      <c r="K1400">
        <v>0</v>
      </c>
      <c r="L1400">
        <v>0</v>
      </c>
      <c r="M1400">
        <v>0</v>
      </c>
      <c r="N1400">
        <v>0</v>
      </c>
      <c r="O1400">
        <v>0</v>
      </c>
    </row>
    <row r="1401" spans="1:15">
      <c r="A1401" t="s">
        <v>1716</v>
      </c>
      <c r="B1401" t="s">
        <v>292</v>
      </c>
      <c r="C1401" t="s">
        <v>317</v>
      </c>
      <c r="D1401">
        <v>18</v>
      </c>
      <c r="E1401">
        <v>156</v>
      </c>
      <c r="F1401">
        <v>0</v>
      </c>
      <c r="G1401">
        <v>0</v>
      </c>
      <c r="H1401">
        <v>0</v>
      </c>
      <c r="I1401">
        <v>0</v>
      </c>
      <c r="J1401">
        <v>0</v>
      </c>
      <c r="K1401">
        <v>0</v>
      </c>
      <c r="L1401">
        <v>0</v>
      </c>
      <c r="M1401">
        <v>0</v>
      </c>
      <c r="N1401">
        <v>0</v>
      </c>
      <c r="O1401">
        <v>0</v>
      </c>
    </row>
    <row r="1402" spans="1:15">
      <c r="A1402" t="s">
        <v>1717</v>
      </c>
      <c r="B1402" t="s">
        <v>292</v>
      </c>
      <c r="C1402" t="s">
        <v>317</v>
      </c>
      <c r="D1402">
        <v>19</v>
      </c>
      <c r="E1402">
        <v>156</v>
      </c>
      <c r="F1402">
        <v>0</v>
      </c>
      <c r="G1402">
        <v>0</v>
      </c>
      <c r="H1402">
        <v>0</v>
      </c>
      <c r="I1402">
        <v>0</v>
      </c>
      <c r="J1402">
        <v>0</v>
      </c>
      <c r="K1402">
        <v>0</v>
      </c>
      <c r="L1402">
        <v>0</v>
      </c>
      <c r="M1402">
        <v>0</v>
      </c>
      <c r="N1402">
        <v>0</v>
      </c>
      <c r="O1402">
        <v>0</v>
      </c>
    </row>
    <row r="1403" spans="1:15">
      <c r="A1403" t="s">
        <v>1718</v>
      </c>
      <c r="B1403" t="s">
        <v>292</v>
      </c>
      <c r="C1403" t="s">
        <v>317</v>
      </c>
      <c r="D1403">
        <v>20</v>
      </c>
      <c r="E1403">
        <v>156</v>
      </c>
      <c r="F1403">
        <v>0</v>
      </c>
      <c r="G1403">
        <v>0</v>
      </c>
      <c r="H1403">
        <v>0</v>
      </c>
      <c r="I1403">
        <v>0</v>
      </c>
      <c r="J1403">
        <v>0</v>
      </c>
      <c r="K1403">
        <v>0</v>
      </c>
      <c r="L1403">
        <v>0</v>
      </c>
      <c r="M1403">
        <v>0</v>
      </c>
      <c r="N1403">
        <v>0</v>
      </c>
      <c r="O1403">
        <v>0</v>
      </c>
    </row>
    <row r="1404" spans="1:15">
      <c r="A1404" t="s">
        <v>1719</v>
      </c>
      <c r="B1404" t="s">
        <v>292</v>
      </c>
      <c r="C1404" t="s">
        <v>317</v>
      </c>
      <c r="D1404">
        <v>21</v>
      </c>
      <c r="E1404">
        <v>156</v>
      </c>
      <c r="F1404">
        <v>0</v>
      </c>
      <c r="G1404">
        <v>0</v>
      </c>
      <c r="H1404">
        <v>0</v>
      </c>
      <c r="I1404">
        <v>0</v>
      </c>
      <c r="J1404">
        <v>0</v>
      </c>
      <c r="K1404">
        <v>0</v>
      </c>
      <c r="L1404">
        <v>0</v>
      </c>
      <c r="M1404">
        <v>0</v>
      </c>
      <c r="N1404">
        <v>0</v>
      </c>
      <c r="O1404">
        <v>0</v>
      </c>
    </row>
    <row r="1405" spans="1:15">
      <c r="A1405" t="s">
        <v>1720</v>
      </c>
      <c r="B1405" t="s">
        <v>292</v>
      </c>
      <c r="C1405" t="s">
        <v>317</v>
      </c>
      <c r="D1405">
        <v>22</v>
      </c>
      <c r="E1405">
        <v>156</v>
      </c>
      <c r="F1405">
        <v>0</v>
      </c>
      <c r="G1405">
        <v>0</v>
      </c>
      <c r="H1405">
        <v>0</v>
      </c>
      <c r="I1405">
        <v>0</v>
      </c>
      <c r="J1405">
        <v>0</v>
      </c>
      <c r="K1405">
        <v>0</v>
      </c>
      <c r="L1405">
        <v>0</v>
      </c>
      <c r="M1405">
        <v>0</v>
      </c>
      <c r="N1405">
        <v>0</v>
      </c>
      <c r="O1405">
        <v>0</v>
      </c>
    </row>
    <row r="1406" spans="1:15">
      <c r="A1406" t="s">
        <v>1721</v>
      </c>
      <c r="B1406" t="s">
        <v>292</v>
      </c>
      <c r="C1406" t="s">
        <v>317</v>
      </c>
      <c r="D1406">
        <v>23</v>
      </c>
      <c r="E1406">
        <v>156</v>
      </c>
      <c r="F1406">
        <v>0</v>
      </c>
      <c r="G1406">
        <v>0</v>
      </c>
      <c r="H1406">
        <v>0</v>
      </c>
      <c r="I1406">
        <v>0</v>
      </c>
      <c r="J1406">
        <v>0</v>
      </c>
      <c r="K1406">
        <v>0</v>
      </c>
      <c r="L1406">
        <v>0</v>
      </c>
      <c r="M1406">
        <v>0</v>
      </c>
      <c r="N1406">
        <v>0</v>
      </c>
      <c r="O1406">
        <v>0</v>
      </c>
    </row>
    <row r="1407" spans="1:15">
      <c r="A1407" t="s">
        <v>1722</v>
      </c>
      <c r="B1407" t="s">
        <v>292</v>
      </c>
      <c r="C1407" t="s">
        <v>317</v>
      </c>
      <c r="D1407">
        <v>24</v>
      </c>
      <c r="E1407">
        <v>156</v>
      </c>
      <c r="F1407">
        <v>0</v>
      </c>
      <c r="G1407">
        <v>0</v>
      </c>
      <c r="H1407">
        <v>0</v>
      </c>
      <c r="I1407">
        <v>0</v>
      </c>
      <c r="J1407">
        <v>0</v>
      </c>
      <c r="K1407">
        <v>0</v>
      </c>
      <c r="L1407">
        <v>0</v>
      </c>
      <c r="M1407">
        <v>0</v>
      </c>
      <c r="N1407">
        <v>0</v>
      </c>
      <c r="O1407">
        <v>0</v>
      </c>
    </row>
    <row r="1408" spans="1:15">
      <c r="A1408" t="s">
        <v>1723</v>
      </c>
      <c r="B1408" t="s">
        <v>292</v>
      </c>
      <c r="C1408" t="s">
        <v>317</v>
      </c>
      <c r="D1408">
        <v>25</v>
      </c>
      <c r="E1408">
        <v>156</v>
      </c>
      <c r="F1408">
        <v>0</v>
      </c>
      <c r="G1408">
        <v>0</v>
      </c>
      <c r="H1408">
        <v>0</v>
      </c>
      <c r="I1408">
        <v>0</v>
      </c>
      <c r="J1408">
        <v>0</v>
      </c>
      <c r="K1408">
        <v>0</v>
      </c>
      <c r="L1408">
        <v>0</v>
      </c>
      <c r="M1408">
        <v>0</v>
      </c>
      <c r="N1408">
        <v>0</v>
      </c>
      <c r="O1408">
        <v>0</v>
      </c>
    </row>
    <row r="1409" spans="1:15">
      <c r="A1409" t="s">
        <v>1724</v>
      </c>
      <c r="B1409" t="s">
        <v>292</v>
      </c>
      <c r="C1409" t="s">
        <v>317</v>
      </c>
      <c r="D1409">
        <v>26</v>
      </c>
      <c r="E1409">
        <v>156</v>
      </c>
      <c r="F1409">
        <v>0</v>
      </c>
      <c r="G1409">
        <v>0</v>
      </c>
      <c r="H1409">
        <v>0</v>
      </c>
      <c r="I1409">
        <v>0</v>
      </c>
      <c r="J1409">
        <v>0</v>
      </c>
      <c r="K1409">
        <v>0</v>
      </c>
      <c r="L1409">
        <v>0</v>
      </c>
      <c r="M1409">
        <v>0</v>
      </c>
      <c r="N1409">
        <v>0</v>
      </c>
      <c r="O1409">
        <v>0</v>
      </c>
    </row>
    <row r="1410" spans="1:15">
      <c r="A1410" t="s">
        <v>1725</v>
      </c>
      <c r="B1410" t="s">
        <v>292</v>
      </c>
      <c r="C1410" t="s">
        <v>317</v>
      </c>
      <c r="D1410">
        <v>27</v>
      </c>
      <c r="E1410">
        <v>156</v>
      </c>
      <c r="F1410">
        <v>0</v>
      </c>
      <c r="G1410">
        <v>0</v>
      </c>
      <c r="H1410">
        <v>0</v>
      </c>
      <c r="I1410">
        <v>0</v>
      </c>
      <c r="J1410">
        <v>0</v>
      </c>
      <c r="K1410">
        <v>0</v>
      </c>
      <c r="L1410">
        <v>0</v>
      </c>
      <c r="M1410">
        <v>0</v>
      </c>
      <c r="N1410">
        <v>0</v>
      </c>
      <c r="O1410">
        <v>0</v>
      </c>
    </row>
    <row r="1411" spans="1:15">
      <c r="A1411" t="s">
        <v>1726</v>
      </c>
      <c r="B1411" t="s">
        <v>292</v>
      </c>
      <c r="C1411" t="s">
        <v>317</v>
      </c>
      <c r="D1411">
        <v>28</v>
      </c>
      <c r="E1411">
        <v>156</v>
      </c>
      <c r="F1411">
        <v>0</v>
      </c>
      <c r="G1411">
        <v>0</v>
      </c>
      <c r="H1411">
        <v>0</v>
      </c>
      <c r="I1411">
        <v>0</v>
      </c>
      <c r="J1411">
        <v>0</v>
      </c>
      <c r="K1411">
        <v>0</v>
      </c>
      <c r="L1411">
        <v>0</v>
      </c>
      <c r="M1411">
        <v>0</v>
      </c>
      <c r="N1411">
        <v>0</v>
      </c>
      <c r="O1411">
        <v>0</v>
      </c>
    </row>
    <row r="1412" spans="1:15">
      <c r="A1412" t="s">
        <v>1727</v>
      </c>
      <c r="B1412" t="s">
        <v>292</v>
      </c>
      <c r="C1412" t="s">
        <v>317</v>
      </c>
      <c r="D1412">
        <v>29</v>
      </c>
      <c r="E1412">
        <v>156</v>
      </c>
      <c r="F1412">
        <v>0</v>
      </c>
      <c r="G1412">
        <v>0</v>
      </c>
      <c r="H1412">
        <v>0</v>
      </c>
      <c r="I1412">
        <v>0</v>
      </c>
      <c r="J1412">
        <v>0</v>
      </c>
      <c r="K1412">
        <v>0</v>
      </c>
      <c r="L1412">
        <v>0</v>
      </c>
      <c r="M1412">
        <v>0</v>
      </c>
      <c r="N1412">
        <v>0</v>
      </c>
      <c r="O1412">
        <v>0</v>
      </c>
    </row>
    <row r="1413" spans="1:15">
      <c r="A1413" t="s">
        <v>1728</v>
      </c>
      <c r="B1413" t="s">
        <v>292</v>
      </c>
      <c r="C1413" t="s">
        <v>317</v>
      </c>
      <c r="D1413">
        <v>30</v>
      </c>
      <c r="E1413">
        <v>156</v>
      </c>
      <c r="F1413">
        <v>0</v>
      </c>
      <c r="G1413">
        <v>0</v>
      </c>
      <c r="H1413">
        <v>0</v>
      </c>
      <c r="I1413">
        <v>0</v>
      </c>
      <c r="J1413">
        <v>0</v>
      </c>
      <c r="K1413">
        <v>0</v>
      </c>
      <c r="L1413">
        <v>0</v>
      </c>
      <c r="M1413">
        <v>0</v>
      </c>
      <c r="N1413">
        <v>0</v>
      </c>
      <c r="O1413">
        <v>0</v>
      </c>
    </row>
    <row r="1414" spans="1:15">
      <c r="A1414" t="s">
        <v>1729</v>
      </c>
      <c r="B1414" t="s">
        <v>292</v>
      </c>
      <c r="C1414" t="s">
        <v>317</v>
      </c>
      <c r="D1414">
        <v>31</v>
      </c>
      <c r="E1414">
        <v>156</v>
      </c>
      <c r="F1414">
        <v>0</v>
      </c>
      <c r="G1414">
        <v>0</v>
      </c>
      <c r="H1414">
        <v>0</v>
      </c>
      <c r="I1414">
        <v>0</v>
      </c>
      <c r="J1414">
        <v>0</v>
      </c>
      <c r="K1414">
        <v>0</v>
      </c>
      <c r="L1414">
        <v>0</v>
      </c>
      <c r="M1414">
        <v>0</v>
      </c>
      <c r="N1414">
        <v>0</v>
      </c>
      <c r="O1414">
        <v>0</v>
      </c>
    </row>
    <row r="1415" spans="1:15">
      <c r="A1415" t="s">
        <v>1730</v>
      </c>
      <c r="B1415" t="s">
        <v>292</v>
      </c>
      <c r="C1415" t="s">
        <v>317</v>
      </c>
      <c r="D1415">
        <v>32</v>
      </c>
      <c r="E1415">
        <v>156</v>
      </c>
      <c r="F1415">
        <v>0</v>
      </c>
      <c r="G1415">
        <v>0</v>
      </c>
      <c r="H1415">
        <v>0</v>
      </c>
      <c r="I1415">
        <v>0</v>
      </c>
      <c r="J1415">
        <v>0</v>
      </c>
      <c r="K1415">
        <v>0</v>
      </c>
      <c r="L1415">
        <v>0</v>
      </c>
      <c r="M1415">
        <v>0</v>
      </c>
      <c r="N1415">
        <v>0</v>
      </c>
      <c r="O1415">
        <v>0</v>
      </c>
    </row>
    <row r="1416" spans="1:15">
      <c r="A1416" t="s">
        <v>1731</v>
      </c>
      <c r="B1416" t="s">
        <v>292</v>
      </c>
      <c r="C1416" t="s">
        <v>317</v>
      </c>
      <c r="D1416">
        <v>33</v>
      </c>
      <c r="E1416">
        <v>156</v>
      </c>
      <c r="F1416">
        <v>0</v>
      </c>
      <c r="G1416">
        <v>0</v>
      </c>
      <c r="H1416">
        <v>0</v>
      </c>
      <c r="I1416">
        <v>0</v>
      </c>
      <c r="J1416">
        <v>0</v>
      </c>
      <c r="K1416">
        <v>0</v>
      </c>
      <c r="L1416">
        <v>0</v>
      </c>
      <c r="M1416">
        <v>0</v>
      </c>
      <c r="N1416">
        <v>0</v>
      </c>
      <c r="O1416">
        <v>0</v>
      </c>
    </row>
    <row r="1417" spans="1:15">
      <c r="A1417" t="s">
        <v>1732</v>
      </c>
      <c r="B1417" t="s">
        <v>292</v>
      </c>
      <c r="C1417" t="s">
        <v>317</v>
      </c>
      <c r="D1417">
        <v>34</v>
      </c>
      <c r="E1417">
        <v>156</v>
      </c>
      <c r="F1417">
        <v>0</v>
      </c>
      <c r="G1417">
        <v>0</v>
      </c>
      <c r="H1417">
        <v>0</v>
      </c>
      <c r="I1417">
        <v>0</v>
      </c>
      <c r="J1417">
        <v>0</v>
      </c>
      <c r="K1417">
        <v>0</v>
      </c>
      <c r="L1417">
        <v>0</v>
      </c>
      <c r="M1417">
        <v>0</v>
      </c>
      <c r="N1417">
        <v>0</v>
      </c>
      <c r="O1417">
        <v>0</v>
      </c>
    </row>
    <row r="1418" spans="1:15">
      <c r="A1418" t="s">
        <v>1733</v>
      </c>
      <c r="B1418" t="s">
        <v>292</v>
      </c>
      <c r="C1418" t="s">
        <v>317</v>
      </c>
      <c r="D1418">
        <v>35</v>
      </c>
      <c r="E1418">
        <v>156</v>
      </c>
      <c r="F1418">
        <v>0</v>
      </c>
      <c r="G1418">
        <v>0</v>
      </c>
      <c r="H1418">
        <v>0</v>
      </c>
      <c r="I1418">
        <v>0</v>
      </c>
      <c r="J1418">
        <v>0</v>
      </c>
      <c r="K1418">
        <v>0</v>
      </c>
      <c r="L1418">
        <v>0</v>
      </c>
      <c r="M1418">
        <v>0</v>
      </c>
      <c r="N1418">
        <v>0</v>
      </c>
      <c r="O1418">
        <v>0</v>
      </c>
    </row>
    <row r="1419" spans="1:15">
      <c r="A1419" t="s">
        <v>1734</v>
      </c>
      <c r="B1419" t="s">
        <v>292</v>
      </c>
      <c r="C1419" t="s">
        <v>317</v>
      </c>
      <c r="D1419">
        <v>36</v>
      </c>
      <c r="E1419">
        <v>156</v>
      </c>
      <c r="F1419">
        <v>0</v>
      </c>
      <c r="G1419">
        <v>0</v>
      </c>
      <c r="H1419">
        <v>0</v>
      </c>
      <c r="I1419">
        <v>0</v>
      </c>
      <c r="J1419">
        <v>0</v>
      </c>
      <c r="K1419">
        <v>0</v>
      </c>
      <c r="L1419">
        <v>0</v>
      </c>
      <c r="M1419">
        <v>0</v>
      </c>
      <c r="N1419">
        <v>0</v>
      </c>
      <c r="O1419">
        <v>0</v>
      </c>
    </row>
    <row r="1420" spans="1:15">
      <c r="A1420" t="s">
        <v>1735</v>
      </c>
      <c r="B1420" t="s">
        <v>292</v>
      </c>
      <c r="C1420" t="s">
        <v>317</v>
      </c>
      <c r="D1420">
        <v>37</v>
      </c>
      <c r="E1420">
        <v>156</v>
      </c>
      <c r="F1420">
        <v>0</v>
      </c>
      <c r="G1420">
        <v>0</v>
      </c>
      <c r="H1420">
        <v>0</v>
      </c>
      <c r="I1420">
        <v>0</v>
      </c>
      <c r="J1420">
        <v>0</v>
      </c>
      <c r="K1420">
        <v>0</v>
      </c>
      <c r="L1420">
        <v>0</v>
      </c>
      <c r="M1420">
        <v>0</v>
      </c>
      <c r="N1420">
        <v>0</v>
      </c>
      <c r="O1420">
        <v>0</v>
      </c>
    </row>
    <row r="1421" spans="1:15">
      <c r="A1421" t="s">
        <v>1736</v>
      </c>
      <c r="B1421" t="s">
        <v>292</v>
      </c>
      <c r="C1421" t="s">
        <v>317</v>
      </c>
      <c r="D1421">
        <v>38</v>
      </c>
      <c r="E1421">
        <v>156</v>
      </c>
      <c r="F1421">
        <v>0</v>
      </c>
      <c r="G1421">
        <v>0</v>
      </c>
      <c r="H1421">
        <v>0</v>
      </c>
      <c r="I1421">
        <v>0</v>
      </c>
      <c r="J1421">
        <v>0</v>
      </c>
      <c r="K1421">
        <v>0</v>
      </c>
      <c r="L1421">
        <v>0</v>
      </c>
      <c r="M1421">
        <v>0</v>
      </c>
      <c r="N1421">
        <v>0</v>
      </c>
      <c r="O1421">
        <v>0</v>
      </c>
    </row>
    <row r="1422" spans="1:15">
      <c r="A1422" t="s">
        <v>1737</v>
      </c>
      <c r="B1422" t="s">
        <v>292</v>
      </c>
      <c r="C1422" t="s">
        <v>317</v>
      </c>
      <c r="D1422">
        <v>39</v>
      </c>
      <c r="E1422">
        <v>156</v>
      </c>
      <c r="F1422">
        <v>0</v>
      </c>
      <c r="G1422">
        <v>0</v>
      </c>
      <c r="H1422">
        <v>0</v>
      </c>
      <c r="I1422">
        <v>0</v>
      </c>
      <c r="J1422">
        <v>0</v>
      </c>
      <c r="K1422">
        <v>0</v>
      </c>
      <c r="L1422">
        <v>0</v>
      </c>
      <c r="M1422">
        <v>0</v>
      </c>
      <c r="N1422">
        <v>0</v>
      </c>
      <c r="O1422">
        <v>0</v>
      </c>
    </row>
    <row r="1423" spans="1:15">
      <c r="A1423" t="s">
        <v>1738</v>
      </c>
      <c r="B1423" t="s">
        <v>292</v>
      </c>
      <c r="C1423" t="s">
        <v>317</v>
      </c>
      <c r="D1423">
        <v>40</v>
      </c>
      <c r="E1423">
        <v>156</v>
      </c>
      <c r="F1423">
        <v>0</v>
      </c>
      <c r="G1423">
        <v>0</v>
      </c>
      <c r="H1423">
        <v>0</v>
      </c>
      <c r="I1423">
        <v>0</v>
      </c>
      <c r="J1423">
        <v>0</v>
      </c>
      <c r="K1423">
        <v>0</v>
      </c>
      <c r="L1423">
        <v>0</v>
      </c>
      <c r="M1423">
        <v>0</v>
      </c>
      <c r="N1423">
        <v>0</v>
      </c>
      <c r="O1423">
        <v>0</v>
      </c>
    </row>
    <row r="1424" spans="1:15">
      <c r="A1424" t="s">
        <v>1739</v>
      </c>
      <c r="B1424" t="s">
        <v>292</v>
      </c>
      <c r="C1424" t="s">
        <v>317</v>
      </c>
      <c r="D1424">
        <v>41</v>
      </c>
      <c r="E1424">
        <v>156</v>
      </c>
      <c r="F1424">
        <v>0</v>
      </c>
      <c r="G1424">
        <v>0</v>
      </c>
      <c r="H1424">
        <v>0</v>
      </c>
      <c r="I1424">
        <v>0</v>
      </c>
      <c r="J1424">
        <v>0</v>
      </c>
      <c r="K1424">
        <v>0</v>
      </c>
      <c r="L1424">
        <v>0</v>
      </c>
      <c r="M1424">
        <v>0</v>
      </c>
      <c r="N1424">
        <v>0</v>
      </c>
      <c r="O1424">
        <v>0</v>
      </c>
    </row>
    <row r="1425" spans="1:15">
      <c r="A1425" t="s">
        <v>1740</v>
      </c>
      <c r="B1425" t="s">
        <v>292</v>
      </c>
      <c r="C1425" t="s">
        <v>317</v>
      </c>
      <c r="D1425">
        <v>42</v>
      </c>
      <c r="E1425">
        <v>156</v>
      </c>
      <c r="F1425">
        <v>0</v>
      </c>
      <c r="G1425">
        <v>0</v>
      </c>
      <c r="H1425">
        <v>0</v>
      </c>
      <c r="I1425">
        <v>0</v>
      </c>
      <c r="J1425">
        <v>0</v>
      </c>
      <c r="K1425">
        <v>0</v>
      </c>
      <c r="L1425">
        <v>0</v>
      </c>
      <c r="M1425">
        <v>0</v>
      </c>
      <c r="N1425">
        <v>0</v>
      </c>
      <c r="O1425">
        <v>0</v>
      </c>
    </row>
    <row r="1426" spans="1:15">
      <c r="A1426" t="s">
        <v>1741</v>
      </c>
      <c r="B1426" t="s">
        <v>292</v>
      </c>
      <c r="C1426" t="s">
        <v>317</v>
      </c>
      <c r="D1426">
        <v>43</v>
      </c>
      <c r="E1426">
        <v>156</v>
      </c>
      <c r="F1426">
        <v>0</v>
      </c>
      <c r="G1426">
        <v>0</v>
      </c>
      <c r="H1426">
        <v>0</v>
      </c>
      <c r="I1426">
        <v>0</v>
      </c>
      <c r="J1426">
        <v>0</v>
      </c>
      <c r="K1426">
        <v>0</v>
      </c>
      <c r="L1426">
        <v>0</v>
      </c>
      <c r="M1426">
        <v>0</v>
      </c>
      <c r="N1426">
        <v>0</v>
      </c>
      <c r="O1426">
        <v>0</v>
      </c>
    </row>
    <row r="1427" spans="1:15">
      <c r="A1427" t="s">
        <v>1742</v>
      </c>
      <c r="B1427" t="s">
        <v>292</v>
      </c>
      <c r="C1427" t="s">
        <v>317</v>
      </c>
      <c r="D1427">
        <v>44</v>
      </c>
      <c r="E1427">
        <v>156</v>
      </c>
      <c r="F1427">
        <v>0</v>
      </c>
      <c r="G1427">
        <v>0</v>
      </c>
      <c r="H1427">
        <v>0</v>
      </c>
      <c r="I1427">
        <v>0</v>
      </c>
      <c r="J1427">
        <v>0</v>
      </c>
      <c r="K1427">
        <v>0</v>
      </c>
      <c r="L1427">
        <v>0</v>
      </c>
      <c r="M1427">
        <v>0</v>
      </c>
      <c r="N1427">
        <v>0</v>
      </c>
      <c r="O1427">
        <v>0</v>
      </c>
    </row>
    <row r="1428" spans="1:15">
      <c r="A1428" t="s">
        <v>1743</v>
      </c>
      <c r="B1428" t="s">
        <v>292</v>
      </c>
      <c r="C1428" t="s">
        <v>317</v>
      </c>
      <c r="D1428">
        <v>45</v>
      </c>
      <c r="E1428">
        <v>156</v>
      </c>
      <c r="F1428">
        <v>0</v>
      </c>
      <c r="G1428">
        <v>0</v>
      </c>
      <c r="H1428">
        <v>0</v>
      </c>
      <c r="I1428">
        <v>0</v>
      </c>
      <c r="J1428">
        <v>0</v>
      </c>
      <c r="K1428">
        <v>0</v>
      </c>
      <c r="L1428">
        <v>0</v>
      </c>
      <c r="M1428">
        <v>0</v>
      </c>
      <c r="N1428">
        <v>0</v>
      </c>
      <c r="O1428">
        <v>0</v>
      </c>
    </row>
    <row r="1429" spans="1:15">
      <c r="A1429" t="s">
        <v>1744</v>
      </c>
      <c r="B1429" t="s">
        <v>292</v>
      </c>
      <c r="C1429" t="s">
        <v>317</v>
      </c>
      <c r="D1429">
        <v>46</v>
      </c>
      <c r="E1429">
        <v>156</v>
      </c>
      <c r="F1429">
        <v>0</v>
      </c>
      <c r="G1429">
        <v>0</v>
      </c>
      <c r="H1429">
        <v>0</v>
      </c>
      <c r="I1429">
        <v>0</v>
      </c>
      <c r="J1429">
        <v>0</v>
      </c>
      <c r="K1429">
        <v>0</v>
      </c>
      <c r="L1429">
        <v>0</v>
      </c>
      <c r="M1429">
        <v>0</v>
      </c>
      <c r="N1429">
        <v>0</v>
      </c>
      <c r="O1429">
        <v>0</v>
      </c>
    </row>
    <row r="1430" spans="1:15">
      <c r="A1430" t="s">
        <v>1745</v>
      </c>
      <c r="B1430" t="s">
        <v>292</v>
      </c>
      <c r="C1430" t="s">
        <v>317</v>
      </c>
      <c r="D1430">
        <v>47</v>
      </c>
      <c r="E1430">
        <v>156</v>
      </c>
      <c r="F1430">
        <v>0</v>
      </c>
      <c r="G1430">
        <v>0</v>
      </c>
      <c r="H1430">
        <v>0</v>
      </c>
      <c r="I1430">
        <v>0</v>
      </c>
      <c r="J1430">
        <v>0</v>
      </c>
      <c r="K1430">
        <v>0</v>
      </c>
      <c r="L1430">
        <v>0</v>
      </c>
      <c r="M1430">
        <v>0</v>
      </c>
      <c r="N1430">
        <v>0</v>
      </c>
      <c r="O1430">
        <v>0</v>
      </c>
    </row>
    <row r="1431" spans="1:15">
      <c r="A1431" t="s">
        <v>1746</v>
      </c>
      <c r="B1431" t="s">
        <v>292</v>
      </c>
      <c r="C1431" t="s">
        <v>317</v>
      </c>
      <c r="D1431">
        <v>48</v>
      </c>
      <c r="E1431">
        <v>156</v>
      </c>
      <c r="F1431">
        <v>0</v>
      </c>
      <c r="G1431">
        <v>0</v>
      </c>
      <c r="H1431">
        <v>0</v>
      </c>
      <c r="I1431">
        <v>0</v>
      </c>
      <c r="J1431">
        <v>0</v>
      </c>
      <c r="K1431">
        <v>0</v>
      </c>
      <c r="L1431">
        <v>0</v>
      </c>
      <c r="M1431">
        <v>0</v>
      </c>
      <c r="N1431">
        <v>0</v>
      </c>
      <c r="O1431">
        <v>0</v>
      </c>
    </row>
    <row r="1432" spans="1:15">
      <c r="A1432" t="s">
        <v>1747</v>
      </c>
      <c r="B1432" t="s">
        <v>292</v>
      </c>
      <c r="C1432" t="s">
        <v>317</v>
      </c>
      <c r="D1432">
        <v>49</v>
      </c>
      <c r="E1432">
        <v>156</v>
      </c>
      <c r="F1432">
        <v>0</v>
      </c>
      <c r="G1432">
        <v>0</v>
      </c>
      <c r="H1432">
        <v>0</v>
      </c>
      <c r="I1432">
        <v>0</v>
      </c>
      <c r="J1432">
        <v>0</v>
      </c>
      <c r="K1432">
        <v>0</v>
      </c>
      <c r="L1432">
        <v>0</v>
      </c>
      <c r="M1432">
        <v>0</v>
      </c>
      <c r="N1432">
        <v>0</v>
      </c>
      <c r="O1432">
        <v>0</v>
      </c>
    </row>
    <row r="1433" spans="1:15">
      <c r="A1433" t="s">
        <v>1748</v>
      </c>
      <c r="B1433" t="s">
        <v>292</v>
      </c>
      <c r="C1433" t="s">
        <v>317</v>
      </c>
      <c r="D1433">
        <v>50</v>
      </c>
      <c r="E1433">
        <v>156</v>
      </c>
      <c r="F1433">
        <v>0</v>
      </c>
      <c r="G1433">
        <v>0</v>
      </c>
      <c r="H1433">
        <v>0</v>
      </c>
      <c r="I1433">
        <v>0</v>
      </c>
      <c r="J1433">
        <v>0</v>
      </c>
      <c r="K1433">
        <v>0</v>
      </c>
      <c r="L1433">
        <v>0</v>
      </c>
      <c r="M1433">
        <v>0</v>
      </c>
      <c r="N1433">
        <v>0</v>
      </c>
      <c r="O1433">
        <v>0</v>
      </c>
    </row>
    <row r="1434" spans="1:15">
      <c r="A1434" t="s">
        <v>1749</v>
      </c>
      <c r="B1434" t="s">
        <v>292</v>
      </c>
      <c r="C1434" t="s">
        <v>317</v>
      </c>
      <c r="D1434">
        <v>51</v>
      </c>
      <c r="E1434">
        <v>156</v>
      </c>
      <c r="F1434">
        <v>0</v>
      </c>
      <c r="G1434">
        <v>0</v>
      </c>
      <c r="H1434">
        <v>0</v>
      </c>
      <c r="I1434">
        <v>0</v>
      </c>
      <c r="J1434">
        <v>0</v>
      </c>
      <c r="K1434">
        <v>0</v>
      </c>
      <c r="L1434">
        <v>0</v>
      </c>
      <c r="M1434">
        <v>0</v>
      </c>
      <c r="N1434">
        <v>0</v>
      </c>
      <c r="O1434">
        <v>0</v>
      </c>
    </row>
    <row r="1435" spans="1:15">
      <c r="A1435" t="s">
        <v>1750</v>
      </c>
      <c r="B1435" t="s">
        <v>292</v>
      </c>
      <c r="C1435" t="s">
        <v>317</v>
      </c>
      <c r="D1435">
        <v>52</v>
      </c>
      <c r="E1435">
        <v>156</v>
      </c>
      <c r="F1435">
        <v>0</v>
      </c>
      <c r="G1435">
        <v>0</v>
      </c>
      <c r="H1435">
        <v>0</v>
      </c>
      <c r="I1435">
        <v>0</v>
      </c>
      <c r="J1435">
        <v>0</v>
      </c>
      <c r="K1435">
        <v>0</v>
      </c>
      <c r="L1435">
        <v>0</v>
      </c>
      <c r="M1435">
        <v>0</v>
      </c>
      <c r="N1435">
        <v>0</v>
      </c>
      <c r="O1435">
        <v>0</v>
      </c>
    </row>
    <row r="1436" spans="1:15">
      <c r="A1436" t="s">
        <v>1751</v>
      </c>
      <c r="B1436" t="s">
        <v>292</v>
      </c>
      <c r="C1436" t="s">
        <v>317</v>
      </c>
      <c r="D1436">
        <v>53</v>
      </c>
      <c r="E1436">
        <v>156</v>
      </c>
      <c r="F1436">
        <v>0</v>
      </c>
      <c r="G1436">
        <v>0</v>
      </c>
      <c r="H1436">
        <v>0</v>
      </c>
      <c r="I1436">
        <v>0</v>
      </c>
      <c r="J1436">
        <v>0</v>
      </c>
      <c r="K1436">
        <v>0</v>
      </c>
      <c r="L1436">
        <v>0</v>
      </c>
      <c r="M1436">
        <v>0</v>
      </c>
      <c r="N1436">
        <v>0</v>
      </c>
      <c r="O1436">
        <v>0</v>
      </c>
    </row>
    <row r="1437" spans="1:15">
      <c r="A1437" t="s">
        <v>1752</v>
      </c>
      <c r="B1437" t="s">
        <v>292</v>
      </c>
      <c r="C1437" t="s">
        <v>317</v>
      </c>
      <c r="D1437">
        <v>54</v>
      </c>
      <c r="E1437">
        <v>156</v>
      </c>
      <c r="F1437">
        <v>0</v>
      </c>
      <c r="G1437">
        <v>0</v>
      </c>
      <c r="H1437">
        <v>0</v>
      </c>
      <c r="I1437">
        <v>0</v>
      </c>
      <c r="J1437">
        <v>0</v>
      </c>
      <c r="K1437">
        <v>0</v>
      </c>
      <c r="L1437">
        <v>0</v>
      </c>
      <c r="M1437">
        <v>0</v>
      </c>
      <c r="N1437">
        <v>0</v>
      </c>
      <c r="O1437">
        <v>0</v>
      </c>
    </row>
    <row r="1438" spans="1:15">
      <c r="A1438" t="s">
        <v>1753</v>
      </c>
      <c r="B1438" t="s">
        <v>292</v>
      </c>
      <c r="C1438" t="s">
        <v>317</v>
      </c>
      <c r="D1438">
        <v>55</v>
      </c>
      <c r="E1438">
        <v>156</v>
      </c>
      <c r="F1438">
        <v>0</v>
      </c>
      <c r="G1438">
        <v>0</v>
      </c>
      <c r="H1438">
        <v>0</v>
      </c>
      <c r="I1438">
        <v>0</v>
      </c>
      <c r="J1438">
        <v>0</v>
      </c>
      <c r="K1438">
        <v>0</v>
      </c>
      <c r="L1438">
        <v>0</v>
      </c>
      <c r="M1438">
        <v>0</v>
      </c>
      <c r="N1438">
        <v>0</v>
      </c>
      <c r="O1438">
        <v>0</v>
      </c>
    </row>
    <row r="1439" spans="1:15">
      <c r="A1439" t="s">
        <v>1754</v>
      </c>
      <c r="B1439" t="s">
        <v>292</v>
      </c>
      <c r="C1439" t="s">
        <v>317</v>
      </c>
      <c r="D1439">
        <v>56</v>
      </c>
      <c r="E1439">
        <v>156</v>
      </c>
      <c r="F1439">
        <v>0</v>
      </c>
      <c r="G1439">
        <v>0</v>
      </c>
      <c r="H1439">
        <v>0</v>
      </c>
      <c r="I1439">
        <v>0</v>
      </c>
      <c r="J1439">
        <v>0</v>
      </c>
      <c r="K1439">
        <v>0</v>
      </c>
      <c r="L1439">
        <v>0</v>
      </c>
      <c r="M1439">
        <v>0</v>
      </c>
      <c r="N1439">
        <v>0</v>
      </c>
      <c r="O1439">
        <v>0</v>
      </c>
    </row>
    <row r="1440" spans="1:15">
      <c r="A1440" t="s">
        <v>1755</v>
      </c>
      <c r="B1440" t="s">
        <v>292</v>
      </c>
      <c r="C1440" t="s">
        <v>317</v>
      </c>
      <c r="D1440">
        <v>57</v>
      </c>
      <c r="E1440">
        <v>156</v>
      </c>
      <c r="F1440">
        <v>0</v>
      </c>
      <c r="G1440">
        <v>0</v>
      </c>
      <c r="H1440">
        <v>0</v>
      </c>
      <c r="I1440">
        <v>0</v>
      </c>
      <c r="J1440">
        <v>0</v>
      </c>
      <c r="K1440">
        <v>0</v>
      </c>
      <c r="L1440">
        <v>0</v>
      </c>
      <c r="M1440">
        <v>0</v>
      </c>
      <c r="N1440">
        <v>0</v>
      </c>
      <c r="O1440">
        <v>0</v>
      </c>
    </row>
    <row r="1441" spans="1:15">
      <c r="A1441" t="s">
        <v>1756</v>
      </c>
      <c r="B1441" t="s">
        <v>292</v>
      </c>
      <c r="C1441" t="s">
        <v>317</v>
      </c>
      <c r="D1441">
        <v>58</v>
      </c>
      <c r="E1441">
        <v>156</v>
      </c>
      <c r="F1441">
        <v>0</v>
      </c>
      <c r="G1441">
        <v>0</v>
      </c>
      <c r="H1441">
        <v>0</v>
      </c>
      <c r="I1441">
        <v>0</v>
      </c>
      <c r="J1441">
        <v>0</v>
      </c>
      <c r="K1441">
        <v>0</v>
      </c>
      <c r="L1441">
        <v>0</v>
      </c>
      <c r="M1441">
        <v>0</v>
      </c>
      <c r="N1441">
        <v>0</v>
      </c>
      <c r="O1441">
        <v>0</v>
      </c>
    </row>
    <row r="1442" spans="1:15">
      <c r="A1442" t="s">
        <v>1757</v>
      </c>
      <c r="B1442" t="s">
        <v>292</v>
      </c>
      <c r="C1442" t="s">
        <v>317</v>
      </c>
      <c r="D1442">
        <v>59</v>
      </c>
      <c r="E1442">
        <v>156</v>
      </c>
      <c r="F1442">
        <v>0</v>
      </c>
      <c r="G1442">
        <v>0</v>
      </c>
      <c r="H1442">
        <v>0</v>
      </c>
      <c r="I1442">
        <v>0</v>
      </c>
      <c r="J1442">
        <v>0</v>
      </c>
      <c r="K1442">
        <v>0</v>
      </c>
      <c r="L1442">
        <v>0</v>
      </c>
      <c r="M1442">
        <v>0</v>
      </c>
      <c r="N1442">
        <v>0</v>
      </c>
      <c r="O1442">
        <v>0</v>
      </c>
    </row>
    <row r="1443" spans="1:15">
      <c r="A1443" t="s">
        <v>1758</v>
      </c>
      <c r="B1443" t="s">
        <v>292</v>
      </c>
      <c r="C1443" t="s">
        <v>317</v>
      </c>
      <c r="D1443">
        <v>60</v>
      </c>
      <c r="E1443">
        <v>156</v>
      </c>
      <c r="F1443">
        <v>0</v>
      </c>
      <c r="G1443">
        <v>0</v>
      </c>
      <c r="H1443">
        <v>0</v>
      </c>
      <c r="I1443">
        <v>0</v>
      </c>
      <c r="J1443">
        <v>0</v>
      </c>
      <c r="K1443">
        <v>0</v>
      </c>
      <c r="L1443">
        <v>0</v>
      </c>
      <c r="M1443">
        <v>0</v>
      </c>
      <c r="N1443">
        <v>0</v>
      </c>
      <c r="O1443">
        <v>0</v>
      </c>
    </row>
    <row r="1444" spans="1:15">
      <c r="A1444" t="s">
        <v>1759</v>
      </c>
      <c r="B1444" t="s">
        <v>292</v>
      </c>
      <c r="C1444" t="s">
        <v>317</v>
      </c>
      <c r="D1444">
        <v>61</v>
      </c>
      <c r="E1444">
        <v>156</v>
      </c>
      <c r="F1444">
        <v>0</v>
      </c>
      <c r="G1444">
        <v>0</v>
      </c>
      <c r="H1444">
        <v>0</v>
      </c>
      <c r="I1444">
        <v>0</v>
      </c>
      <c r="J1444">
        <v>0</v>
      </c>
      <c r="K1444">
        <v>0</v>
      </c>
      <c r="L1444">
        <v>0</v>
      </c>
      <c r="M1444">
        <v>0</v>
      </c>
      <c r="N1444">
        <v>0</v>
      </c>
      <c r="O1444">
        <v>0</v>
      </c>
    </row>
    <row r="1445" spans="1:15">
      <c r="A1445" t="s">
        <v>1760</v>
      </c>
      <c r="B1445" t="s">
        <v>292</v>
      </c>
      <c r="C1445" t="s">
        <v>317</v>
      </c>
      <c r="D1445">
        <v>62</v>
      </c>
      <c r="E1445">
        <v>156</v>
      </c>
      <c r="F1445">
        <v>0</v>
      </c>
      <c r="G1445">
        <v>0</v>
      </c>
      <c r="H1445">
        <v>0</v>
      </c>
      <c r="I1445">
        <v>0</v>
      </c>
      <c r="J1445">
        <v>0</v>
      </c>
      <c r="K1445">
        <v>0</v>
      </c>
      <c r="L1445">
        <v>0</v>
      </c>
      <c r="M1445">
        <v>0</v>
      </c>
      <c r="N1445">
        <v>0</v>
      </c>
      <c r="O1445">
        <v>0</v>
      </c>
    </row>
    <row r="1446" spans="1:15">
      <c r="A1446" t="s">
        <v>1761</v>
      </c>
      <c r="B1446" t="s">
        <v>292</v>
      </c>
      <c r="C1446" t="s">
        <v>317</v>
      </c>
      <c r="D1446">
        <v>63</v>
      </c>
      <c r="E1446">
        <v>156</v>
      </c>
      <c r="F1446">
        <v>0</v>
      </c>
      <c r="G1446">
        <v>0</v>
      </c>
      <c r="H1446">
        <v>0</v>
      </c>
      <c r="I1446">
        <v>0</v>
      </c>
      <c r="J1446">
        <v>0</v>
      </c>
      <c r="K1446">
        <v>0</v>
      </c>
      <c r="L1446">
        <v>0</v>
      </c>
      <c r="M1446">
        <v>0</v>
      </c>
      <c r="N1446">
        <v>0</v>
      </c>
      <c r="O1446">
        <v>0</v>
      </c>
    </row>
    <row r="1447" spans="1:15">
      <c r="A1447" t="s">
        <v>1762</v>
      </c>
      <c r="B1447" t="s">
        <v>292</v>
      </c>
      <c r="C1447" t="s">
        <v>317</v>
      </c>
      <c r="D1447">
        <v>64</v>
      </c>
      <c r="E1447">
        <v>156</v>
      </c>
      <c r="F1447">
        <v>0</v>
      </c>
      <c r="G1447">
        <v>0</v>
      </c>
      <c r="H1447">
        <v>0</v>
      </c>
      <c r="I1447">
        <v>0</v>
      </c>
      <c r="J1447">
        <v>0</v>
      </c>
      <c r="K1447">
        <v>0</v>
      </c>
      <c r="L1447">
        <v>0</v>
      </c>
      <c r="M1447">
        <v>0</v>
      </c>
      <c r="N1447">
        <v>0</v>
      </c>
      <c r="O1447">
        <v>0</v>
      </c>
    </row>
    <row r="1448" spans="1:15">
      <c r="A1448" t="s">
        <v>1763</v>
      </c>
      <c r="B1448" t="s">
        <v>292</v>
      </c>
      <c r="C1448" t="s">
        <v>317</v>
      </c>
      <c r="D1448">
        <v>65</v>
      </c>
      <c r="E1448">
        <v>156</v>
      </c>
      <c r="F1448">
        <v>0</v>
      </c>
      <c r="G1448">
        <v>0</v>
      </c>
      <c r="H1448">
        <v>0</v>
      </c>
      <c r="I1448">
        <v>0</v>
      </c>
      <c r="J1448">
        <v>0</v>
      </c>
      <c r="K1448">
        <v>0</v>
      </c>
      <c r="L1448">
        <v>0</v>
      </c>
      <c r="M1448">
        <v>0</v>
      </c>
      <c r="N1448">
        <v>0</v>
      </c>
      <c r="O1448">
        <v>0</v>
      </c>
    </row>
    <row r="1449" spans="1:15">
      <c r="A1449" t="s">
        <v>1764</v>
      </c>
      <c r="B1449" t="s">
        <v>292</v>
      </c>
      <c r="C1449" t="s">
        <v>317</v>
      </c>
      <c r="D1449">
        <v>66</v>
      </c>
      <c r="E1449">
        <v>156</v>
      </c>
      <c r="F1449">
        <v>0</v>
      </c>
      <c r="G1449">
        <v>0</v>
      </c>
      <c r="H1449">
        <v>0</v>
      </c>
      <c r="I1449">
        <v>0</v>
      </c>
      <c r="J1449">
        <v>0</v>
      </c>
      <c r="K1449">
        <v>0</v>
      </c>
      <c r="L1449">
        <v>0</v>
      </c>
      <c r="M1449">
        <v>0</v>
      </c>
      <c r="N1449">
        <v>0</v>
      </c>
      <c r="O1449">
        <v>0</v>
      </c>
    </row>
    <row r="1450" spans="1:15">
      <c r="A1450" t="s">
        <v>1765</v>
      </c>
      <c r="B1450" t="s">
        <v>292</v>
      </c>
      <c r="C1450" t="s">
        <v>317</v>
      </c>
      <c r="D1450">
        <v>67</v>
      </c>
      <c r="E1450">
        <v>156</v>
      </c>
      <c r="F1450">
        <v>0</v>
      </c>
      <c r="G1450">
        <v>0</v>
      </c>
      <c r="H1450">
        <v>0</v>
      </c>
      <c r="I1450">
        <v>0</v>
      </c>
      <c r="J1450">
        <v>0</v>
      </c>
      <c r="K1450">
        <v>0</v>
      </c>
      <c r="L1450">
        <v>0</v>
      </c>
      <c r="M1450">
        <v>0</v>
      </c>
      <c r="N1450">
        <v>0</v>
      </c>
      <c r="O1450">
        <v>0</v>
      </c>
    </row>
    <row r="1451" spans="1:15">
      <c r="A1451" t="s">
        <v>1766</v>
      </c>
      <c r="B1451" t="s">
        <v>292</v>
      </c>
      <c r="C1451" t="s">
        <v>317</v>
      </c>
      <c r="D1451">
        <v>68</v>
      </c>
      <c r="E1451">
        <v>156</v>
      </c>
      <c r="F1451">
        <v>0</v>
      </c>
      <c r="G1451">
        <v>0</v>
      </c>
      <c r="H1451">
        <v>0</v>
      </c>
      <c r="I1451">
        <v>0</v>
      </c>
      <c r="J1451">
        <v>0</v>
      </c>
      <c r="K1451">
        <v>0</v>
      </c>
      <c r="L1451">
        <v>0</v>
      </c>
      <c r="M1451">
        <v>0</v>
      </c>
      <c r="N1451">
        <v>0</v>
      </c>
      <c r="O1451">
        <v>0</v>
      </c>
    </row>
    <row r="1452" spans="1:15">
      <c r="A1452" t="s">
        <v>1767</v>
      </c>
      <c r="B1452" t="s">
        <v>292</v>
      </c>
      <c r="C1452" t="s">
        <v>317</v>
      </c>
      <c r="D1452">
        <v>69</v>
      </c>
      <c r="E1452">
        <v>156</v>
      </c>
      <c r="F1452">
        <v>0</v>
      </c>
      <c r="G1452">
        <v>0</v>
      </c>
      <c r="H1452">
        <v>0</v>
      </c>
      <c r="I1452">
        <v>0</v>
      </c>
      <c r="J1452">
        <v>0</v>
      </c>
      <c r="K1452">
        <v>0</v>
      </c>
      <c r="L1452">
        <v>0</v>
      </c>
      <c r="M1452">
        <v>0</v>
      </c>
      <c r="N1452">
        <v>0</v>
      </c>
      <c r="O1452">
        <v>0</v>
      </c>
    </row>
    <row r="1453" spans="1:15">
      <c r="A1453" t="s">
        <v>1768</v>
      </c>
      <c r="B1453" t="s">
        <v>292</v>
      </c>
      <c r="C1453" t="s">
        <v>317</v>
      </c>
      <c r="D1453">
        <v>70</v>
      </c>
      <c r="E1453">
        <v>156</v>
      </c>
      <c r="F1453">
        <v>0</v>
      </c>
      <c r="G1453">
        <v>0</v>
      </c>
      <c r="H1453">
        <v>0</v>
      </c>
      <c r="I1453">
        <v>0</v>
      </c>
      <c r="J1453">
        <v>0</v>
      </c>
      <c r="K1453">
        <v>0</v>
      </c>
      <c r="L1453">
        <v>0</v>
      </c>
      <c r="M1453">
        <v>0</v>
      </c>
      <c r="N1453">
        <v>0</v>
      </c>
      <c r="O1453">
        <v>0</v>
      </c>
    </row>
    <row r="1454" spans="1:15">
      <c r="A1454" t="s">
        <v>1769</v>
      </c>
      <c r="B1454" t="s">
        <v>292</v>
      </c>
      <c r="C1454" t="s">
        <v>317</v>
      </c>
      <c r="D1454">
        <v>71</v>
      </c>
      <c r="E1454">
        <v>156</v>
      </c>
      <c r="F1454">
        <v>0</v>
      </c>
      <c r="G1454">
        <v>0</v>
      </c>
      <c r="H1454">
        <v>0</v>
      </c>
      <c r="I1454">
        <v>0</v>
      </c>
      <c r="J1454">
        <v>0</v>
      </c>
      <c r="K1454">
        <v>0</v>
      </c>
      <c r="L1454">
        <v>0</v>
      </c>
      <c r="M1454">
        <v>0</v>
      </c>
      <c r="N1454">
        <v>0</v>
      </c>
      <c r="O1454">
        <v>0</v>
      </c>
    </row>
    <row r="1455" spans="1:15">
      <c r="A1455" t="s">
        <v>1770</v>
      </c>
      <c r="B1455" t="s">
        <v>292</v>
      </c>
      <c r="C1455" t="s">
        <v>317</v>
      </c>
      <c r="D1455">
        <v>72</v>
      </c>
      <c r="E1455">
        <v>156</v>
      </c>
      <c r="F1455">
        <v>0</v>
      </c>
      <c r="G1455">
        <v>0</v>
      </c>
      <c r="H1455">
        <v>0</v>
      </c>
      <c r="I1455">
        <v>0</v>
      </c>
      <c r="J1455">
        <v>0</v>
      </c>
      <c r="K1455">
        <v>0</v>
      </c>
      <c r="L1455">
        <v>0</v>
      </c>
      <c r="M1455">
        <v>0</v>
      </c>
      <c r="N1455">
        <v>0</v>
      </c>
      <c r="O1455">
        <v>0</v>
      </c>
    </row>
    <row r="1456" spans="1:15">
      <c r="A1456" t="s">
        <v>1771</v>
      </c>
      <c r="B1456" t="s">
        <v>292</v>
      </c>
      <c r="C1456" t="s">
        <v>317</v>
      </c>
      <c r="D1456">
        <v>73</v>
      </c>
      <c r="E1456">
        <v>156</v>
      </c>
      <c r="F1456">
        <v>0</v>
      </c>
      <c r="G1456">
        <v>0</v>
      </c>
      <c r="H1456">
        <v>0</v>
      </c>
      <c r="I1456">
        <v>0</v>
      </c>
      <c r="J1456">
        <v>0</v>
      </c>
      <c r="K1456">
        <v>0</v>
      </c>
      <c r="L1456">
        <v>0</v>
      </c>
      <c r="M1456">
        <v>0</v>
      </c>
      <c r="N1456">
        <v>0</v>
      </c>
      <c r="O1456">
        <v>0</v>
      </c>
    </row>
    <row r="1457" spans="1:15">
      <c r="A1457" t="s">
        <v>1772</v>
      </c>
      <c r="B1457" t="s">
        <v>292</v>
      </c>
      <c r="C1457" t="s">
        <v>317</v>
      </c>
      <c r="D1457">
        <v>74</v>
      </c>
      <c r="E1457">
        <v>156</v>
      </c>
      <c r="F1457">
        <v>0</v>
      </c>
      <c r="G1457">
        <v>0</v>
      </c>
      <c r="H1457">
        <v>0</v>
      </c>
      <c r="I1457">
        <v>0</v>
      </c>
      <c r="J1457">
        <v>0</v>
      </c>
      <c r="K1457">
        <v>0</v>
      </c>
      <c r="L1457">
        <v>0</v>
      </c>
      <c r="M1457">
        <v>0</v>
      </c>
      <c r="N1457">
        <v>0</v>
      </c>
      <c r="O1457">
        <v>0</v>
      </c>
    </row>
    <row r="1458" spans="1:15">
      <c r="A1458" t="s">
        <v>1773</v>
      </c>
      <c r="B1458" t="s">
        <v>292</v>
      </c>
      <c r="C1458" t="s">
        <v>317</v>
      </c>
      <c r="D1458">
        <v>75</v>
      </c>
      <c r="E1458">
        <v>156</v>
      </c>
      <c r="F1458">
        <v>0</v>
      </c>
      <c r="G1458">
        <v>0</v>
      </c>
      <c r="H1458">
        <v>0</v>
      </c>
      <c r="I1458">
        <v>0</v>
      </c>
      <c r="J1458">
        <v>0</v>
      </c>
      <c r="K1458">
        <v>0</v>
      </c>
      <c r="L1458">
        <v>0</v>
      </c>
      <c r="M1458">
        <v>0</v>
      </c>
      <c r="N1458">
        <v>0</v>
      </c>
      <c r="O1458">
        <v>0</v>
      </c>
    </row>
    <row r="1459" spans="1:15">
      <c r="A1459" t="s">
        <v>1774</v>
      </c>
      <c r="B1459" t="s">
        <v>292</v>
      </c>
      <c r="C1459" t="s">
        <v>317</v>
      </c>
      <c r="D1459">
        <v>76</v>
      </c>
      <c r="E1459">
        <v>156</v>
      </c>
      <c r="F1459">
        <v>0</v>
      </c>
      <c r="G1459">
        <v>0</v>
      </c>
      <c r="H1459">
        <v>0</v>
      </c>
      <c r="I1459">
        <v>0</v>
      </c>
      <c r="J1459">
        <v>0</v>
      </c>
      <c r="K1459">
        <v>0</v>
      </c>
      <c r="L1459">
        <v>0</v>
      </c>
      <c r="M1459">
        <v>0</v>
      </c>
      <c r="N1459">
        <v>0</v>
      </c>
      <c r="O1459">
        <v>0</v>
      </c>
    </row>
    <row r="1460" spans="1:15">
      <c r="A1460" t="s">
        <v>1775</v>
      </c>
      <c r="B1460" t="s">
        <v>292</v>
      </c>
      <c r="C1460" t="s">
        <v>317</v>
      </c>
      <c r="D1460">
        <v>77</v>
      </c>
      <c r="E1460">
        <v>156</v>
      </c>
      <c r="F1460">
        <v>0</v>
      </c>
      <c r="G1460">
        <v>0</v>
      </c>
      <c r="H1460">
        <v>0</v>
      </c>
      <c r="I1460">
        <v>0</v>
      </c>
      <c r="J1460">
        <v>0</v>
      </c>
      <c r="K1460">
        <v>0</v>
      </c>
      <c r="L1460">
        <v>0</v>
      </c>
      <c r="M1460">
        <v>0</v>
      </c>
      <c r="N1460">
        <v>0</v>
      </c>
      <c r="O1460">
        <v>0</v>
      </c>
    </row>
    <row r="1461" spans="1:15">
      <c r="A1461" t="s">
        <v>1776</v>
      </c>
      <c r="B1461" t="s">
        <v>292</v>
      </c>
      <c r="C1461" t="s">
        <v>317</v>
      </c>
      <c r="D1461">
        <v>78</v>
      </c>
      <c r="E1461">
        <v>156</v>
      </c>
      <c r="F1461">
        <v>0</v>
      </c>
      <c r="G1461">
        <v>0</v>
      </c>
      <c r="H1461">
        <v>0</v>
      </c>
      <c r="I1461">
        <v>0</v>
      </c>
      <c r="J1461">
        <v>0</v>
      </c>
      <c r="K1461">
        <v>0</v>
      </c>
      <c r="L1461">
        <v>0</v>
      </c>
      <c r="M1461">
        <v>0</v>
      </c>
      <c r="N1461">
        <v>0</v>
      </c>
      <c r="O1461">
        <v>0</v>
      </c>
    </row>
    <row r="1462" spans="1:15">
      <c r="A1462" t="s">
        <v>1777</v>
      </c>
      <c r="B1462" t="s">
        <v>292</v>
      </c>
      <c r="C1462" t="s">
        <v>317</v>
      </c>
      <c r="D1462">
        <v>79</v>
      </c>
      <c r="E1462">
        <v>156</v>
      </c>
      <c r="F1462">
        <v>0</v>
      </c>
      <c r="G1462">
        <v>0</v>
      </c>
      <c r="H1462">
        <v>0</v>
      </c>
      <c r="I1462">
        <v>0</v>
      </c>
      <c r="J1462">
        <v>0</v>
      </c>
      <c r="K1462">
        <v>0</v>
      </c>
      <c r="L1462">
        <v>0</v>
      </c>
      <c r="M1462">
        <v>0</v>
      </c>
      <c r="N1462">
        <v>0</v>
      </c>
      <c r="O1462">
        <v>0</v>
      </c>
    </row>
    <row r="1463" spans="1:15">
      <c r="A1463" t="s">
        <v>1778</v>
      </c>
      <c r="B1463" t="s">
        <v>292</v>
      </c>
      <c r="C1463" t="s">
        <v>317</v>
      </c>
      <c r="D1463">
        <v>80</v>
      </c>
      <c r="E1463">
        <v>156</v>
      </c>
      <c r="F1463">
        <v>0</v>
      </c>
      <c r="G1463">
        <v>0</v>
      </c>
      <c r="H1463">
        <v>0</v>
      </c>
      <c r="I1463">
        <v>0</v>
      </c>
      <c r="J1463">
        <v>0</v>
      </c>
      <c r="K1463">
        <v>0</v>
      </c>
      <c r="L1463">
        <v>0</v>
      </c>
      <c r="M1463">
        <v>0</v>
      </c>
      <c r="N1463">
        <v>0</v>
      </c>
      <c r="O1463">
        <v>0</v>
      </c>
    </row>
    <row r="1464" spans="1:15">
      <c r="A1464" t="s">
        <v>1779</v>
      </c>
      <c r="B1464" t="s">
        <v>292</v>
      </c>
      <c r="C1464" t="s">
        <v>317</v>
      </c>
      <c r="D1464">
        <v>81</v>
      </c>
      <c r="E1464">
        <v>156</v>
      </c>
      <c r="F1464">
        <v>0</v>
      </c>
      <c r="G1464">
        <v>0</v>
      </c>
      <c r="H1464">
        <v>0</v>
      </c>
      <c r="I1464">
        <v>0</v>
      </c>
      <c r="J1464">
        <v>0</v>
      </c>
      <c r="K1464">
        <v>0</v>
      </c>
      <c r="L1464">
        <v>0</v>
      </c>
      <c r="M1464">
        <v>0</v>
      </c>
      <c r="N1464">
        <v>0</v>
      </c>
      <c r="O1464">
        <v>0</v>
      </c>
    </row>
    <row r="1465" spans="1:15">
      <c r="A1465" t="s">
        <v>1780</v>
      </c>
      <c r="B1465" t="s">
        <v>292</v>
      </c>
      <c r="C1465" t="s">
        <v>317</v>
      </c>
      <c r="D1465">
        <v>82</v>
      </c>
      <c r="E1465">
        <v>156</v>
      </c>
      <c r="F1465">
        <v>0</v>
      </c>
      <c r="G1465">
        <v>0</v>
      </c>
      <c r="H1465">
        <v>0</v>
      </c>
      <c r="I1465">
        <v>0</v>
      </c>
      <c r="J1465">
        <v>0</v>
      </c>
      <c r="K1465">
        <v>0</v>
      </c>
      <c r="L1465">
        <v>0</v>
      </c>
      <c r="M1465">
        <v>0</v>
      </c>
      <c r="N1465">
        <v>0</v>
      </c>
      <c r="O1465">
        <v>0</v>
      </c>
    </row>
    <row r="1466" spans="1:15">
      <c r="A1466" t="s">
        <v>1781</v>
      </c>
      <c r="B1466" t="s">
        <v>292</v>
      </c>
      <c r="C1466" t="s">
        <v>317</v>
      </c>
      <c r="D1466">
        <v>83</v>
      </c>
      <c r="E1466">
        <v>156</v>
      </c>
      <c r="F1466">
        <v>0</v>
      </c>
      <c r="G1466">
        <v>0</v>
      </c>
      <c r="H1466">
        <v>0</v>
      </c>
      <c r="I1466">
        <v>0</v>
      </c>
      <c r="J1466">
        <v>0</v>
      </c>
      <c r="K1466">
        <v>0</v>
      </c>
      <c r="L1466">
        <v>0</v>
      </c>
      <c r="M1466">
        <v>0</v>
      </c>
      <c r="N1466">
        <v>0</v>
      </c>
      <c r="O1466">
        <v>0</v>
      </c>
    </row>
    <row r="1467" spans="1:15">
      <c r="A1467" t="s">
        <v>1782</v>
      </c>
      <c r="B1467" t="s">
        <v>292</v>
      </c>
      <c r="C1467" t="s">
        <v>317</v>
      </c>
      <c r="D1467">
        <v>84</v>
      </c>
      <c r="E1467">
        <v>156</v>
      </c>
      <c r="F1467">
        <v>0</v>
      </c>
      <c r="G1467">
        <v>0</v>
      </c>
      <c r="H1467">
        <v>0</v>
      </c>
      <c r="I1467">
        <v>0</v>
      </c>
      <c r="J1467">
        <v>0</v>
      </c>
      <c r="K1467">
        <v>0</v>
      </c>
      <c r="L1467">
        <v>0</v>
      </c>
      <c r="M1467">
        <v>0</v>
      </c>
      <c r="N1467">
        <v>0</v>
      </c>
      <c r="O1467">
        <v>0</v>
      </c>
    </row>
    <row r="1468" spans="1:15">
      <c r="A1468" t="s">
        <v>1783</v>
      </c>
      <c r="B1468" t="s">
        <v>292</v>
      </c>
      <c r="C1468" t="s">
        <v>317</v>
      </c>
      <c r="D1468">
        <v>85</v>
      </c>
      <c r="E1468">
        <v>156</v>
      </c>
      <c r="F1468">
        <v>0</v>
      </c>
      <c r="G1468">
        <v>0</v>
      </c>
      <c r="H1468">
        <v>0</v>
      </c>
      <c r="I1468">
        <v>0</v>
      </c>
      <c r="J1468">
        <v>0</v>
      </c>
      <c r="K1468">
        <v>0</v>
      </c>
      <c r="L1468">
        <v>0</v>
      </c>
      <c r="M1468">
        <v>0</v>
      </c>
      <c r="N1468">
        <v>0</v>
      </c>
      <c r="O1468">
        <v>0</v>
      </c>
    </row>
    <row r="1469" spans="1:15">
      <c r="A1469" t="s">
        <v>1784</v>
      </c>
      <c r="B1469" t="s">
        <v>292</v>
      </c>
      <c r="C1469" t="s">
        <v>404</v>
      </c>
      <c r="D1469">
        <v>0</v>
      </c>
      <c r="E1469">
        <v>156</v>
      </c>
      <c r="F1469">
        <v>0</v>
      </c>
      <c r="G1469">
        <v>0</v>
      </c>
      <c r="H1469">
        <v>0</v>
      </c>
      <c r="I1469">
        <v>0</v>
      </c>
      <c r="J1469">
        <v>0</v>
      </c>
      <c r="K1469">
        <v>0</v>
      </c>
      <c r="L1469">
        <v>0</v>
      </c>
      <c r="M1469">
        <v>0</v>
      </c>
      <c r="N1469">
        <v>0</v>
      </c>
      <c r="O1469">
        <v>0</v>
      </c>
    </row>
    <row r="1470" spans="1:15">
      <c r="A1470" t="s">
        <v>1785</v>
      </c>
      <c r="B1470" t="s">
        <v>292</v>
      </c>
      <c r="C1470" t="s">
        <v>404</v>
      </c>
      <c r="D1470">
        <v>1</v>
      </c>
      <c r="E1470">
        <v>156</v>
      </c>
      <c r="F1470">
        <v>0</v>
      </c>
      <c r="G1470">
        <v>0</v>
      </c>
      <c r="H1470">
        <v>0</v>
      </c>
      <c r="I1470">
        <v>0</v>
      </c>
      <c r="J1470">
        <v>0</v>
      </c>
      <c r="K1470">
        <v>0</v>
      </c>
      <c r="L1470">
        <v>0</v>
      </c>
      <c r="M1470">
        <v>0</v>
      </c>
      <c r="N1470">
        <v>0</v>
      </c>
      <c r="O1470">
        <v>0</v>
      </c>
    </row>
    <row r="1471" spans="1:15">
      <c r="A1471" t="s">
        <v>1786</v>
      </c>
      <c r="B1471" t="s">
        <v>292</v>
      </c>
      <c r="C1471" t="s">
        <v>404</v>
      </c>
      <c r="D1471">
        <v>2</v>
      </c>
      <c r="E1471">
        <v>156</v>
      </c>
      <c r="F1471">
        <v>0</v>
      </c>
      <c r="G1471">
        <v>0</v>
      </c>
      <c r="H1471">
        <v>0</v>
      </c>
      <c r="I1471">
        <v>0</v>
      </c>
      <c r="J1471">
        <v>0</v>
      </c>
      <c r="K1471">
        <v>0</v>
      </c>
      <c r="L1471">
        <v>0</v>
      </c>
      <c r="M1471">
        <v>0</v>
      </c>
      <c r="N1471">
        <v>0</v>
      </c>
      <c r="O1471">
        <v>0</v>
      </c>
    </row>
    <row r="1472" spans="1:15">
      <c r="A1472" t="s">
        <v>1787</v>
      </c>
      <c r="B1472" t="s">
        <v>292</v>
      </c>
      <c r="C1472" t="s">
        <v>404</v>
      </c>
      <c r="D1472">
        <v>3</v>
      </c>
      <c r="E1472">
        <v>156</v>
      </c>
      <c r="F1472">
        <v>0</v>
      </c>
      <c r="G1472">
        <v>0</v>
      </c>
      <c r="H1472">
        <v>0</v>
      </c>
      <c r="I1472">
        <v>0</v>
      </c>
      <c r="J1472">
        <v>0</v>
      </c>
      <c r="K1472">
        <v>0</v>
      </c>
      <c r="L1472">
        <v>0</v>
      </c>
      <c r="M1472">
        <v>0</v>
      </c>
      <c r="N1472">
        <v>0</v>
      </c>
      <c r="O1472">
        <v>0</v>
      </c>
    </row>
    <row r="1473" spans="1:15">
      <c r="A1473" t="s">
        <v>1788</v>
      </c>
      <c r="B1473" t="s">
        <v>292</v>
      </c>
      <c r="C1473" t="s">
        <v>404</v>
      </c>
      <c r="D1473">
        <v>4</v>
      </c>
      <c r="E1473">
        <v>156</v>
      </c>
      <c r="F1473">
        <v>0</v>
      </c>
      <c r="G1473">
        <v>0</v>
      </c>
      <c r="H1473">
        <v>0</v>
      </c>
      <c r="I1473">
        <v>0</v>
      </c>
      <c r="J1473">
        <v>0</v>
      </c>
      <c r="K1473">
        <v>0</v>
      </c>
      <c r="L1473">
        <v>0</v>
      </c>
      <c r="M1473">
        <v>0</v>
      </c>
      <c r="N1473">
        <v>0</v>
      </c>
      <c r="O1473">
        <v>0</v>
      </c>
    </row>
    <row r="1474" spans="1:15">
      <c r="A1474" t="s">
        <v>1789</v>
      </c>
      <c r="B1474" t="s">
        <v>292</v>
      </c>
      <c r="C1474" t="s">
        <v>404</v>
      </c>
      <c r="D1474">
        <v>5</v>
      </c>
      <c r="E1474">
        <v>156</v>
      </c>
      <c r="F1474">
        <v>0</v>
      </c>
      <c r="G1474">
        <v>0</v>
      </c>
      <c r="H1474">
        <v>0</v>
      </c>
      <c r="I1474">
        <v>0</v>
      </c>
      <c r="J1474">
        <v>0</v>
      </c>
      <c r="K1474">
        <v>0</v>
      </c>
      <c r="L1474">
        <v>0</v>
      </c>
      <c r="M1474">
        <v>0</v>
      </c>
      <c r="N1474">
        <v>0</v>
      </c>
      <c r="O1474">
        <v>0</v>
      </c>
    </row>
    <row r="1475" spans="1:15">
      <c r="A1475" t="s">
        <v>1790</v>
      </c>
      <c r="B1475" t="s">
        <v>292</v>
      </c>
      <c r="C1475" t="s">
        <v>404</v>
      </c>
      <c r="D1475">
        <v>6</v>
      </c>
      <c r="E1475">
        <v>156</v>
      </c>
      <c r="F1475">
        <v>0</v>
      </c>
      <c r="G1475">
        <v>0</v>
      </c>
      <c r="H1475">
        <v>0</v>
      </c>
      <c r="I1475">
        <v>0</v>
      </c>
      <c r="J1475">
        <v>0</v>
      </c>
      <c r="K1475">
        <v>0</v>
      </c>
      <c r="L1475">
        <v>0</v>
      </c>
      <c r="M1475">
        <v>0</v>
      </c>
      <c r="N1475">
        <v>0</v>
      </c>
      <c r="O1475">
        <v>0</v>
      </c>
    </row>
    <row r="1476" spans="1:15">
      <c r="A1476" t="s">
        <v>1791</v>
      </c>
      <c r="B1476" t="s">
        <v>292</v>
      </c>
      <c r="C1476" t="s">
        <v>404</v>
      </c>
      <c r="D1476">
        <v>7</v>
      </c>
      <c r="E1476">
        <v>156</v>
      </c>
      <c r="F1476">
        <v>0</v>
      </c>
      <c r="G1476">
        <v>0</v>
      </c>
      <c r="H1476">
        <v>0</v>
      </c>
      <c r="I1476">
        <v>0</v>
      </c>
      <c r="J1476">
        <v>0</v>
      </c>
      <c r="K1476">
        <v>0</v>
      </c>
      <c r="L1476">
        <v>0</v>
      </c>
      <c r="M1476">
        <v>0</v>
      </c>
      <c r="N1476">
        <v>0</v>
      </c>
      <c r="O1476">
        <v>0</v>
      </c>
    </row>
    <row r="1477" spans="1:15">
      <c r="A1477" t="s">
        <v>1792</v>
      </c>
      <c r="B1477" t="s">
        <v>292</v>
      </c>
      <c r="C1477" t="s">
        <v>404</v>
      </c>
      <c r="D1477">
        <v>8</v>
      </c>
      <c r="E1477">
        <v>156</v>
      </c>
      <c r="F1477">
        <v>0</v>
      </c>
      <c r="G1477">
        <v>0</v>
      </c>
      <c r="H1477">
        <v>0</v>
      </c>
      <c r="I1477">
        <v>0</v>
      </c>
      <c r="J1477">
        <v>0</v>
      </c>
      <c r="K1477">
        <v>0</v>
      </c>
      <c r="L1477">
        <v>0</v>
      </c>
      <c r="M1477">
        <v>0</v>
      </c>
      <c r="N1477">
        <v>0</v>
      </c>
      <c r="O1477">
        <v>0</v>
      </c>
    </row>
    <row r="1478" spans="1:15">
      <c r="A1478" t="s">
        <v>1793</v>
      </c>
      <c r="B1478" t="s">
        <v>292</v>
      </c>
      <c r="C1478" t="s">
        <v>404</v>
      </c>
      <c r="D1478">
        <v>9</v>
      </c>
      <c r="E1478">
        <v>156</v>
      </c>
      <c r="F1478">
        <v>0</v>
      </c>
      <c r="G1478">
        <v>0</v>
      </c>
      <c r="H1478">
        <v>0</v>
      </c>
      <c r="I1478">
        <v>0</v>
      </c>
      <c r="J1478">
        <v>0</v>
      </c>
      <c r="K1478">
        <v>0</v>
      </c>
      <c r="L1478">
        <v>0</v>
      </c>
      <c r="M1478">
        <v>0</v>
      </c>
      <c r="N1478">
        <v>0</v>
      </c>
      <c r="O1478">
        <v>0</v>
      </c>
    </row>
    <row r="1479" spans="1:15">
      <c r="A1479" t="s">
        <v>1794</v>
      </c>
      <c r="B1479" t="s">
        <v>292</v>
      </c>
      <c r="C1479" t="s">
        <v>404</v>
      </c>
      <c r="D1479">
        <v>10</v>
      </c>
      <c r="E1479">
        <v>156</v>
      </c>
      <c r="F1479">
        <v>0</v>
      </c>
      <c r="G1479">
        <v>0</v>
      </c>
      <c r="H1479">
        <v>0</v>
      </c>
      <c r="I1479">
        <v>0</v>
      </c>
      <c r="J1479">
        <v>0</v>
      </c>
      <c r="K1479">
        <v>0</v>
      </c>
      <c r="L1479">
        <v>0</v>
      </c>
      <c r="M1479">
        <v>0</v>
      </c>
      <c r="N1479">
        <v>0</v>
      </c>
      <c r="O1479">
        <v>0</v>
      </c>
    </row>
    <row r="1480" spans="1:15">
      <c r="A1480" t="s">
        <v>1795</v>
      </c>
      <c r="B1480" t="s">
        <v>292</v>
      </c>
      <c r="C1480" t="s">
        <v>404</v>
      </c>
      <c r="D1480">
        <v>11</v>
      </c>
      <c r="E1480">
        <v>156</v>
      </c>
      <c r="F1480">
        <v>0</v>
      </c>
      <c r="G1480">
        <v>0</v>
      </c>
      <c r="H1480">
        <v>0</v>
      </c>
      <c r="I1480">
        <v>0</v>
      </c>
      <c r="J1480">
        <v>0</v>
      </c>
      <c r="K1480">
        <v>0</v>
      </c>
      <c r="L1480">
        <v>0</v>
      </c>
      <c r="M1480">
        <v>0</v>
      </c>
      <c r="N1480">
        <v>0</v>
      </c>
      <c r="O1480">
        <v>0</v>
      </c>
    </row>
    <row r="1481" spans="1:15">
      <c r="A1481" t="s">
        <v>1796</v>
      </c>
      <c r="B1481" t="s">
        <v>292</v>
      </c>
      <c r="C1481" t="s">
        <v>404</v>
      </c>
      <c r="D1481">
        <v>12</v>
      </c>
      <c r="E1481">
        <v>156</v>
      </c>
      <c r="F1481">
        <v>0</v>
      </c>
      <c r="G1481">
        <v>0</v>
      </c>
      <c r="H1481">
        <v>0</v>
      </c>
      <c r="I1481">
        <v>0</v>
      </c>
      <c r="J1481">
        <v>0</v>
      </c>
      <c r="K1481">
        <v>0</v>
      </c>
      <c r="L1481">
        <v>0</v>
      </c>
      <c r="M1481">
        <v>0</v>
      </c>
      <c r="N1481">
        <v>0</v>
      </c>
      <c r="O1481">
        <v>0</v>
      </c>
    </row>
    <row r="1482" spans="1:15">
      <c r="A1482" t="s">
        <v>1797</v>
      </c>
      <c r="B1482" t="s">
        <v>292</v>
      </c>
      <c r="C1482" t="s">
        <v>404</v>
      </c>
      <c r="D1482">
        <v>13</v>
      </c>
      <c r="E1482">
        <v>156</v>
      </c>
      <c r="F1482">
        <v>0</v>
      </c>
      <c r="G1482">
        <v>0</v>
      </c>
      <c r="H1482">
        <v>0</v>
      </c>
      <c r="I1482">
        <v>0</v>
      </c>
      <c r="J1482">
        <v>0</v>
      </c>
      <c r="K1482">
        <v>0</v>
      </c>
      <c r="L1482">
        <v>0</v>
      </c>
      <c r="M1482">
        <v>0</v>
      </c>
      <c r="N1482">
        <v>0</v>
      </c>
      <c r="O1482">
        <v>0</v>
      </c>
    </row>
    <row r="1483" spans="1:15">
      <c r="A1483" t="s">
        <v>1798</v>
      </c>
      <c r="B1483" t="s">
        <v>292</v>
      </c>
      <c r="C1483" t="s">
        <v>404</v>
      </c>
      <c r="D1483">
        <v>14</v>
      </c>
      <c r="E1483">
        <v>156</v>
      </c>
      <c r="F1483">
        <v>0</v>
      </c>
      <c r="G1483">
        <v>0</v>
      </c>
      <c r="H1483">
        <v>0</v>
      </c>
      <c r="I1483">
        <v>0</v>
      </c>
      <c r="J1483">
        <v>0</v>
      </c>
      <c r="K1483">
        <v>0</v>
      </c>
      <c r="L1483">
        <v>0</v>
      </c>
      <c r="M1483">
        <v>0</v>
      </c>
      <c r="N1483">
        <v>0</v>
      </c>
      <c r="O1483">
        <v>0</v>
      </c>
    </row>
    <row r="1484" spans="1:15">
      <c r="A1484" t="s">
        <v>1799</v>
      </c>
      <c r="B1484" t="s">
        <v>292</v>
      </c>
      <c r="C1484" t="s">
        <v>404</v>
      </c>
      <c r="D1484">
        <v>15</v>
      </c>
      <c r="E1484">
        <v>156</v>
      </c>
      <c r="F1484">
        <v>0</v>
      </c>
      <c r="G1484">
        <v>0</v>
      </c>
      <c r="H1484">
        <v>0</v>
      </c>
      <c r="I1484">
        <v>0</v>
      </c>
      <c r="J1484">
        <v>0</v>
      </c>
      <c r="K1484">
        <v>0</v>
      </c>
      <c r="L1484">
        <v>0</v>
      </c>
      <c r="M1484">
        <v>0</v>
      </c>
      <c r="N1484">
        <v>0</v>
      </c>
      <c r="O1484">
        <v>0</v>
      </c>
    </row>
    <row r="1485" spans="1:15">
      <c r="A1485" t="s">
        <v>1800</v>
      </c>
      <c r="B1485" t="s">
        <v>292</v>
      </c>
      <c r="C1485" t="s">
        <v>404</v>
      </c>
      <c r="D1485">
        <v>16</v>
      </c>
      <c r="E1485">
        <v>156</v>
      </c>
      <c r="F1485">
        <v>0</v>
      </c>
      <c r="G1485">
        <v>0</v>
      </c>
      <c r="H1485">
        <v>0</v>
      </c>
      <c r="I1485">
        <v>0</v>
      </c>
      <c r="J1485">
        <v>0</v>
      </c>
      <c r="K1485">
        <v>0</v>
      </c>
      <c r="L1485">
        <v>0</v>
      </c>
      <c r="M1485">
        <v>0</v>
      </c>
      <c r="N1485">
        <v>0</v>
      </c>
      <c r="O1485">
        <v>0</v>
      </c>
    </row>
    <row r="1486" spans="1:15">
      <c r="A1486" t="s">
        <v>1801</v>
      </c>
      <c r="B1486" t="s">
        <v>292</v>
      </c>
      <c r="C1486" t="s">
        <v>404</v>
      </c>
      <c r="D1486">
        <v>17</v>
      </c>
      <c r="E1486">
        <v>156</v>
      </c>
      <c r="F1486">
        <v>0</v>
      </c>
      <c r="G1486">
        <v>0</v>
      </c>
      <c r="H1486">
        <v>0</v>
      </c>
      <c r="I1486">
        <v>0</v>
      </c>
      <c r="J1486">
        <v>0</v>
      </c>
      <c r="K1486">
        <v>0</v>
      </c>
      <c r="L1486">
        <v>0</v>
      </c>
      <c r="M1486">
        <v>0</v>
      </c>
      <c r="N1486">
        <v>0</v>
      </c>
      <c r="O1486">
        <v>0</v>
      </c>
    </row>
    <row r="1487" spans="1:15">
      <c r="A1487" t="s">
        <v>1802</v>
      </c>
      <c r="B1487" t="s">
        <v>292</v>
      </c>
      <c r="C1487" t="s">
        <v>404</v>
      </c>
      <c r="D1487">
        <v>18</v>
      </c>
      <c r="E1487">
        <v>156</v>
      </c>
      <c r="F1487">
        <v>0</v>
      </c>
      <c r="G1487">
        <v>0</v>
      </c>
      <c r="H1487">
        <v>0</v>
      </c>
      <c r="I1487">
        <v>0</v>
      </c>
      <c r="J1487">
        <v>0</v>
      </c>
      <c r="K1487">
        <v>0</v>
      </c>
      <c r="L1487">
        <v>0</v>
      </c>
      <c r="M1487">
        <v>0</v>
      </c>
      <c r="N1487">
        <v>0</v>
      </c>
      <c r="O1487">
        <v>0</v>
      </c>
    </row>
    <row r="1488" spans="1:15">
      <c r="A1488" t="s">
        <v>1803</v>
      </c>
      <c r="B1488" t="s">
        <v>292</v>
      </c>
      <c r="C1488" t="s">
        <v>404</v>
      </c>
      <c r="D1488">
        <v>19</v>
      </c>
      <c r="E1488">
        <v>156</v>
      </c>
      <c r="F1488">
        <v>0</v>
      </c>
      <c r="G1488">
        <v>0</v>
      </c>
      <c r="H1488">
        <v>0</v>
      </c>
      <c r="I1488">
        <v>0</v>
      </c>
      <c r="J1488">
        <v>0</v>
      </c>
      <c r="K1488">
        <v>0</v>
      </c>
      <c r="L1488">
        <v>0</v>
      </c>
      <c r="M1488">
        <v>0</v>
      </c>
      <c r="N1488">
        <v>0</v>
      </c>
      <c r="O1488">
        <v>0</v>
      </c>
    </row>
    <row r="1489" spans="1:15">
      <c r="A1489" t="s">
        <v>1804</v>
      </c>
      <c r="B1489" t="s">
        <v>292</v>
      </c>
      <c r="C1489" t="s">
        <v>404</v>
      </c>
      <c r="D1489">
        <v>20</v>
      </c>
      <c r="E1489">
        <v>156</v>
      </c>
      <c r="F1489">
        <v>0</v>
      </c>
      <c r="G1489">
        <v>0</v>
      </c>
      <c r="H1489">
        <v>0</v>
      </c>
      <c r="I1489">
        <v>0</v>
      </c>
      <c r="J1489">
        <v>0</v>
      </c>
      <c r="K1489">
        <v>0</v>
      </c>
      <c r="L1489">
        <v>0</v>
      </c>
      <c r="M1489">
        <v>0</v>
      </c>
      <c r="N1489">
        <v>0</v>
      </c>
      <c r="O1489">
        <v>0</v>
      </c>
    </row>
    <row r="1490" spans="1:15">
      <c r="A1490" t="s">
        <v>1805</v>
      </c>
      <c r="B1490" t="s">
        <v>292</v>
      </c>
      <c r="C1490" t="s">
        <v>404</v>
      </c>
      <c r="D1490">
        <v>21</v>
      </c>
      <c r="E1490">
        <v>156</v>
      </c>
      <c r="F1490">
        <v>0</v>
      </c>
      <c r="G1490">
        <v>0</v>
      </c>
      <c r="H1490">
        <v>0</v>
      </c>
      <c r="I1490">
        <v>0</v>
      </c>
      <c r="J1490">
        <v>0</v>
      </c>
      <c r="K1490">
        <v>0</v>
      </c>
      <c r="L1490">
        <v>0</v>
      </c>
      <c r="M1490">
        <v>0</v>
      </c>
      <c r="N1490">
        <v>0</v>
      </c>
      <c r="O1490">
        <v>0</v>
      </c>
    </row>
    <row r="1491" spans="1:15">
      <c r="A1491" t="s">
        <v>1806</v>
      </c>
      <c r="B1491" t="s">
        <v>292</v>
      </c>
      <c r="C1491" t="s">
        <v>404</v>
      </c>
      <c r="D1491">
        <v>22</v>
      </c>
      <c r="E1491">
        <v>156</v>
      </c>
      <c r="F1491">
        <v>0</v>
      </c>
      <c r="G1491">
        <v>0</v>
      </c>
      <c r="H1491">
        <v>0</v>
      </c>
      <c r="I1491">
        <v>0</v>
      </c>
      <c r="J1491">
        <v>0</v>
      </c>
      <c r="K1491">
        <v>0</v>
      </c>
      <c r="L1491">
        <v>0</v>
      </c>
      <c r="M1491">
        <v>0</v>
      </c>
      <c r="N1491">
        <v>0</v>
      </c>
      <c r="O1491">
        <v>0</v>
      </c>
    </row>
    <row r="1492" spans="1:15">
      <c r="A1492" t="s">
        <v>1807</v>
      </c>
      <c r="B1492" t="s">
        <v>292</v>
      </c>
      <c r="C1492" t="s">
        <v>404</v>
      </c>
      <c r="D1492">
        <v>23</v>
      </c>
      <c r="E1492">
        <v>156</v>
      </c>
      <c r="F1492">
        <v>0</v>
      </c>
      <c r="G1492">
        <v>0</v>
      </c>
      <c r="H1492">
        <v>0</v>
      </c>
      <c r="I1492">
        <v>0</v>
      </c>
      <c r="J1492">
        <v>0</v>
      </c>
      <c r="K1492">
        <v>0</v>
      </c>
      <c r="L1492">
        <v>0</v>
      </c>
      <c r="M1492">
        <v>0</v>
      </c>
      <c r="N1492">
        <v>0</v>
      </c>
      <c r="O1492">
        <v>0</v>
      </c>
    </row>
    <row r="1493" spans="1:15">
      <c r="A1493" t="s">
        <v>1808</v>
      </c>
      <c r="B1493" t="s">
        <v>292</v>
      </c>
      <c r="C1493" t="s">
        <v>404</v>
      </c>
      <c r="D1493">
        <v>24</v>
      </c>
      <c r="E1493">
        <v>156</v>
      </c>
      <c r="F1493">
        <v>0</v>
      </c>
      <c r="G1493">
        <v>0</v>
      </c>
      <c r="H1493">
        <v>0</v>
      </c>
      <c r="I1493">
        <v>0</v>
      </c>
      <c r="J1493">
        <v>0</v>
      </c>
      <c r="K1493">
        <v>0</v>
      </c>
      <c r="L1493">
        <v>0</v>
      </c>
      <c r="M1493">
        <v>0</v>
      </c>
      <c r="N1493">
        <v>0</v>
      </c>
      <c r="O1493">
        <v>0</v>
      </c>
    </row>
    <row r="1494" spans="1:15">
      <c r="A1494" t="s">
        <v>1809</v>
      </c>
      <c r="B1494" t="s">
        <v>292</v>
      </c>
      <c r="C1494" t="s">
        <v>404</v>
      </c>
      <c r="D1494">
        <v>25</v>
      </c>
      <c r="E1494">
        <v>156</v>
      </c>
      <c r="F1494">
        <v>0</v>
      </c>
      <c r="G1494">
        <v>0</v>
      </c>
      <c r="H1494">
        <v>0</v>
      </c>
      <c r="I1494">
        <v>0</v>
      </c>
      <c r="J1494">
        <v>0</v>
      </c>
      <c r="K1494">
        <v>0</v>
      </c>
      <c r="L1494">
        <v>0</v>
      </c>
      <c r="M1494">
        <v>0</v>
      </c>
      <c r="N1494">
        <v>0</v>
      </c>
      <c r="O1494">
        <v>0</v>
      </c>
    </row>
    <row r="1495" spans="1:15">
      <c r="A1495" t="s">
        <v>1810</v>
      </c>
      <c r="B1495" t="s">
        <v>292</v>
      </c>
      <c r="C1495" t="s">
        <v>404</v>
      </c>
      <c r="D1495">
        <v>26</v>
      </c>
      <c r="E1495">
        <v>156</v>
      </c>
      <c r="F1495">
        <v>0</v>
      </c>
      <c r="G1495">
        <v>0</v>
      </c>
      <c r="H1495">
        <v>0</v>
      </c>
      <c r="I1495">
        <v>0</v>
      </c>
      <c r="J1495">
        <v>0</v>
      </c>
      <c r="K1495">
        <v>0</v>
      </c>
      <c r="L1495">
        <v>0</v>
      </c>
      <c r="M1495">
        <v>0</v>
      </c>
      <c r="N1495">
        <v>0</v>
      </c>
      <c r="O1495">
        <v>0</v>
      </c>
    </row>
    <row r="1496" spans="1:15">
      <c r="A1496" t="s">
        <v>1811</v>
      </c>
      <c r="B1496" t="s">
        <v>292</v>
      </c>
      <c r="C1496" t="s">
        <v>404</v>
      </c>
      <c r="D1496">
        <v>27</v>
      </c>
      <c r="E1496">
        <v>156</v>
      </c>
      <c r="F1496">
        <v>0</v>
      </c>
      <c r="G1496">
        <v>0</v>
      </c>
      <c r="H1496">
        <v>0</v>
      </c>
      <c r="I1496">
        <v>0</v>
      </c>
      <c r="J1496">
        <v>0</v>
      </c>
      <c r="K1496">
        <v>0</v>
      </c>
      <c r="L1496">
        <v>0</v>
      </c>
      <c r="M1496">
        <v>0</v>
      </c>
      <c r="N1496">
        <v>0</v>
      </c>
      <c r="O1496">
        <v>0</v>
      </c>
    </row>
    <row r="1497" spans="1:15">
      <c r="A1497" t="s">
        <v>1812</v>
      </c>
      <c r="B1497" t="s">
        <v>292</v>
      </c>
      <c r="C1497" t="s">
        <v>404</v>
      </c>
      <c r="D1497">
        <v>28</v>
      </c>
      <c r="E1497">
        <v>156</v>
      </c>
      <c r="F1497">
        <v>0</v>
      </c>
      <c r="G1497">
        <v>0</v>
      </c>
      <c r="H1497">
        <v>0</v>
      </c>
      <c r="I1497">
        <v>0</v>
      </c>
      <c r="J1497">
        <v>0</v>
      </c>
      <c r="K1497">
        <v>0</v>
      </c>
      <c r="L1497">
        <v>0</v>
      </c>
      <c r="M1497">
        <v>0</v>
      </c>
      <c r="N1497">
        <v>0</v>
      </c>
      <c r="O1497">
        <v>0</v>
      </c>
    </row>
    <row r="1498" spans="1:15">
      <c r="A1498" t="s">
        <v>1813</v>
      </c>
      <c r="B1498" t="s">
        <v>292</v>
      </c>
      <c r="C1498" t="s">
        <v>404</v>
      </c>
      <c r="D1498">
        <v>29</v>
      </c>
      <c r="E1498">
        <v>156</v>
      </c>
      <c r="F1498">
        <v>0</v>
      </c>
      <c r="G1498">
        <v>0</v>
      </c>
      <c r="H1498">
        <v>0</v>
      </c>
      <c r="I1498">
        <v>0</v>
      </c>
      <c r="J1498">
        <v>0</v>
      </c>
      <c r="K1498">
        <v>0</v>
      </c>
      <c r="L1498">
        <v>0</v>
      </c>
      <c r="M1498">
        <v>0</v>
      </c>
      <c r="N1498">
        <v>0</v>
      </c>
      <c r="O1498">
        <v>0</v>
      </c>
    </row>
    <row r="1499" spans="1:15">
      <c r="A1499" t="s">
        <v>1814</v>
      </c>
      <c r="B1499" t="s">
        <v>292</v>
      </c>
      <c r="C1499" t="s">
        <v>404</v>
      </c>
      <c r="D1499">
        <v>30</v>
      </c>
      <c r="E1499">
        <v>156</v>
      </c>
      <c r="F1499">
        <v>0</v>
      </c>
      <c r="G1499">
        <v>0</v>
      </c>
      <c r="H1499">
        <v>0</v>
      </c>
      <c r="I1499">
        <v>0</v>
      </c>
      <c r="J1499">
        <v>0</v>
      </c>
      <c r="K1499">
        <v>0</v>
      </c>
      <c r="L1499">
        <v>0</v>
      </c>
      <c r="M1499">
        <v>0</v>
      </c>
      <c r="N1499">
        <v>0</v>
      </c>
      <c r="O1499">
        <v>0</v>
      </c>
    </row>
    <row r="1500" spans="1:15">
      <c r="A1500" t="s">
        <v>1815</v>
      </c>
      <c r="B1500" t="s">
        <v>292</v>
      </c>
      <c r="C1500" t="s">
        <v>404</v>
      </c>
      <c r="D1500">
        <v>31</v>
      </c>
      <c r="E1500">
        <v>156</v>
      </c>
      <c r="F1500">
        <v>0</v>
      </c>
      <c r="G1500">
        <v>0</v>
      </c>
      <c r="H1500">
        <v>0</v>
      </c>
      <c r="I1500">
        <v>0</v>
      </c>
      <c r="J1500">
        <v>0</v>
      </c>
      <c r="K1500">
        <v>0</v>
      </c>
      <c r="L1500">
        <v>0</v>
      </c>
      <c r="M1500">
        <v>0</v>
      </c>
      <c r="N1500">
        <v>0</v>
      </c>
      <c r="O1500">
        <v>0</v>
      </c>
    </row>
    <row r="1501" spans="1:15">
      <c r="A1501" t="s">
        <v>1816</v>
      </c>
      <c r="B1501" t="s">
        <v>292</v>
      </c>
      <c r="C1501" t="s">
        <v>404</v>
      </c>
      <c r="D1501">
        <v>32</v>
      </c>
      <c r="E1501">
        <v>156</v>
      </c>
      <c r="F1501">
        <v>0</v>
      </c>
      <c r="G1501">
        <v>0</v>
      </c>
      <c r="H1501">
        <v>0</v>
      </c>
      <c r="I1501">
        <v>0</v>
      </c>
      <c r="J1501">
        <v>0</v>
      </c>
      <c r="K1501">
        <v>0</v>
      </c>
      <c r="L1501">
        <v>0</v>
      </c>
      <c r="M1501">
        <v>0</v>
      </c>
      <c r="N1501">
        <v>0</v>
      </c>
      <c r="O1501">
        <v>0</v>
      </c>
    </row>
    <row r="1502" spans="1:15">
      <c r="A1502" t="s">
        <v>1817</v>
      </c>
      <c r="B1502" t="s">
        <v>292</v>
      </c>
      <c r="C1502" t="s">
        <v>404</v>
      </c>
      <c r="D1502">
        <v>33</v>
      </c>
      <c r="E1502">
        <v>156</v>
      </c>
      <c r="F1502">
        <v>0</v>
      </c>
      <c r="G1502">
        <v>0</v>
      </c>
      <c r="H1502">
        <v>0</v>
      </c>
      <c r="I1502">
        <v>0</v>
      </c>
      <c r="J1502">
        <v>0</v>
      </c>
      <c r="K1502">
        <v>0</v>
      </c>
      <c r="L1502">
        <v>0</v>
      </c>
      <c r="M1502">
        <v>0</v>
      </c>
      <c r="N1502">
        <v>0</v>
      </c>
      <c r="O1502">
        <v>0</v>
      </c>
    </row>
    <row r="1503" spans="1:15">
      <c r="A1503" t="s">
        <v>1818</v>
      </c>
      <c r="B1503" t="s">
        <v>292</v>
      </c>
      <c r="C1503" t="s">
        <v>404</v>
      </c>
      <c r="D1503">
        <v>34</v>
      </c>
      <c r="E1503">
        <v>156</v>
      </c>
      <c r="F1503">
        <v>0</v>
      </c>
      <c r="G1503">
        <v>0</v>
      </c>
      <c r="H1503">
        <v>0</v>
      </c>
      <c r="I1503">
        <v>0</v>
      </c>
      <c r="J1503">
        <v>0</v>
      </c>
      <c r="K1503">
        <v>0</v>
      </c>
      <c r="L1503">
        <v>0</v>
      </c>
      <c r="M1503">
        <v>0</v>
      </c>
      <c r="N1503">
        <v>0</v>
      </c>
      <c r="O1503">
        <v>0</v>
      </c>
    </row>
    <row r="1504" spans="1:15">
      <c r="A1504" t="s">
        <v>1819</v>
      </c>
      <c r="B1504" t="s">
        <v>292</v>
      </c>
      <c r="C1504" t="s">
        <v>404</v>
      </c>
      <c r="D1504">
        <v>35</v>
      </c>
      <c r="E1504">
        <v>156</v>
      </c>
      <c r="F1504">
        <v>0</v>
      </c>
      <c r="G1504">
        <v>0</v>
      </c>
      <c r="H1504">
        <v>0</v>
      </c>
      <c r="I1504">
        <v>0</v>
      </c>
      <c r="J1504">
        <v>0</v>
      </c>
      <c r="K1504">
        <v>0</v>
      </c>
      <c r="L1504">
        <v>0</v>
      </c>
      <c r="M1504">
        <v>0</v>
      </c>
      <c r="N1504">
        <v>0</v>
      </c>
      <c r="O1504">
        <v>0</v>
      </c>
    </row>
    <row r="1505" spans="1:15">
      <c r="A1505" t="s">
        <v>1820</v>
      </c>
      <c r="B1505" t="s">
        <v>292</v>
      </c>
      <c r="C1505" t="s">
        <v>404</v>
      </c>
      <c r="D1505">
        <v>36</v>
      </c>
      <c r="E1505">
        <v>156</v>
      </c>
      <c r="F1505">
        <v>0</v>
      </c>
      <c r="G1505">
        <v>0</v>
      </c>
      <c r="H1505">
        <v>0</v>
      </c>
      <c r="I1505">
        <v>0</v>
      </c>
      <c r="J1505">
        <v>0</v>
      </c>
      <c r="K1505">
        <v>0</v>
      </c>
      <c r="L1505">
        <v>0</v>
      </c>
      <c r="M1505">
        <v>0</v>
      </c>
      <c r="N1505">
        <v>0</v>
      </c>
      <c r="O1505">
        <v>0</v>
      </c>
    </row>
    <row r="1506" spans="1:15">
      <c r="A1506" t="s">
        <v>1821</v>
      </c>
      <c r="B1506" t="s">
        <v>292</v>
      </c>
      <c r="C1506" t="s">
        <v>404</v>
      </c>
      <c r="D1506">
        <v>37</v>
      </c>
      <c r="E1506">
        <v>156</v>
      </c>
      <c r="F1506">
        <v>0</v>
      </c>
      <c r="G1506">
        <v>0</v>
      </c>
      <c r="H1506">
        <v>0</v>
      </c>
      <c r="I1506">
        <v>0</v>
      </c>
      <c r="J1506">
        <v>0</v>
      </c>
      <c r="K1506">
        <v>0</v>
      </c>
      <c r="L1506">
        <v>0</v>
      </c>
      <c r="M1506">
        <v>0</v>
      </c>
      <c r="N1506">
        <v>0</v>
      </c>
      <c r="O1506">
        <v>0</v>
      </c>
    </row>
    <row r="1507" spans="1:15">
      <c r="A1507" t="s">
        <v>1822</v>
      </c>
      <c r="B1507" t="s">
        <v>292</v>
      </c>
      <c r="C1507" t="s">
        <v>404</v>
      </c>
      <c r="D1507">
        <v>38</v>
      </c>
      <c r="E1507">
        <v>156</v>
      </c>
      <c r="F1507">
        <v>0</v>
      </c>
      <c r="G1507">
        <v>0</v>
      </c>
      <c r="H1507">
        <v>0</v>
      </c>
      <c r="I1507">
        <v>0</v>
      </c>
      <c r="J1507">
        <v>0</v>
      </c>
      <c r="K1507">
        <v>0</v>
      </c>
      <c r="L1507">
        <v>0</v>
      </c>
      <c r="M1507">
        <v>0</v>
      </c>
      <c r="N1507">
        <v>0</v>
      </c>
      <c r="O1507">
        <v>0</v>
      </c>
    </row>
    <row r="1508" spans="1:15">
      <c r="A1508" t="s">
        <v>1823</v>
      </c>
      <c r="B1508" t="s">
        <v>292</v>
      </c>
      <c r="C1508" t="s">
        <v>404</v>
      </c>
      <c r="D1508">
        <v>39</v>
      </c>
      <c r="E1508">
        <v>156</v>
      </c>
      <c r="F1508">
        <v>0</v>
      </c>
      <c r="G1508">
        <v>0</v>
      </c>
      <c r="H1508">
        <v>0</v>
      </c>
      <c r="I1508">
        <v>0</v>
      </c>
      <c r="J1508">
        <v>0</v>
      </c>
      <c r="K1508">
        <v>0</v>
      </c>
      <c r="L1508">
        <v>0</v>
      </c>
      <c r="M1508">
        <v>0</v>
      </c>
      <c r="N1508">
        <v>0</v>
      </c>
      <c r="O1508">
        <v>0</v>
      </c>
    </row>
    <row r="1509" spans="1:15">
      <c r="A1509" t="s">
        <v>1824</v>
      </c>
      <c r="B1509" t="s">
        <v>292</v>
      </c>
      <c r="C1509" t="s">
        <v>404</v>
      </c>
      <c r="D1509">
        <v>40</v>
      </c>
      <c r="E1509">
        <v>156</v>
      </c>
      <c r="F1509">
        <v>0</v>
      </c>
      <c r="G1509">
        <v>0</v>
      </c>
      <c r="H1509">
        <v>0</v>
      </c>
      <c r="I1509">
        <v>0</v>
      </c>
      <c r="J1509">
        <v>0</v>
      </c>
      <c r="K1509">
        <v>0</v>
      </c>
      <c r="L1509">
        <v>0</v>
      </c>
      <c r="M1509">
        <v>0</v>
      </c>
      <c r="N1509">
        <v>0</v>
      </c>
      <c r="O1509">
        <v>0</v>
      </c>
    </row>
    <row r="1510" spans="1:15">
      <c r="A1510" t="s">
        <v>1825</v>
      </c>
      <c r="B1510" t="s">
        <v>292</v>
      </c>
      <c r="C1510" t="s">
        <v>404</v>
      </c>
      <c r="D1510">
        <v>41</v>
      </c>
      <c r="E1510">
        <v>156</v>
      </c>
      <c r="F1510">
        <v>0</v>
      </c>
      <c r="G1510">
        <v>0</v>
      </c>
      <c r="H1510">
        <v>0</v>
      </c>
      <c r="I1510">
        <v>0</v>
      </c>
      <c r="J1510">
        <v>0</v>
      </c>
      <c r="K1510">
        <v>0</v>
      </c>
      <c r="L1510">
        <v>0</v>
      </c>
      <c r="M1510">
        <v>0</v>
      </c>
      <c r="N1510">
        <v>0</v>
      </c>
      <c r="O1510">
        <v>0</v>
      </c>
    </row>
    <row r="1511" spans="1:15">
      <c r="A1511" t="s">
        <v>1826</v>
      </c>
      <c r="B1511" t="s">
        <v>292</v>
      </c>
      <c r="C1511" t="s">
        <v>404</v>
      </c>
      <c r="D1511">
        <v>42</v>
      </c>
      <c r="E1511">
        <v>156</v>
      </c>
      <c r="F1511">
        <v>0</v>
      </c>
      <c r="G1511">
        <v>0</v>
      </c>
      <c r="H1511">
        <v>0</v>
      </c>
      <c r="I1511">
        <v>0</v>
      </c>
      <c r="J1511">
        <v>0</v>
      </c>
      <c r="K1511">
        <v>0</v>
      </c>
      <c r="L1511">
        <v>0</v>
      </c>
      <c r="M1511">
        <v>0</v>
      </c>
      <c r="N1511">
        <v>0</v>
      </c>
      <c r="O1511">
        <v>0</v>
      </c>
    </row>
    <row r="1512" spans="1:15">
      <c r="A1512" t="s">
        <v>1827</v>
      </c>
      <c r="B1512" t="s">
        <v>292</v>
      </c>
      <c r="C1512" t="s">
        <v>404</v>
      </c>
      <c r="D1512">
        <v>43</v>
      </c>
      <c r="E1512">
        <v>156</v>
      </c>
      <c r="F1512">
        <v>0</v>
      </c>
      <c r="G1512">
        <v>0</v>
      </c>
      <c r="H1512">
        <v>0</v>
      </c>
      <c r="I1512">
        <v>0</v>
      </c>
      <c r="J1512">
        <v>0</v>
      </c>
      <c r="K1512">
        <v>0</v>
      </c>
      <c r="L1512">
        <v>0</v>
      </c>
      <c r="M1512">
        <v>0</v>
      </c>
      <c r="N1512">
        <v>0</v>
      </c>
      <c r="O1512">
        <v>0</v>
      </c>
    </row>
    <row r="1513" spans="1:15">
      <c r="A1513" t="s">
        <v>1828</v>
      </c>
      <c r="B1513" t="s">
        <v>292</v>
      </c>
      <c r="C1513" t="s">
        <v>404</v>
      </c>
      <c r="D1513">
        <v>44</v>
      </c>
      <c r="E1513">
        <v>156</v>
      </c>
      <c r="F1513">
        <v>0</v>
      </c>
      <c r="G1513">
        <v>0</v>
      </c>
      <c r="H1513">
        <v>0</v>
      </c>
      <c r="I1513">
        <v>0</v>
      </c>
      <c r="J1513">
        <v>0</v>
      </c>
      <c r="K1513">
        <v>0</v>
      </c>
      <c r="L1513">
        <v>0</v>
      </c>
      <c r="M1513">
        <v>0</v>
      </c>
      <c r="N1513">
        <v>0</v>
      </c>
      <c r="O1513">
        <v>0</v>
      </c>
    </row>
    <row r="1514" spans="1:15">
      <c r="A1514" t="s">
        <v>1829</v>
      </c>
      <c r="B1514" t="s">
        <v>292</v>
      </c>
      <c r="C1514" t="s">
        <v>404</v>
      </c>
      <c r="D1514">
        <v>45</v>
      </c>
      <c r="E1514">
        <v>156</v>
      </c>
      <c r="F1514">
        <v>0</v>
      </c>
      <c r="G1514">
        <v>0</v>
      </c>
      <c r="H1514">
        <v>0</v>
      </c>
      <c r="I1514">
        <v>0</v>
      </c>
      <c r="J1514">
        <v>0</v>
      </c>
      <c r="K1514">
        <v>0</v>
      </c>
      <c r="L1514">
        <v>0</v>
      </c>
      <c r="M1514">
        <v>0</v>
      </c>
      <c r="N1514">
        <v>0</v>
      </c>
      <c r="O1514">
        <v>0</v>
      </c>
    </row>
    <row r="1515" spans="1:15">
      <c r="A1515" t="s">
        <v>1830</v>
      </c>
      <c r="B1515" t="s">
        <v>292</v>
      </c>
      <c r="C1515" t="s">
        <v>404</v>
      </c>
      <c r="D1515">
        <v>46</v>
      </c>
      <c r="E1515">
        <v>156</v>
      </c>
      <c r="F1515">
        <v>0</v>
      </c>
      <c r="G1515">
        <v>0</v>
      </c>
      <c r="H1515">
        <v>0</v>
      </c>
      <c r="I1515">
        <v>0</v>
      </c>
      <c r="J1515">
        <v>0</v>
      </c>
      <c r="K1515">
        <v>0</v>
      </c>
      <c r="L1515">
        <v>0</v>
      </c>
      <c r="M1515">
        <v>0</v>
      </c>
      <c r="N1515">
        <v>0</v>
      </c>
      <c r="O1515">
        <v>0</v>
      </c>
    </row>
    <row r="1516" spans="1:15">
      <c r="A1516" t="s">
        <v>1831</v>
      </c>
      <c r="B1516" t="s">
        <v>292</v>
      </c>
      <c r="C1516" t="s">
        <v>404</v>
      </c>
      <c r="D1516">
        <v>47</v>
      </c>
      <c r="E1516">
        <v>156</v>
      </c>
      <c r="F1516">
        <v>0</v>
      </c>
      <c r="G1516">
        <v>0</v>
      </c>
      <c r="H1516">
        <v>0</v>
      </c>
      <c r="I1516">
        <v>0</v>
      </c>
      <c r="J1516">
        <v>0</v>
      </c>
      <c r="K1516">
        <v>0</v>
      </c>
      <c r="L1516">
        <v>0</v>
      </c>
      <c r="M1516">
        <v>0</v>
      </c>
      <c r="N1516">
        <v>0</v>
      </c>
      <c r="O1516">
        <v>0</v>
      </c>
    </row>
    <row r="1517" spans="1:15">
      <c r="A1517" t="s">
        <v>1832</v>
      </c>
      <c r="B1517" t="s">
        <v>292</v>
      </c>
      <c r="C1517" t="s">
        <v>404</v>
      </c>
      <c r="D1517">
        <v>48</v>
      </c>
      <c r="E1517">
        <v>156</v>
      </c>
      <c r="F1517">
        <v>0</v>
      </c>
      <c r="G1517">
        <v>0</v>
      </c>
      <c r="H1517">
        <v>0</v>
      </c>
      <c r="I1517">
        <v>0</v>
      </c>
      <c r="J1517">
        <v>0</v>
      </c>
      <c r="K1517">
        <v>0</v>
      </c>
      <c r="L1517">
        <v>0</v>
      </c>
      <c r="M1517">
        <v>0</v>
      </c>
      <c r="N1517">
        <v>0</v>
      </c>
      <c r="O1517">
        <v>0</v>
      </c>
    </row>
    <row r="1518" spans="1:15">
      <c r="A1518" t="s">
        <v>1833</v>
      </c>
      <c r="B1518" t="s">
        <v>292</v>
      </c>
      <c r="C1518" t="s">
        <v>404</v>
      </c>
      <c r="D1518">
        <v>49</v>
      </c>
      <c r="E1518">
        <v>156</v>
      </c>
      <c r="F1518">
        <v>0</v>
      </c>
      <c r="G1518">
        <v>0</v>
      </c>
      <c r="H1518">
        <v>0</v>
      </c>
      <c r="I1518">
        <v>0</v>
      </c>
      <c r="J1518">
        <v>0</v>
      </c>
      <c r="K1518">
        <v>0</v>
      </c>
      <c r="L1518">
        <v>0</v>
      </c>
      <c r="M1518">
        <v>0</v>
      </c>
      <c r="N1518">
        <v>0</v>
      </c>
      <c r="O1518">
        <v>0</v>
      </c>
    </row>
    <row r="1519" spans="1:15">
      <c r="A1519" t="s">
        <v>1834</v>
      </c>
      <c r="B1519" t="s">
        <v>292</v>
      </c>
      <c r="C1519" t="s">
        <v>404</v>
      </c>
      <c r="D1519">
        <v>50</v>
      </c>
      <c r="E1519">
        <v>156</v>
      </c>
      <c r="F1519">
        <v>0</v>
      </c>
      <c r="G1519">
        <v>0</v>
      </c>
      <c r="H1519">
        <v>0</v>
      </c>
      <c r="I1519">
        <v>0</v>
      </c>
      <c r="J1519">
        <v>0</v>
      </c>
      <c r="K1519">
        <v>0</v>
      </c>
      <c r="L1519">
        <v>0</v>
      </c>
      <c r="M1519">
        <v>0</v>
      </c>
      <c r="N1519">
        <v>0</v>
      </c>
      <c r="O1519">
        <v>0</v>
      </c>
    </row>
    <row r="1520" spans="1:15">
      <c r="A1520" t="s">
        <v>1835</v>
      </c>
      <c r="B1520" t="s">
        <v>292</v>
      </c>
      <c r="C1520" t="s">
        <v>404</v>
      </c>
      <c r="D1520">
        <v>51</v>
      </c>
      <c r="E1520">
        <v>156</v>
      </c>
      <c r="F1520">
        <v>0</v>
      </c>
      <c r="G1520">
        <v>0</v>
      </c>
      <c r="H1520">
        <v>0</v>
      </c>
      <c r="I1520">
        <v>0</v>
      </c>
      <c r="J1520">
        <v>0</v>
      </c>
      <c r="K1520">
        <v>0</v>
      </c>
      <c r="L1520">
        <v>0</v>
      </c>
      <c r="M1520">
        <v>0</v>
      </c>
      <c r="N1520">
        <v>0</v>
      </c>
      <c r="O1520">
        <v>0</v>
      </c>
    </row>
    <row r="1521" spans="1:15">
      <c r="A1521" t="s">
        <v>1836</v>
      </c>
      <c r="B1521" t="s">
        <v>292</v>
      </c>
      <c r="C1521" t="s">
        <v>404</v>
      </c>
      <c r="D1521">
        <v>52</v>
      </c>
      <c r="E1521">
        <v>156</v>
      </c>
      <c r="F1521">
        <v>0</v>
      </c>
      <c r="G1521">
        <v>0</v>
      </c>
      <c r="H1521">
        <v>0</v>
      </c>
      <c r="I1521">
        <v>0</v>
      </c>
      <c r="J1521">
        <v>0</v>
      </c>
      <c r="K1521">
        <v>0</v>
      </c>
      <c r="L1521">
        <v>0</v>
      </c>
      <c r="M1521">
        <v>0</v>
      </c>
      <c r="N1521">
        <v>0</v>
      </c>
      <c r="O1521">
        <v>0</v>
      </c>
    </row>
    <row r="1522" spans="1:15">
      <c r="A1522" t="s">
        <v>1837</v>
      </c>
      <c r="B1522" t="s">
        <v>292</v>
      </c>
      <c r="C1522" t="s">
        <v>404</v>
      </c>
      <c r="D1522">
        <v>53</v>
      </c>
      <c r="E1522">
        <v>156</v>
      </c>
      <c r="F1522">
        <v>0</v>
      </c>
      <c r="G1522">
        <v>0</v>
      </c>
      <c r="H1522">
        <v>0</v>
      </c>
      <c r="I1522">
        <v>0</v>
      </c>
      <c r="J1522">
        <v>0</v>
      </c>
      <c r="K1522">
        <v>0</v>
      </c>
      <c r="L1522">
        <v>0</v>
      </c>
      <c r="M1522">
        <v>0</v>
      </c>
      <c r="N1522">
        <v>0</v>
      </c>
      <c r="O1522">
        <v>0</v>
      </c>
    </row>
    <row r="1523" spans="1:15">
      <c r="A1523" t="s">
        <v>1838</v>
      </c>
      <c r="B1523" t="s">
        <v>292</v>
      </c>
      <c r="C1523" t="s">
        <v>404</v>
      </c>
      <c r="D1523">
        <v>54</v>
      </c>
      <c r="E1523">
        <v>156</v>
      </c>
      <c r="F1523">
        <v>0</v>
      </c>
      <c r="G1523">
        <v>0</v>
      </c>
      <c r="H1523">
        <v>0</v>
      </c>
      <c r="I1523">
        <v>0</v>
      </c>
      <c r="J1523">
        <v>0</v>
      </c>
      <c r="K1523">
        <v>0</v>
      </c>
      <c r="L1523">
        <v>0</v>
      </c>
      <c r="M1523">
        <v>0</v>
      </c>
      <c r="N1523">
        <v>0</v>
      </c>
      <c r="O1523">
        <v>0</v>
      </c>
    </row>
    <row r="1524" spans="1:15">
      <c r="A1524" t="s">
        <v>1839</v>
      </c>
      <c r="B1524" t="s">
        <v>292</v>
      </c>
      <c r="C1524" t="s">
        <v>404</v>
      </c>
      <c r="D1524">
        <v>55</v>
      </c>
      <c r="E1524">
        <v>156</v>
      </c>
      <c r="F1524">
        <v>0</v>
      </c>
      <c r="G1524">
        <v>0</v>
      </c>
      <c r="H1524">
        <v>0</v>
      </c>
      <c r="I1524">
        <v>0</v>
      </c>
      <c r="J1524">
        <v>0</v>
      </c>
      <c r="K1524">
        <v>0</v>
      </c>
      <c r="L1524">
        <v>0</v>
      </c>
      <c r="M1524">
        <v>0</v>
      </c>
      <c r="N1524">
        <v>0</v>
      </c>
      <c r="O1524">
        <v>0</v>
      </c>
    </row>
    <row r="1525" spans="1:15">
      <c r="A1525" t="s">
        <v>1840</v>
      </c>
      <c r="B1525" t="s">
        <v>292</v>
      </c>
      <c r="C1525" t="s">
        <v>404</v>
      </c>
      <c r="D1525">
        <v>56</v>
      </c>
      <c r="E1525">
        <v>156</v>
      </c>
      <c r="F1525">
        <v>0</v>
      </c>
      <c r="G1525">
        <v>0</v>
      </c>
      <c r="H1525">
        <v>0</v>
      </c>
      <c r="I1525">
        <v>0</v>
      </c>
      <c r="J1525">
        <v>0</v>
      </c>
      <c r="K1525">
        <v>0</v>
      </c>
      <c r="L1525">
        <v>0</v>
      </c>
      <c r="M1525">
        <v>0</v>
      </c>
      <c r="N1525">
        <v>0</v>
      </c>
      <c r="O1525">
        <v>0</v>
      </c>
    </row>
    <row r="1526" spans="1:15">
      <c r="A1526" t="s">
        <v>1841</v>
      </c>
      <c r="B1526" t="s">
        <v>292</v>
      </c>
      <c r="C1526" t="s">
        <v>404</v>
      </c>
      <c r="D1526">
        <v>57</v>
      </c>
      <c r="E1526">
        <v>156</v>
      </c>
      <c r="F1526">
        <v>0</v>
      </c>
      <c r="G1526">
        <v>0</v>
      </c>
      <c r="H1526">
        <v>0</v>
      </c>
      <c r="I1526">
        <v>0</v>
      </c>
      <c r="J1526">
        <v>0</v>
      </c>
      <c r="K1526">
        <v>0</v>
      </c>
      <c r="L1526">
        <v>0</v>
      </c>
      <c r="M1526">
        <v>0</v>
      </c>
      <c r="N1526">
        <v>0</v>
      </c>
      <c r="O1526">
        <v>0</v>
      </c>
    </row>
    <row r="1527" spans="1:15">
      <c r="A1527" t="s">
        <v>1842</v>
      </c>
      <c r="B1527" t="s">
        <v>292</v>
      </c>
      <c r="C1527" t="s">
        <v>404</v>
      </c>
      <c r="D1527">
        <v>58</v>
      </c>
      <c r="E1527">
        <v>156</v>
      </c>
      <c r="F1527">
        <v>0</v>
      </c>
      <c r="G1527">
        <v>0</v>
      </c>
      <c r="H1527">
        <v>0</v>
      </c>
      <c r="I1527">
        <v>0</v>
      </c>
      <c r="J1527">
        <v>0</v>
      </c>
      <c r="K1527">
        <v>0</v>
      </c>
      <c r="L1527">
        <v>0</v>
      </c>
      <c r="M1527">
        <v>0</v>
      </c>
      <c r="N1527">
        <v>0</v>
      </c>
      <c r="O1527">
        <v>0</v>
      </c>
    </row>
    <row r="1528" spans="1:15">
      <c r="A1528" t="s">
        <v>1843</v>
      </c>
      <c r="B1528" t="s">
        <v>292</v>
      </c>
      <c r="C1528" t="s">
        <v>404</v>
      </c>
      <c r="D1528">
        <v>59</v>
      </c>
      <c r="E1528">
        <v>156</v>
      </c>
      <c r="F1528">
        <v>0</v>
      </c>
      <c r="G1528">
        <v>0</v>
      </c>
      <c r="H1528">
        <v>0</v>
      </c>
      <c r="I1528">
        <v>0</v>
      </c>
      <c r="J1528">
        <v>0</v>
      </c>
      <c r="K1528">
        <v>0</v>
      </c>
      <c r="L1528">
        <v>0</v>
      </c>
      <c r="M1528">
        <v>0</v>
      </c>
      <c r="N1528">
        <v>0</v>
      </c>
      <c r="O1528">
        <v>0</v>
      </c>
    </row>
    <row r="1529" spans="1:15">
      <c r="A1529" t="s">
        <v>1844</v>
      </c>
      <c r="B1529" t="s">
        <v>292</v>
      </c>
      <c r="C1529" t="s">
        <v>404</v>
      </c>
      <c r="D1529">
        <v>60</v>
      </c>
      <c r="E1529">
        <v>156</v>
      </c>
      <c r="F1529">
        <v>0</v>
      </c>
      <c r="G1529">
        <v>0</v>
      </c>
      <c r="H1529">
        <v>0</v>
      </c>
      <c r="I1529">
        <v>0</v>
      </c>
      <c r="J1529">
        <v>0</v>
      </c>
      <c r="K1529">
        <v>0</v>
      </c>
      <c r="L1529">
        <v>0</v>
      </c>
      <c r="M1529">
        <v>0</v>
      </c>
      <c r="N1529">
        <v>0</v>
      </c>
      <c r="O1529">
        <v>0</v>
      </c>
    </row>
    <row r="1530" spans="1:15">
      <c r="A1530" t="s">
        <v>1845</v>
      </c>
      <c r="B1530" t="s">
        <v>292</v>
      </c>
      <c r="C1530" t="s">
        <v>404</v>
      </c>
      <c r="D1530">
        <v>61</v>
      </c>
      <c r="E1530">
        <v>156</v>
      </c>
      <c r="F1530">
        <v>0</v>
      </c>
      <c r="G1530">
        <v>0</v>
      </c>
      <c r="H1530">
        <v>0</v>
      </c>
      <c r="I1530">
        <v>0</v>
      </c>
      <c r="J1530">
        <v>0</v>
      </c>
      <c r="K1530">
        <v>0</v>
      </c>
      <c r="L1530">
        <v>0</v>
      </c>
      <c r="M1530">
        <v>0</v>
      </c>
      <c r="N1530">
        <v>0</v>
      </c>
      <c r="O1530">
        <v>0</v>
      </c>
    </row>
    <row r="1531" spans="1:15">
      <c r="A1531" t="s">
        <v>1846</v>
      </c>
      <c r="B1531" t="s">
        <v>292</v>
      </c>
      <c r="C1531" t="s">
        <v>404</v>
      </c>
      <c r="D1531">
        <v>62</v>
      </c>
      <c r="E1531">
        <v>156</v>
      </c>
      <c r="F1531">
        <v>0</v>
      </c>
      <c r="G1531">
        <v>0</v>
      </c>
      <c r="H1531">
        <v>0</v>
      </c>
      <c r="I1531">
        <v>0</v>
      </c>
      <c r="J1531">
        <v>0</v>
      </c>
      <c r="K1531">
        <v>0</v>
      </c>
      <c r="L1531">
        <v>0</v>
      </c>
      <c r="M1531">
        <v>0</v>
      </c>
      <c r="N1531">
        <v>0</v>
      </c>
      <c r="O1531">
        <v>0</v>
      </c>
    </row>
    <row r="1532" spans="1:15">
      <c r="A1532" t="s">
        <v>1847</v>
      </c>
      <c r="B1532" t="s">
        <v>292</v>
      </c>
      <c r="C1532" t="s">
        <v>404</v>
      </c>
      <c r="D1532">
        <v>63</v>
      </c>
      <c r="E1532">
        <v>156</v>
      </c>
      <c r="F1532">
        <v>0</v>
      </c>
      <c r="G1532">
        <v>0</v>
      </c>
      <c r="H1532">
        <v>0</v>
      </c>
      <c r="I1532">
        <v>0</v>
      </c>
      <c r="J1532">
        <v>0</v>
      </c>
      <c r="K1532">
        <v>0</v>
      </c>
      <c r="L1532">
        <v>0</v>
      </c>
      <c r="M1532">
        <v>0</v>
      </c>
      <c r="N1532">
        <v>0</v>
      </c>
      <c r="O1532">
        <v>0</v>
      </c>
    </row>
    <row r="1533" spans="1:15">
      <c r="A1533" t="s">
        <v>1848</v>
      </c>
      <c r="B1533" t="s">
        <v>292</v>
      </c>
      <c r="C1533" t="s">
        <v>404</v>
      </c>
      <c r="D1533">
        <v>64</v>
      </c>
      <c r="E1533">
        <v>156</v>
      </c>
      <c r="F1533">
        <v>0</v>
      </c>
      <c r="G1533">
        <v>0</v>
      </c>
      <c r="H1533">
        <v>0</v>
      </c>
      <c r="I1533">
        <v>0</v>
      </c>
      <c r="J1533">
        <v>0</v>
      </c>
      <c r="K1533">
        <v>0</v>
      </c>
      <c r="L1533">
        <v>0</v>
      </c>
      <c r="M1533">
        <v>0</v>
      </c>
      <c r="N1533">
        <v>0</v>
      </c>
      <c r="O1533">
        <v>0</v>
      </c>
    </row>
    <row r="1534" spans="1:15">
      <c r="A1534" t="s">
        <v>1849</v>
      </c>
      <c r="B1534" t="s">
        <v>292</v>
      </c>
      <c r="C1534" t="s">
        <v>404</v>
      </c>
      <c r="D1534">
        <v>65</v>
      </c>
      <c r="E1534">
        <v>156</v>
      </c>
      <c r="F1534">
        <v>0</v>
      </c>
      <c r="G1534">
        <v>0</v>
      </c>
      <c r="H1534">
        <v>0</v>
      </c>
      <c r="I1534">
        <v>0</v>
      </c>
      <c r="J1534">
        <v>0</v>
      </c>
      <c r="K1534">
        <v>0</v>
      </c>
      <c r="L1534">
        <v>0</v>
      </c>
      <c r="M1534">
        <v>0</v>
      </c>
      <c r="N1534">
        <v>0</v>
      </c>
      <c r="O1534">
        <v>0</v>
      </c>
    </row>
    <row r="1535" spans="1:15">
      <c r="A1535" t="s">
        <v>1850</v>
      </c>
      <c r="B1535" t="s">
        <v>292</v>
      </c>
      <c r="C1535" t="s">
        <v>404</v>
      </c>
      <c r="D1535">
        <v>66</v>
      </c>
      <c r="E1535">
        <v>156</v>
      </c>
      <c r="F1535">
        <v>0</v>
      </c>
      <c r="G1535">
        <v>0</v>
      </c>
      <c r="H1535">
        <v>0</v>
      </c>
      <c r="I1535">
        <v>0</v>
      </c>
      <c r="J1535">
        <v>0</v>
      </c>
      <c r="K1535">
        <v>0</v>
      </c>
      <c r="L1535">
        <v>0</v>
      </c>
      <c r="M1535">
        <v>0</v>
      </c>
      <c r="N1535">
        <v>0</v>
      </c>
      <c r="O1535">
        <v>0</v>
      </c>
    </row>
    <row r="1536" spans="1:15">
      <c r="A1536" t="s">
        <v>1851</v>
      </c>
      <c r="B1536" t="s">
        <v>292</v>
      </c>
      <c r="C1536" t="s">
        <v>404</v>
      </c>
      <c r="D1536">
        <v>67</v>
      </c>
      <c r="E1536">
        <v>156</v>
      </c>
      <c r="F1536">
        <v>0</v>
      </c>
      <c r="G1536">
        <v>0</v>
      </c>
      <c r="H1536">
        <v>0</v>
      </c>
      <c r="I1536">
        <v>0</v>
      </c>
      <c r="J1536">
        <v>0</v>
      </c>
      <c r="K1536">
        <v>0</v>
      </c>
      <c r="L1536">
        <v>0</v>
      </c>
      <c r="M1536">
        <v>0</v>
      </c>
      <c r="N1536">
        <v>0</v>
      </c>
      <c r="O1536">
        <v>0</v>
      </c>
    </row>
    <row r="1537" spans="1:15">
      <c r="A1537" t="s">
        <v>1852</v>
      </c>
      <c r="B1537" t="s">
        <v>292</v>
      </c>
      <c r="C1537" t="s">
        <v>404</v>
      </c>
      <c r="D1537">
        <v>68</v>
      </c>
      <c r="E1537">
        <v>156</v>
      </c>
      <c r="F1537">
        <v>0</v>
      </c>
      <c r="G1537">
        <v>0</v>
      </c>
      <c r="H1537">
        <v>0</v>
      </c>
      <c r="I1537">
        <v>0</v>
      </c>
      <c r="J1537">
        <v>0</v>
      </c>
      <c r="K1537">
        <v>0</v>
      </c>
      <c r="L1537">
        <v>0</v>
      </c>
      <c r="M1537">
        <v>0</v>
      </c>
      <c r="N1537">
        <v>0</v>
      </c>
      <c r="O1537">
        <v>0</v>
      </c>
    </row>
    <row r="1538" spans="1:15">
      <c r="A1538" t="s">
        <v>1853</v>
      </c>
      <c r="B1538" t="s">
        <v>292</v>
      </c>
      <c r="C1538" t="s">
        <v>404</v>
      </c>
      <c r="D1538">
        <v>69</v>
      </c>
      <c r="E1538">
        <v>156</v>
      </c>
      <c r="F1538">
        <v>0</v>
      </c>
      <c r="G1538">
        <v>0</v>
      </c>
      <c r="H1538">
        <v>0</v>
      </c>
      <c r="I1538">
        <v>0</v>
      </c>
      <c r="J1538">
        <v>0</v>
      </c>
      <c r="K1538">
        <v>0</v>
      </c>
      <c r="L1538">
        <v>0</v>
      </c>
      <c r="M1538">
        <v>0</v>
      </c>
      <c r="N1538">
        <v>0</v>
      </c>
      <c r="O1538">
        <v>0</v>
      </c>
    </row>
    <row r="1539" spans="1:15">
      <c r="A1539" t="s">
        <v>1854</v>
      </c>
      <c r="B1539" t="s">
        <v>292</v>
      </c>
      <c r="C1539" t="s">
        <v>404</v>
      </c>
      <c r="D1539">
        <v>70</v>
      </c>
      <c r="E1539">
        <v>156</v>
      </c>
      <c r="F1539">
        <v>0</v>
      </c>
      <c r="G1539">
        <v>0</v>
      </c>
      <c r="H1539">
        <v>0</v>
      </c>
      <c r="I1539">
        <v>0</v>
      </c>
      <c r="J1539">
        <v>0</v>
      </c>
      <c r="K1539">
        <v>0</v>
      </c>
      <c r="L1539">
        <v>0</v>
      </c>
      <c r="M1539">
        <v>0</v>
      </c>
      <c r="N1539">
        <v>0</v>
      </c>
      <c r="O1539">
        <v>0</v>
      </c>
    </row>
    <row r="1540" spans="1:15">
      <c r="A1540" t="s">
        <v>1855</v>
      </c>
      <c r="B1540" t="s">
        <v>292</v>
      </c>
      <c r="C1540" t="s">
        <v>404</v>
      </c>
      <c r="D1540">
        <v>71</v>
      </c>
      <c r="E1540">
        <v>156</v>
      </c>
      <c r="F1540">
        <v>0</v>
      </c>
      <c r="G1540">
        <v>0</v>
      </c>
      <c r="H1540">
        <v>0</v>
      </c>
      <c r="I1540">
        <v>0</v>
      </c>
      <c r="J1540">
        <v>0</v>
      </c>
      <c r="K1540">
        <v>0</v>
      </c>
      <c r="L1540">
        <v>0</v>
      </c>
      <c r="M1540">
        <v>0</v>
      </c>
      <c r="N1540">
        <v>0</v>
      </c>
      <c r="O1540">
        <v>0</v>
      </c>
    </row>
    <row r="1541" spans="1:15">
      <c r="A1541" t="s">
        <v>1856</v>
      </c>
      <c r="B1541" t="s">
        <v>292</v>
      </c>
      <c r="C1541" t="s">
        <v>404</v>
      </c>
      <c r="D1541">
        <v>72</v>
      </c>
      <c r="E1541">
        <v>156</v>
      </c>
      <c r="F1541">
        <v>0</v>
      </c>
      <c r="G1541">
        <v>0</v>
      </c>
      <c r="H1541">
        <v>0</v>
      </c>
      <c r="I1541">
        <v>0</v>
      </c>
      <c r="J1541">
        <v>0</v>
      </c>
      <c r="K1541">
        <v>0</v>
      </c>
      <c r="L1541">
        <v>0</v>
      </c>
      <c r="M1541">
        <v>0</v>
      </c>
      <c r="N1541">
        <v>0</v>
      </c>
      <c r="O1541">
        <v>0</v>
      </c>
    </row>
    <row r="1542" spans="1:15">
      <c r="A1542" t="s">
        <v>1857</v>
      </c>
      <c r="B1542" t="s">
        <v>292</v>
      </c>
      <c r="C1542" t="s">
        <v>404</v>
      </c>
      <c r="D1542">
        <v>73</v>
      </c>
      <c r="E1542">
        <v>156</v>
      </c>
      <c r="F1542">
        <v>0</v>
      </c>
      <c r="G1542">
        <v>0</v>
      </c>
      <c r="H1542">
        <v>0</v>
      </c>
      <c r="I1542">
        <v>0</v>
      </c>
      <c r="J1542">
        <v>0</v>
      </c>
      <c r="K1542">
        <v>0</v>
      </c>
      <c r="L1542">
        <v>0</v>
      </c>
      <c r="M1542">
        <v>0</v>
      </c>
      <c r="N1542">
        <v>0</v>
      </c>
      <c r="O1542">
        <v>0</v>
      </c>
    </row>
    <row r="1543" spans="1:15">
      <c r="A1543" t="s">
        <v>1858</v>
      </c>
      <c r="B1543" t="s">
        <v>292</v>
      </c>
      <c r="C1543" t="s">
        <v>404</v>
      </c>
      <c r="D1543">
        <v>74</v>
      </c>
      <c r="E1543">
        <v>156</v>
      </c>
      <c r="F1543">
        <v>0</v>
      </c>
      <c r="G1543">
        <v>0</v>
      </c>
      <c r="H1543">
        <v>0</v>
      </c>
      <c r="I1543">
        <v>0</v>
      </c>
      <c r="J1543">
        <v>0</v>
      </c>
      <c r="K1543">
        <v>0</v>
      </c>
      <c r="L1543">
        <v>0</v>
      </c>
      <c r="M1543">
        <v>0</v>
      </c>
      <c r="N1543">
        <v>0</v>
      </c>
      <c r="O1543">
        <v>0</v>
      </c>
    </row>
    <row r="1544" spans="1:15">
      <c r="A1544" t="s">
        <v>1859</v>
      </c>
      <c r="B1544" t="s">
        <v>292</v>
      </c>
      <c r="C1544" t="s">
        <v>404</v>
      </c>
      <c r="D1544">
        <v>75</v>
      </c>
      <c r="E1544">
        <v>156</v>
      </c>
      <c r="F1544">
        <v>0</v>
      </c>
      <c r="G1544">
        <v>0</v>
      </c>
      <c r="H1544">
        <v>0</v>
      </c>
      <c r="I1544">
        <v>0</v>
      </c>
      <c r="J1544">
        <v>0</v>
      </c>
      <c r="K1544">
        <v>0</v>
      </c>
      <c r="L1544">
        <v>0</v>
      </c>
      <c r="M1544">
        <v>0</v>
      </c>
      <c r="N1544">
        <v>0</v>
      </c>
      <c r="O1544">
        <v>0</v>
      </c>
    </row>
    <row r="1545" spans="1:15">
      <c r="A1545" t="s">
        <v>1860</v>
      </c>
      <c r="B1545" t="s">
        <v>292</v>
      </c>
      <c r="C1545" t="s">
        <v>404</v>
      </c>
      <c r="D1545">
        <v>76</v>
      </c>
      <c r="E1545">
        <v>156</v>
      </c>
      <c r="F1545">
        <v>0</v>
      </c>
      <c r="G1545">
        <v>0</v>
      </c>
      <c r="H1545">
        <v>0</v>
      </c>
      <c r="I1545">
        <v>0</v>
      </c>
      <c r="J1545">
        <v>0</v>
      </c>
      <c r="K1545">
        <v>0</v>
      </c>
      <c r="L1545">
        <v>0</v>
      </c>
      <c r="M1545">
        <v>0</v>
      </c>
      <c r="N1545">
        <v>0</v>
      </c>
      <c r="O1545">
        <v>0</v>
      </c>
    </row>
    <row r="1546" spans="1:15">
      <c r="A1546" t="s">
        <v>1861</v>
      </c>
      <c r="B1546" t="s">
        <v>292</v>
      </c>
      <c r="C1546" t="s">
        <v>404</v>
      </c>
      <c r="D1546">
        <v>77</v>
      </c>
      <c r="E1546">
        <v>156</v>
      </c>
      <c r="F1546">
        <v>0</v>
      </c>
      <c r="G1546">
        <v>0</v>
      </c>
      <c r="H1546">
        <v>0</v>
      </c>
      <c r="I1546">
        <v>0</v>
      </c>
      <c r="J1546">
        <v>0</v>
      </c>
      <c r="K1546">
        <v>0</v>
      </c>
      <c r="L1546">
        <v>0</v>
      </c>
      <c r="M1546">
        <v>0</v>
      </c>
      <c r="N1546">
        <v>0</v>
      </c>
      <c r="O1546">
        <v>0</v>
      </c>
    </row>
    <row r="1547" spans="1:15">
      <c r="A1547" t="s">
        <v>1862</v>
      </c>
      <c r="B1547" t="s">
        <v>292</v>
      </c>
      <c r="C1547" t="s">
        <v>404</v>
      </c>
      <c r="D1547">
        <v>78</v>
      </c>
      <c r="E1547">
        <v>156</v>
      </c>
      <c r="F1547">
        <v>0</v>
      </c>
      <c r="G1547">
        <v>0</v>
      </c>
      <c r="H1547">
        <v>0</v>
      </c>
      <c r="I1547">
        <v>0</v>
      </c>
      <c r="J1547">
        <v>0</v>
      </c>
      <c r="K1547">
        <v>0</v>
      </c>
      <c r="L1547">
        <v>0</v>
      </c>
      <c r="M1547">
        <v>0</v>
      </c>
      <c r="N1547">
        <v>0</v>
      </c>
      <c r="O1547">
        <v>0</v>
      </c>
    </row>
    <row r="1548" spans="1:15">
      <c r="A1548" t="s">
        <v>1863</v>
      </c>
      <c r="B1548" t="s">
        <v>292</v>
      </c>
      <c r="C1548" t="s">
        <v>404</v>
      </c>
      <c r="D1548">
        <v>79</v>
      </c>
      <c r="E1548">
        <v>156</v>
      </c>
      <c r="F1548">
        <v>0</v>
      </c>
      <c r="G1548">
        <v>0</v>
      </c>
      <c r="H1548">
        <v>0</v>
      </c>
      <c r="I1548">
        <v>0</v>
      </c>
      <c r="J1548">
        <v>0</v>
      </c>
      <c r="K1548">
        <v>0</v>
      </c>
      <c r="L1548">
        <v>0</v>
      </c>
      <c r="M1548">
        <v>0</v>
      </c>
      <c r="N1548">
        <v>0</v>
      </c>
      <c r="O1548">
        <v>0</v>
      </c>
    </row>
    <row r="1549" spans="1:15">
      <c r="A1549" t="s">
        <v>1864</v>
      </c>
      <c r="B1549" t="s">
        <v>292</v>
      </c>
      <c r="C1549" t="s">
        <v>404</v>
      </c>
      <c r="D1549">
        <v>80</v>
      </c>
      <c r="E1549">
        <v>156</v>
      </c>
      <c r="F1549">
        <v>0</v>
      </c>
      <c r="G1549">
        <v>0</v>
      </c>
      <c r="H1549">
        <v>0</v>
      </c>
      <c r="I1549">
        <v>0</v>
      </c>
      <c r="J1549">
        <v>0</v>
      </c>
      <c r="K1549">
        <v>0</v>
      </c>
      <c r="L1549">
        <v>0</v>
      </c>
      <c r="M1549">
        <v>0</v>
      </c>
      <c r="N1549">
        <v>0</v>
      </c>
      <c r="O1549">
        <v>0</v>
      </c>
    </row>
    <row r="1550" spans="1:15">
      <c r="A1550" t="s">
        <v>1865</v>
      </c>
      <c r="B1550" t="s">
        <v>292</v>
      </c>
      <c r="C1550" t="s">
        <v>404</v>
      </c>
      <c r="D1550">
        <v>81</v>
      </c>
      <c r="E1550">
        <v>156</v>
      </c>
      <c r="F1550">
        <v>0</v>
      </c>
      <c r="G1550">
        <v>0</v>
      </c>
      <c r="H1550">
        <v>0</v>
      </c>
      <c r="I1550">
        <v>0</v>
      </c>
      <c r="J1550">
        <v>0</v>
      </c>
      <c r="K1550">
        <v>0</v>
      </c>
      <c r="L1550">
        <v>0</v>
      </c>
      <c r="M1550">
        <v>0</v>
      </c>
      <c r="N1550">
        <v>0</v>
      </c>
      <c r="O1550">
        <v>0</v>
      </c>
    </row>
    <row r="1551" spans="1:15">
      <c r="A1551" t="s">
        <v>1866</v>
      </c>
      <c r="B1551" t="s">
        <v>292</v>
      </c>
      <c r="C1551" t="s">
        <v>404</v>
      </c>
      <c r="D1551">
        <v>82</v>
      </c>
      <c r="E1551">
        <v>156</v>
      </c>
      <c r="F1551">
        <v>0</v>
      </c>
      <c r="G1551">
        <v>0</v>
      </c>
      <c r="H1551">
        <v>0</v>
      </c>
      <c r="I1551">
        <v>0</v>
      </c>
      <c r="J1551">
        <v>0</v>
      </c>
      <c r="K1551">
        <v>0</v>
      </c>
      <c r="L1551">
        <v>0</v>
      </c>
      <c r="M1551">
        <v>0</v>
      </c>
      <c r="N1551">
        <v>0</v>
      </c>
      <c r="O1551">
        <v>0</v>
      </c>
    </row>
    <row r="1552" spans="1:15">
      <c r="A1552" t="s">
        <v>1867</v>
      </c>
      <c r="B1552" t="s">
        <v>292</v>
      </c>
      <c r="C1552" t="s">
        <v>404</v>
      </c>
      <c r="D1552">
        <v>83</v>
      </c>
      <c r="E1552">
        <v>156</v>
      </c>
      <c r="F1552">
        <v>0</v>
      </c>
      <c r="G1552">
        <v>0</v>
      </c>
      <c r="H1552">
        <v>0</v>
      </c>
      <c r="I1552">
        <v>0</v>
      </c>
      <c r="J1552">
        <v>0</v>
      </c>
      <c r="K1552">
        <v>0</v>
      </c>
      <c r="L1552">
        <v>0</v>
      </c>
      <c r="M1552">
        <v>0</v>
      </c>
      <c r="N1552">
        <v>0</v>
      </c>
      <c r="O1552">
        <v>0</v>
      </c>
    </row>
    <row r="1553" spans="1:15">
      <c r="A1553" t="s">
        <v>1868</v>
      </c>
      <c r="B1553" t="s">
        <v>292</v>
      </c>
      <c r="C1553" t="s">
        <v>404</v>
      </c>
      <c r="D1553">
        <v>84</v>
      </c>
      <c r="E1553">
        <v>156</v>
      </c>
      <c r="F1553">
        <v>0</v>
      </c>
      <c r="G1553">
        <v>0</v>
      </c>
      <c r="H1553">
        <v>0</v>
      </c>
      <c r="I1553">
        <v>0</v>
      </c>
      <c r="J1553">
        <v>0</v>
      </c>
      <c r="K1553">
        <v>0</v>
      </c>
      <c r="L1553">
        <v>0</v>
      </c>
      <c r="M1553">
        <v>0</v>
      </c>
      <c r="N1553">
        <v>0</v>
      </c>
      <c r="O1553">
        <v>0</v>
      </c>
    </row>
    <row r="1554" spans="1:15">
      <c r="A1554" t="s">
        <v>1869</v>
      </c>
      <c r="B1554" t="s">
        <v>292</v>
      </c>
      <c r="C1554" t="s">
        <v>404</v>
      </c>
      <c r="D1554">
        <v>85</v>
      </c>
      <c r="E1554">
        <v>156</v>
      </c>
      <c r="F1554">
        <v>0</v>
      </c>
      <c r="G1554">
        <v>0</v>
      </c>
      <c r="H1554">
        <v>0</v>
      </c>
      <c r="I1554">
        <v>0</v>
      </c>
      <c r="J1554">
        <v>0</v>
      </c>
      <c r="K1554">
        <v>0</v>
      </c>
      <c r="L1554">
        <v>0</v>
      </c>
      <c r="M1554">
        <v>0</v>
      </c>
      <c r="N1554">
        <v>0</v>
      </c>
      <c r="O1554">
        <v>0</v>
      </c>
    </row>
    <row r="1555" spans="1:15">
      <c r="A1555" t="s">
        <v>1870</v>
      </c>
      <c r="B1555" t="s">
        <v>1871</v>
      </c>
      <c r="C1555" t="s">
        <v>317</v>
      </c>
      <c r="D1555">
        <v>0</v>
      </c>
      <c r="E1555">
        <v>156</v>
      </c>
      <c r="F1555">
        <v>0</v>
      </c>
      <c r="G1555">
        <v>0</v>
      </c>
      <c r="H1555">
        <v>0</v>
      </c>
      <c r="I1555">
        <v>0</v>
      </c>
      <c r="J1555">
        <v>0</v>
      </c>
      <c r="K1555">
        <v>0</v>
      </c>
      <c r="L1555">
        <v>0</v>
      </c>
      <c r="M1555">
        <v>0</v>
      </c>
      <c r="N1555">
        <v>0</v>
      </c>
      <c r="O1555">
        <v>0</v>
      </c>
    </row>
    <row r="1556" spans="1:15">
      <c r="A1556" t="s">
        <v>1872</v>
      </c>
      <c r="B1556" t="s">
        <v>1871</v>
      </c>
      <c r="C1556" t="s">
        <v>317</v>
      </c>
      <c r="D1556">
        <v>1</v>
      </c>
      <c r="E1556">
        <v>156</v>
      </c>
      <c r="F1556">
        <v>0</v>
      </c>
      <c r="G1556">
        <v>0</v>
      </c>
      <c r="H1556">
        <v>0</v>
      </c>
      <c r="I1556">
        <v>0</v>
      </c>
      <c r="J1556">
        <v>0</v>
      </c>
      <c r="K1556">
        <v>0</v>
      </c>
      <c r="L1556">
        <v>0</v>
      </c>
      <c r="M1556">
        <v>0</v>
      </c>
      <c r="N1556">
        <v>0</v>
      </c>
      <c r="O1556">
        <v>0</v>
      </c>
    </row>
    <row r="1557" spans="1:15">
      <c r="A1557" t="s">
        <v>1873</v>
      </c>
      <c r="B1557" t="s">
        <v>1871</v>
      </c>
      <c r="C1557" t="s">
        <v>317</v>
      </c>
      <c r="D1557">
        <v>2</v>
      </c>
      <c r="E1557">
        <v>156</v>
      </c>
      <c r="F1557">
        <v>0</v>
      </c>
      <c r="G1557">
        <v>0</v>
      </c>
      <c r="H1557">
        <v>0</v>
      </c>
      <c r="I1557">
        <v>0</v>
      </c>
      <c r="J1557">
        <v>0</v>
      </c>
      <c r="K1557">
        <v>0</v>
      </c>
      <c r="L1557">
        <v>0</v>
      </c>
      <c r="M1557">
        <v>0</v>
      </c>
      <c r="N1557">
        <v>0</v>
      </c>
      <c r="O1557">
        <v>0</v>
      </c>
    </row>
    <row r="1558" spans="1:15">
      <c r="A1558" t="s">
        <v>1874</v>
      </c>
      <c r="B1558" t="s">
        <v>1871</v>
      </c>
      <c r="C1558" t="s">
        <v>317</v>
      </c>
      <c r="D1558">
        <v>3</v>
      </c>
      <c r="E1558">
        <v>156</v>
      </c>
      <c r="F1558">
        <v>0</v>
      </c>
      <c r="G1558">
        <v>0</v>
      </c>
      <c r="H1558">
        <v>0</v>
      </c>
      <c r="I1558">
        <v>0</v>
      </c>
      <c r="J1558">
        <v>0</v>
      </c>
      <c r="K1558">
        <v>0</v>
      </c>
      <c r="L1558">
        <v>0</v>
      </c>
      <c r="M1558">
        <v>0</v>
      </c>
      <c r="N1558">
        <v>0</v>
      </c>
      <c r="O1558">
        <v>0</v>
      </c>
    </row>
    <row r="1559" spans="1:15">
      <c r="A1559" t="s">
        <v>1875</v>
      </c>
      <c r="B1559" t="s">
        <v>1871</v>
      </c>
      <c r="C1559" t="s">
        <v>317</v>
      </c>
      <c r="D1559">
        <v>4</v>
      </c>
      <c r="E1559">
        <v>156</v>
      </c>
      <c r="F1559">
        <v>0</v>
      </c>
      <c r="G1559">
        <v>0</v>
      </c>
      <c r="H1559">
        <v>0</v>
      </c>
      <c r="I1559">
        <v>0</v>
      </c>
      <c r="J1559">
        <v>0</v>
      </c>
      <c r="K1559">
        <v>0</v>
      </c>
      <c r="L1559">
        <v>0</v>
      </c>
      <c r="M1559">
        <v>0</v>
      </c>
      <c r="N1559">
        <v>0</v>
      </c>
      <c r="O1559">
        <v>0</v>
      </c>
    </row>
    <row r="1560" spans="1:15">
      <c r="A1560" t="s">
        <v>1876</v>
      </c>
      <c r="B1560" t="s">
        <v>1871</v>
      </c>
      <c r="C1560" t="s">
        <v>317</v>
      </c>
      <c r="D1560">
        <v>5</v>
      </c>
      <c r="E1560">
        <v>156</v>
      </c>
      <c r="F1560">
        <v>0</v>
      </c>
      <c r="G1560">
        <v>0</v>
      </c>
      <c r="H1560">
        <v>0</v>
      </c>
      <c r="I1560">
        <v>0</v>
      </c>
      <c r="J1560">
        <v>0</v>
      </c>
      <c r="K1560">
        <v>0</v>
      </c>
      <c r="L1560">
        <v>0</v>
      </c>
      <c r="M1560">
        <v>0</v>
      </c>
      <c r="N1560">
        <v>0</v>
      </c>
      <c r="O1560">
        <v>0</v>
      </c>
    </row>
    <row r="1561" spans="1:15">
      <c r="A1561" t="s">
        <v>1877</v>
      </c>
      <c r="B1561" t="s">
        <v>1871</v>
      </c>
      <c r="C1561" t="s">
        <v>317</v>
      </c>
      <c r="D1561">
        <v>6</v>
      </c>
      <c r="E1561">
        <v>156</v>
      </c>
      <c r="F1561">
        <v>0</v>
      </c>
      <c r="G1561">
        <v>0</v>
      </c>
      <c r="H1561">
        <v>0</v>
      </c>
      <c r="I1561">
        <v>0</v>
      </c>
      <c r="J1561">
        <v>0</v>
      </c>
      <c r="K1561">
        <v>0</v>
      </c>
      <c r="L1561">
        <v>0</v>
      </c>
      <c r="M1561">
        <v>0</v>
      </c>
      <c r="N1561">
        <v>0</v>
      </c>
      <c r="O1561">
        <v>0</v>
      </c>
    </row>
    <row r="1562" spans="1:15">
      <c r="A1562" t="s">
        <v>1878</v>
      </c>
      <c r="B1562" t="s">
        <v>1871</v>
      </c>
      <c r="C1562" t="s">
        <v>317</v>
      </c>
      <c r="D1562">
        <v>7</v>
      </c>
      <c r="E1562">
        <v>156</v>
      </c>
      <c r="F1562">
        <v>0</v>
      </c>
      <c r="G1562">
        <v>0</v>
      </c>
      <c r="H1562">
        <v>0</v>
      </c>
      <c r="I1562">
        <v>0</v>
      </c>
      <c r="J1562">
        <v>0</v>
      </c>
      <c r="K1562">
        <v>0</v>
      </c>
      <c r="L1562">
        <v>0</v>
      </c>
      <c r="M1562">
        <v>0</v>
      </c>
      <c r="N1562">
        <v>0</v>
      </c>
      <c r="O1562">
        <v>0</v>
      </c>
    </row>
    <row r="1563" spans="1:15">
      <c r="A1563" t="s">
        <v>1879</v>
      </c>
      <c r="B1563" t="s">
        <v>1871</v>
      </c>
      <c r="C1563" t="s">
        <v>317</v>
      </c>
      <c r="D1563">
        <v>8</v>
      </c>
      <c r="E1563">
        <v>156</v>
      </c>
      <c r="F1563">
        <v>0</v>
      </c>
      <c r="G1563">
        <v>0</v>
      </c>
      <c r="H1563">
        <v>0</v>
      </c>
      <c r="I1563">
        <v>0</v>
      </c>
      <c r="J1563">
        <v>0</v>
      </c>
      <c r="K1563">
        <v>0</v>
      </c>
      <c r="L1563">
        <v>0</v>
      </c>
      <c r="M1563">
        <v>0</v>
      </c>
      <c r="N1563">
        <v>0</v>
      </c>
      <c r="O1563">
        <v>0</v>
      </c>
    </row>
    <row r="1564" spans="1:15">
      <c r="A1564" t="s">
        <v>1880</v>
      </c>
      <c r="B1564" t="s">
        <v>1871</v>
      </c>
      <c r="C1564" t="s">
        <v>317</v>
      </c>
      <c r="D1564">
        <v>9</v>
      </c>
      <c r="E1564">
        <v>156</v>
      </c>
      <c r="F1564">
        <v>0</v>
      </c>
      <c r="G1564">
        <v>0</v>
      </c>
      <c r="H1564">
        <v>0</v>
      </c>
      <c r="I1564">
        <v>0</v>
      </c>
      <c r="J1564">
        <v>0</v>
      </c>
      <c r="K1564">
        <v>0</v>
      </c>
      <c r="L1564">
        <v>0</v>
      </c>
      <c r="M1564">
        <v>0</v>
      </c>
      <c r="N1564">
        <v>0</v>
      </c>
      <c r="O1564">
        <v>0</v>
      </c>
    </row>
    <row r="1565" spans="1:15">
      <c r="A1565" t="s">
        <v>1881</v>
      </c>
      <c r="B1565" t="s">
        <v>1871</v>
      </c>
      <c r="C1565" t="s">
        <v>317</v>
      </c>
      <c r="D1565">
        <v>10</v>
      </c>
      <c r="E1565">
        <v>156</v>
      </c>
      <c r="F1565">
        <v>0</v>
      </c>
      <c r="G1565">
        <v>0</v>
      </c>
      <c r="H1565">
        <v>0</v>
      </c>
      <c r="I1565">
        <v>0</v>
      </c>
      <c r="J1565">
        <v>0</v>
      </c>
      <c r="K1565">
        <v>0</v>
      </c>
      <c r="L1565">
        <v>0</v>
      </c>
      <c r="M1565">
        <v>0</v>
      </c>
      <c r="N1565">
        <v>0</v>
      </c>
      <c r="O1565">
        <v>0</v>
      </c>
    </row>
    <row r="1566" spans="1:15">
      <c r="A1566" t="s">
        <v>1882</v>
      </c>
      <c r="B1566" t="s">
        <v>1871</v>
      </c>
      <c r="C1566" t="s">
        <v>317</v>
      </c>
      <c r="D1566">
        <v>11</v>
      </c>
      <c r="E1566">
        <v>156</v>
      </c>
      <c r="F1566">
        <v>0</v>
      </c>
      <c r="G1566">
        <v>0</v>
      </c>
      <c r="H1566">
        <v>0</v>
      </c>
      <c r="I1566">
        <v>0</v>
      </c>
      <c r="J1566">
        <v>0</v>
      </c>
      <c r="K1566">
        <v>0</v>
      </c>
      <c r="L1566">
        <v>0</v>
      </c>
      <c r="M1566">
        <v>0</v>
      </c>
      <c r="N1566">
        <v>0</v>
      </c>
      <c r="O1566">
        <v>0</v>
      </c>
    </row>
    <row r="1567" spans="1:15">
      <c r="A1567" t="s">
        <v>1883</v>
      </c>
      <c r="B1567" t="s">
        <v>1871</v>
      </c>
      <c r="C1567" t="s">
        <v>317</v>
      </c>
      <c r="D1567">
        <v>12</v>
      </c>
      <c r="E1567">
        <v>156</v>
      </c>
      <c r="F1567">
        <v>0</v>
      </c>
      <c r="G1567">
        <v>0</v>
      </c>
      <c r="H1567">
        <v>0</v>
      </c>
      <c r="I1567">
        <v>0</v>
      </c>
      <c r="J1567">
        <v>0</v>
      </c>
      <c r="K1567">
        <v>0</v>
      </c>
      <c r="L1567">
        <v>0</v>
      </c>
      <c r="M1567">
        <v>0</v>
      </c>
      <c r="N1567">
        <v>0</v>
      </c>
      <c r="O1567">
        <v>0</v>
      </c>
    </row>
    <row r="1568" spans="1:15">
      <c r="A1568" t="s">
        <v>1884</v>
      </c>
      <c r="B1568" t="s">
        <v>1871</v>
      </c>
      <c r="C1568" t="s">
        <v>317</v>
      </c>
      <c r="D1568">
        <v>13</v>
      </c>
      <c r="E1568">
        <v>156</v>
      </c>
      <c r="F1568">
        <v>0</v>
      </c>
      <c r="G1568">
        <v>0</v>
      </c>
      <c r="H1568">
        <v>0</v>
      </c>
      <c r="I1568">
        <v>0</v>
      </c>
      <c r="J1568">
        <v>0</v>
      </c>
      <c r="K1568">
        <v>0</v>
      </c>
      <c r="L1568">
        <v>0</v>
      </c>
      <c r="M1568">
        <v>0</v>
      </c>
      <c r="N1568">
        <v>0</v>
      </c>
      <c r="O1568">
        <v>0</v>
      </c>
    </row>
    <row r="1569" spans="1:15">
      <c r="A1569" t="s">
        <v>1885</v>
      </c>
      <c r="B1569" t="s">
        <v>1871</v>
      </c>
      <c r="C1569" t="s">
        <v>317</v>
      </c>
      <c r="D1569">
        <v>14</v>
      </c>
      <c r="E1569">
        <v>156</v>
      </c>
      <c r="F1569">
        <v>0</v>
      </c>
      <c r="G1569">
        <v>0</v>
      </c>
      <c r="H1569">
        <v>0</v>
      </c>
      <c r="I1569">
        <v>0</v>
      </c>
      <c r="J1569">
        <v>0</v>
      </c>
      <c r="K1569">
        <v>0</v>
      </c>
      <c r="L1569">
        <v>0</v>
      </c>
      <c r="M1569">
        <v>0</v>
      </c>
      <c r="N1569">
        <v>0</v>
      </c>
      <c r="O1569">
        <v>0</v>
      </c>
    </row>
    <row r="1570" spans="1:15">
      <c r="A1570" t="s">
        <v>1886</v>
      </c>
      <c r="B1570" t="s">
        <v>1871</v>
      </c>
      <c r="C1570" t="s">
        <v>317</v>
      </c>
      <c r="D1570">
        <v>15</v>
      </c>
      <c r="E1570">
        <v>156</v>
      </c>
      <c r="F1570">
        <v>0</v>
      </c>
      <c r="G1570">
        <v>0</v>
      </c>
      <c r="H1570">
        <v>0</v>
      </c>
      <c r="I1570">
        <v>0</v>
      </c>
      <c r="J1570">
        <v>0</v>
      </c>
      <c r="K1570">
        <v>0</v>
      </c>
      <c r="L1570">
        <v>0</v>
      </c>
      <c r="M1570">
        <v>0</v>
      </c>
      <c r="N1570">
        <v>0</v>
      </c>
      <c r="O1570">
        <v>0</v>
      </c>
    </row>
    <row r="1571" spans="1:15">
      <c r="A1571" t="s">
        <v>1887</v>
      </c>
      <c r="B1571" t="s">
        <v>1871</v>
      </c>
      <c r="C1571" t="s">
        <v>317</v>
      </c>
      <c r="D1571">
        <v>16</v>
      </c>
      <c r="E1571">
        <v>156</v>
      </c>
      <c r="F1571">
        <v>0</v>
      </c>
      <c r="G1571">
        <v>0</v>
      </c>
      <c r="H1571">
        <v>0</v>
      </c>
      <c r="I1571">
        <v>0</v>
      </c>
      <c r="J1571">
        <v>0</v>
      </c>
      <c r="K1571">
        <v>0</v>
      </c>
      <c r="L1571">
        <v>0</v>
      </c>
      <c r="M1571">
        <v>0</v>
      </c>
      <c r="N1571">
        <v>0</v>
      </c>
      <c r="O1571">
        <v>0</v>
      </c>
    </row>
    <row r="1572" spans="1:15">
      <c r="A1572" t="s">
        <v>1888</v>
      </c>
      <c r="B1572" t="s">
        <v>1871</v>
      </c>
      <c r="C1572" t="s">
        <v>317</v>
      </c>
      <c r="D1572">
        <v>17</v>
      </c>
      <c r="E1572">
        <v>156</v>
      </c>
      <c r="F1572">
        <v>0</v>
      </c>
      <c r="G1572">
        <v>0</v>
      </c>
      <c r="H1572">
        <v>0</v>
      </c>
      <c r="I1572">
        <v>0</v>
      </c>
      <c r="J1572">
        <v>0</v>
      </c>
      <c r="K1572">
        <v>0</v>
      </c>
      <c r="L1572">
        <v>0</v>
      </c>
      <c r="M1572">
        <v>0</v>
      </c>
      <c r="N1572">
        <v>0</v>
      </c>
      <c r="O1572">
        <v>0</v>
      </c>
    </row>
    <row r="1573" spans="1:15">
      <c r="A1573" t="s">
        <v>1889</v>
      </c>
      <c r="B1573" t="s">
        <v>1871</v>
      </c>
      <c r="C1573" t="s">
        <v>317</v>
      </c>
      <c r="D1573">
        <v>18</v>
      </c>
      <c r="E1573">
        <v>156</v>
      </c>
      <c r="F1573">
        <v>0</v>
      </c>
      <c r="G1573">
        <v>0</v>
      </c>
      <c r="H1573">
        <v>0</v>
      </c>
      <c r="I1573">
        <v>0</v>
      </c>
      <c r="J1573">
        <v>0</v>
      </c>
      <c r="K1573">
        <v>0</v>
      </c>
      <c r="L1573">
        <v>0</v>
      </c>
      <c r="M1573">
        <v>0</v>
      </c>
      <c r="N1573">
        <v>0</v>
      </c>
      <c r="O1573">
        <v>0</v>
      </c>
    </row>
    <row r="1574" spans="1:15">
      <c r="A1574" t="s">
        <v>1890</v>
      </c>
      <c r="B1574" t="s">
        <v>1871</v>
      </c>
      <c r="C1574" t="s">
        <v>317</v>
      </c>
      <c r="D1574">
        <v>19</v>
      </c>
      <c r="E1574">
        <v>156</v>
      </c>
      <c r="F1574">
        <v>0</v>
      </c>
      <c r="G1574">
        <v>0</v>
      </c>
      <c r="H1574">
        <v>0</v>
      </c>
      <c r="I1574">
        <v>0</v>
      </c>
      <c r="J1574">
        <v>0</v>
      </c>
      <c r="K1574">
        <v>0</v>
      </c>
      <c r="L1574">
        <v>0</v>
      </c>
      <c r="M1574">
        <v>0</v>
      </c>
      <c r="N1574">
        <v>0</v>
      </c>
      <c r="O1574">
        <v>0</v>
      </c>
    </row>
    <row r="1575" spans="1:15">
      <c r="A1575" t="s">
        <v>1891</v>
      </c>
      <c r="B1575" t="s">
        <v>1871</v>
      </c>
      <c r="C1575" t="s">
        <v>317</v>
      </c>
      <c r="D1575">
        <v>20</v>
      </c>
      <c r="E1575">
        <v>156</v>
      </c>
      <c r="F1575">
        <v>0</v>
      </c>
      <c r="G1575">
        <v>0</v>
      </c>
      <c r="H1575">
        <v>0</v>
      </c>
      <c r="I1575">
        <v>0</v>
      </c>
      <c r="J1575">
        <v>0</v>
      </c>
      <c r="K1575">
        <v>0</v>
      </c>
      <c r="L1575">
        <v>0</v>
      </c>
      <c r="M1575">
        <v>0</v>
      </c>
      <c r="N1575">
        <v>0</v>
      </c>
      <c r="O1575">
        <v>0</v>
      </c>
    </row>
    <row r="1576" spans="1:15">
      <c r="A1576" t="s">
        <v>1892</v>
      </c>
      <c r="B1576" t="s">
        <v>1871</v>
      </c>
      <c r="C1576" t="s">
        <v>317</v>
      </c>
      <c r="D1576">
        <v>21</v>
      </c>
      <c r="E1576">
        <v>156</v>
      </c>
      <c r="F1576">
        <v>0</v>
      </c>
      <c r="G1576">
        <v>0</v>
      </c>
      <c r="H1576">
        <v>0</v>
      </c>
      <c r="I1576">
        <v>0</v>
      </c>
      <c r="J1576">
        <v>0</v>
      </c>
      <c r="K1576">
        <v>0</v>
      </c>
      <c r="L1576">
        <v>0</v>
      </c>
      <c r="M1576">
        <v>0</v>
      </c>
      <c r="N1576">
        <v>0</v>
      </c>
      <c r="O1576">
        <v>0</v>
      </c>
    </row>
    <row r="1577" spans="1:15">
      <c r="A1577" t="s">
        <v>1893</v>
      </c>
      <c r="B1577" t="s">
        <v>1871</v>
      </c>
      <c r="C1577" t="s">
        <v>317</v>
      </c>
      <c r="D1577">
        <v>22</v>
      </c>
      <c r="E1577">
        <v>156</v>
      </c>
      <c r="F1577">
        <v>0</v>
      </c>
      <c r="G1577">
        <v>0</v>
      </c>
      <c r="H1577">
        <v>0</v>
      </c>
      <c r="I1577">
        <v>0</v>
      </c>
      <c r="J1577">
        <v>0</v>
      </c>
      <c r="K1577">
        <v>0</v>
      </c>
      <c r="L1577">
        <v>0</v>
      </c>
      <c r="M1577">
        <v>0</v>
      </c>
      <c r="N1577">
        <v>0</v>
      </c>
      <c r="O1577">
        <v>0</v>
      </c>
    </row>
    <row r="1578" spans="1:15">
      <c r="A1578" t="s">
        <v>1894</v>
      </c>
      <c r="B1578" t="s">
        <v>1871</v>
      </c>
      <c r="C1578" t="s">
        <v>317</v>
      </c>
      <c r="D1578">
        <v>23</v>
      </c>
      <c r="E1578">
        <v>156</v>
      </c>
      <c r="F1578">
        <v>0</v>
      </c>
      <c r="G1578">
        <v>0</v>
      </c>
      <c r="H1578">
        <v>0</v>
      </c>
      <c r="I1578">
        <v>0</v>
      </c>
      <c r="J1578">
        <v>0</v>
      </c>
      <c r="K1578">
        <v>0</v>
      </c>
      <c r="L1578">
        <v>0</v>
      </c>
      <c r="M1578">
        <v>0</v>
      </c>
      <c r="N1578">
        <v>0</v>
      </c>
      <c r="O1578">
        <v>0</v>
      </c>
    </row>
    <row r="1579" spans="1:15">
      <c r="A1579" t="s">
        <v>1895</v>
      </c>
      <c r="B1579" t="s">
        <v>1871</v>
      </c>
      <c r="C1579" t="s">
        <v>317</v>
      </c>
      <c r="D1579">
        <v>24</v>
      </c>
      <c r="E1579">
        <v>156</v>
      </c>
      <c r="F1579">
        <v>0</v>
      </c>
      <c r="G1579">
        <v>0</v>
      </c>
      <c r="H1579">
        <v>0</v>
      </c>
      <c r="I1579">
        <v>0</v>
      </c>
      <c r="J1579">
        <v>0</v>
      </c>
      <c r="K1579">
        <v>0</v>
      </c>
      <c r="L1579">
        <v>0</v>
      </c>
      <c r="M1579">
        <v>0</v>
      </c>
      <c r="N1579">
        <v>0</v>
      </c>
      <c r="O1579">
        <v>0</v>
      </c>
    </row>
    <row r="1580" spans="1:15">
      <c r="A1580" t="s">
        <v>1896</v>
      </c>
      <c r="B1580" t="s">
        <v>1871</v>
      </c>
      <c r="C1580" t="s">
        <v>317</v>
      </c>
      <c r="D1580">
        <v>25</v>
      </c>
      <c r="E1580">
        <v>156</v>
      </c>
      <c r="F1580">
        <v>0</v>
      </c>
      <c r="G1580">
        <v>0</v>
      </c>
      <c r="H1580">
        <v>0</v>
      </c>
      <c r="I1580">
        <v>0</v>
      </c>
      <c r="J1580">
        <v>0</v>
      </c>
      <c r="K1580">
        <v>0</v>
      </c>
      <c r="L1580">
        <v>0</v>
      </c>
      <c r="M1580">
        <v>0</v>
      </c>
      <c r="N1580">
        <v>0</v>
      </c>
      <c r="O1580">
        <v>0</v>
      </c>
    </row>
    <row r="1581" spans="1:15">
      <c r="A1581" t="s">
        <v>1897</v>
      </c>
      <c r="B1581" t="s">
        <v>1871</v>
      </c>
      <c r="C1581" t="s">
        <v>317</v>
      </c>
      <c r="D1581">
        <v>26</v>
      </c>
      <c r="E1581">
        <v>156</v>
      </c>
      <c r="F1581">
        <v>0</v>
      </c>
      <c r="G1581">
        <v>0</v>
      </c>
      <c r="H1581">
        <v>0</v>
      </c>
      <c r="I1581">
        <v>0</v>
      </c>
      <c r="J1581">
        <v>0</v>
      </c>
      <c r="K1581">
        <v>0</v>
      </c>
      <c r="L1581">
        <v>0</v>
      </c>
      <c r="M1581">
        <v>0</v>
      </c>
      <c r="N1581">
        <v>0</v>
      </c>
      <c r="O1581">
        <v>0</v>
      </c>
    </row>
    <row r="1582" spans="1:15">
      <c r="A1582" t="s">
        <v>1898</v>
      </c>
      <c r="B1582" t="s">
        <v>1871</v>
      </c>
      <c r="C1582" t="s">
        <v>317</v>
      </c>
      <c r="D1582">
        <v>27</v>
      </c>
      <c r="E1582">
        <v>156</v>
      </c>
      <c r="F1582">
        <v>0</v>
      </c>
      <c r="G1582">
        <v>0</v>
      </c>
      <c r="H1582">
        <v>0</v>
      </c>
      <c r="I1582">
        <v>0</v>
      </c>
      <c r="J1582">
        <v>0</v>
      </c>
      <c r="K1582">
        <v>0</v>
      </c>
      <c r="L1582">
        <v>0</v>
      </c>
      <c r="M1582">
        <v>0</v>
      </c>
      <c r="N1582">
        <v>0</v>
      </c>
      <c r="O1582">
        <v>0</v>
      </c>
    </row>
    <row r="1583" spans="1:15">
      <c r="A1583" t="s">
        <v>1899</v>
      </c>
      <c r="B1583" t="s">
        <v>1871</v>
      </c>
      <c r="C1583" t="s">
        <v>317</v>
      </c>
      <c r="D1583">
        <v>28</v>
      </c>
      <c r="E1583">
        <v>156</v>
      </c>
      <c r="F1583">
        <v>0</v>
      </c>
      <c r="G1583">
        <v>0</v>
      </c>
      <c r="H1583">
        <v>0</v>
      </c>
      <c r="I1583">
        <v>0</v>
      </c>
      <c r="J1583">
        <v>0</v>
      </c>
      <c r="K1583">
        <v>0</v>
      </c>
      <c r="L1583">
        <v>0</v>
      </c>
      <c r="M1583">
        <v>0</v>
      </c>
      <c r="N1583">
        <v>0</v>
      </c>
      <c r="O1583">
        <v>0</v>
      </c>
    </row>
    <row r="1584" spans="1:15">
      <c r="A1584" t="s">
        <v>1900</v>
      </c>
      <c r="B1584" t="s">
        <v>1871</v>
      </c>
      <c r="C1584" t="s">
        <v>317</v>
      </c>
      <c r="D1584">
        <v>29</v>
      </c>
      <c r="E1584">
        <v>156</v>
      </c>
      <c r="F1584">
        <v>0</v>
      </c>
      <c r="G1584">
        <v>0</v>
      </c>
      <c r="H1584">
        <v>0</v>
      </c>
      <c r="I1584">
        <v>0</v>
      </c>
      <c r="J1584">
        <v>0</v>
      </c>
      <c r="K1584">
        <v>0</v>
      </c>
      <c r="L1584">
        <v>0</v>
      </c>
      <c r="M1584">
        <v>0</v>
      </c>
      <c r="N1584">
        <v>0</v>
      </c>
      <c r="O1584">
        <v>0</v>
      </c>
    </row>
    <row r="1585" spans="1:15">
      <c r="A1585" t="s">
        <v>1901</v>
      </c>
      <c r="B1585" t="s">
        <v>1871</v>
      </c>
      <c r="C1585" t="s">
        <v>317</v>
      </c>
      <c r="D1585">
        <v>30</v>
      </c>
      <c r="E1585">
        <v>156</v>
      </c>
      <c r="F1585">
        <v>0</v>
      </c>
      <c r="G1585">
        <v>0</v>
      </c>
      <c r="H1585">
        <v>0</v>
      </c>
      <c r="I1585">
        <v>0</v>
      </c>
      <c r="J1585">
        <v>0</v>
      </c>
      <c r="K1585">
        <v>0</v>
      </c>
      <c r="L1585">
        <v>0</v>
      </c>
      <c r="M1585">
        <v>0</v>
      </c>
      <c r="N1585">
        <v>0</v>
      </c>
      <c r="O1585">
        <v>0</v>
      </c>
    </row>
    <row r="1586" spans="1:15">
      <c r="A1586" t="s">
        <v>1902</v>
      </c>
      <c r="B1586" t="s">
        <v>1871</v>
      </c>
      <c r="C1586" t="s">
        <v>317</v>
      </c>
      <c r="D1586">
        <v>31</v>
      </c>
      <c r="E1586">
        <v>156</v>
      </c>
      <c r="F1586">
        <v>0</v>
      </c>
      <c r="G1586">
        <v>0</v>
      </c>
      <c r="H1586">
        <v>0</v>
      </c>
      <c r="I1586">
        <v>0</v>
      </c>
      <c r="J1586">
        <v>0</v>
      </c>
      <c r="K1586">
        <v>0</v>
      </c>
      <c r="L1586">
        <v>0</v>
      </c>
      <c r="M1586">
        <v>0</v>
      </c>
      <c r="N1586">
        <v>0</v>
      </c>
      <c r="O1586">
        <v>0</v>
      </c>
    </row>
    <row r="1587" spans="1:15">
      <c r="A1587" t="s">
        <v>1903</v>
      </c>
      <c r="B1587" t="s">
        <v>1871</v>
      </c>
      <c r="C1587" t="s">
        <v>317</v>
      </c>
      <c r="D1587">
        <v>32</v>
      </c>
      <c r="E1587">
        <v>156</v>
      </c>
      <c r="F1587">
        <v>0</v>
      </c>
      <c r="G1587">
        <v>0</v>
      </c>
      <c r="H1587">
        <v>0</v>
      </c>
      <c r="I1587">
        <v>0</v>
      </c>
      <c r="J1587">
        <v>0</v>
      </c>
      <c r="K1587">
        <v>0</v>
      </c>
      <c r="L1587">
        <v>0</v>
      </c>
      <c r="M1587">
        <v>0</v>
      </c>
      <c r="N1587">
        <v>0</v>
      </c>
      <c r="O1587">
        <v>0</v>
      </c>
    </row>
    <row r="1588" spans="1:15">
      <c r="A1588" t="s">
        <v>1904</v>
      </c>
      <c r="B1588" t="s">
        <v>1871</v>
      </c>
      <c r="C1588" t="s">
        <v>317</v>
      </c>
      <c r="D1588">
        <v>33</v>
      </c>
      <c r="E1588">
        <v>156</v>
      </c>
      <c r="F1588">
        <v>0</v>
      </c>
      <c r="G1588">
        <v>0</v>
      </c>
      <c r="H1588">
        <v>0</v>
      </c>
      <c r="I1588">
        <v>0</v>
      </c>
      <c r="J1588">
        <v>0</v>
      </c>
      <c r="K1588">
        <v>0</v>
      </c>
      <c r="L1588">
        <v>0</v>
      </c>
      <c r="M1588">
        <v>0</v>
      </c>
      <c r="N1588">
        <v>0</v>
      </c>
      <c r="O1588">
        <v>0</v>
      </c>
    </row>
    <row r="1589" spans="1:15">
      <c r="A1589" t="s">
        <v>1905</v>
      </c>
      <c r="B1589" t="s">
        <v>1871</v>
      </c>
      <c r="C1589" t="s">
        <v>317</v>
      </c>
      <c r="D1589">
        <v>34</v>
      </c>
      <c r="E1589">
        <v>156</v>
      </c>
      <c r="F1589">
        <v>0</v>
      </c>
      <c r="G1589">
        <v>0</v>
      </c>
      <c r="H1589">
        <v>0</v>
      </c>
      <c r="I1589">
        <v>0</v>
      </c>
      <c r="J1589">
        <v>0</v>
      </c>
      <c r="K1589">
        <v>0</v>
      </c>
      <c r="L1589">
        <v>0</v>
      </c>
      <c r="M1589">
        <v>0</v>
      </c>
      <c r="N1589">
        <v>0</v>
      </c>
      <c r="O1589">
        <v>0</v>
      </c>
    </row>
    <row r="1590" spans="1:15">
      <c r="A1590" t="s">
        <v>1906</v>
      </c>
      <c r="B1590" t="s">
        <v>1871</v>
      </c>
      <c r="C1590" t="s">
        <v>317</v>
      </c>
      <c r="D1590">
        <v>35</v>
      </c>
      <c r="E1590">
        <v>156</v>
      </c>
      <c r="F1590">
        <v>0</v>
      </c>
      <c r="G1590">
        <v>0</v>
      </c>
      <c r="H1590">
        <v>0</v>
      </c>
      <c r="I1590">
        <v>0</v>
      </c>
      <c r="J1590">
        <v>0</v>
      </c>
      <c r="K1590">
        <v>0</v>
      </c>
      <c r="L1590">
        <v>0</v>
      </c>
      <c r="M1590">
        <v>0</v>
      </c>
      <c r="N1590">
        <v>0</v>
      </c>
      <c r="O1590">
        <v>0</v>
      </c>
    </row>
    <row r="1591" spans="1:15">
      <c r="A1591" t="s">
        <v>1907</v>
      </c>
      <c r="B1591" t="s">
        <v>1871</v>
      </c>
      <c r="C1591" t="s">
        <v>317</v>
      </c>
      <c r="D1591">
        <v>36</v>
      </c>
      <c r="E1591">
        <v>156</v>
      </c>
      <c r="F1591">
        <v>0</v>
      </c>
      <c r="G1591">
        <v>0</v>
      </c>
      <c r="H1591">
        <v>0</v>
      </c>
      <c r="I1591">
        <v>0</v>
      </c>
      <c r="J1591">
        <v>0</v>
      </c>
      <c r="K1591">
        <v>0</v>
      </c>
      <c r="L1591">
        <v>0</v>
      </c>
      <c r="M1591">
        <v>0</v>
      </c>
      <c r="N1591">
        <v>0</v>
      </c>
      <c r="O1591">
        <v>0</v>
      </c>
    </row>
    <row r="1592" spans="1:15">
      <c r="A1592" t="s">
        <v>1908</v>
      </c>
      <c r="B1592" t="s">
        <v>1871</v>
      </c>
      <c r="C1592" t="s">
        <v>317</v>
      </c>
      <c r="D1592">
        <v>37</v>
      </c>
      <c r="E1592">
        <v>156</v>
      </c>
      <c r="F1592">
        <v>0</v>
      </c>
      <c r="G1592">
        <v>0</v>
      </c>
      <c r="H1592">
        <v>0</v>
      </c>
      <c r="I1592">
        <v>0</v>
      </c>
      <c r="J1592">
        <v>0</v>
      </c>
      <c r="K1592">
        <v>0</v>
      </c>
      <c r="L1592">
        <v>0</v>
      </c>
      <c r="M1592">
        <v>0</v>
      </c>
      <c r="N1592">
        <v>0</v>
      </c>
      <c r="O1592">
        <v>0</v>
      </c>
    </row>
    <row r="1593" spans="1:15">
      <c r="A1593" t="s">
        <v>1909</v>
      </c>
      <c r="B1593" t="s">
        <v>1871</v>
      </c>
      <c r="C1593" t="s">
        <v>317</v>
      </c>
      <c r="D1593">
        <v>38</v>
      </c>
      <c r="E1593">
        <v>156</v>
      </c>
      <c r="F1593">
        <v>0</v>
      </c>
      <c r="G1593">
        <v>0</v>
      </c>
      <c r="H1593">
        <v>0</v>
      </c>
      <c r="I1593">
        <v>0</v>
      </c>
      <c r="J1593">
        <v>0</v>
      </c>
      <c r="K1593">
        <v>0</v>
      </c>
      <c r="L1593">
        <v>0</v>
      </c>
      <c r="M1593">
        <v>0</v>
      </c>
      <c r="N1593">
        <v>0</v>
      </c>
      <c r="O1593">
        <v>0</v>
      </c>
    </row>
    <row r="1594" spans="1:15">
      <c r="A1594" t="s">
        <v>1910</v>
      </c>
      <c r="B1594" t="s">
        <v>1871</v>
      </c>
      <c r="C1594" t="s">
        <v>317</v>
      </c>
      <c r="D1594">
        <v>39</v>
      </c>
      <c r="E1594">
        <v>156</v>
      </c>
      <c r="F1594">
        <v>0</v>
      </c>
      <c r="G1594">
        <v>0</v>
      </c>
      <c r="H1594">
        <v>0</v>
      </c>
      <c r="I1594">
        <v>0</v>
      </c>
      <c r="J1594">
        <v>0</v>
      </c>
      <c r="K1594">
        <v>0</v>
      </c>
      <c r="L1594">
        <v>0</v>
      </c>
      <c r="M1594">
        <v>0</v>
      </c>
      <c r="N1594">
        <v>0</v>
      </c>
      <c r="O1594">
        <v>0</v>
      </c>
    </row>
    <row r="1595" spans="1:15">
      <c r="A1595" t="s">
        <v>1911</v>
      </c>
      <c r="B1595" t="s">
        <v>1871</v>
      </c>
      <c r="C1595" t="s">
        <v>317</v>
      </c>
      <c r="D1595">
        <v>40</v>
      </c>
      <c r="E1595">
        <v>156</v>
      </c>
      <c r="F1595">
        <v>0</v>
      </c>
      <c r="G1595">
        <v>0</v>
      </c>
      <c r="H1595">
        <v>0</v>
      </c>
      <c r="I1595">
        <v>0</v>
      </c>
      <c r="J1595">
        <v>0</v>
      </c>
      <c r="K1595">
        <v>0</v>
      </c>
      <c r="L1595">
        <v>0</v>
      </c>
      <c r="M1595">
        <v>0</v>
      </c>
      <c r="N1595">
        <v>0</v>
      </c>
      <c r="O1595">
        <v>0</v>
      </c>
    </row>
    <row r="1596" spans="1:15">
      <c r="A1596" t="s">
        <v>1912</v>
      </c>
      <c r="B1596" t="s">
        <v>1871</v>
      </c>
      <c r="C1596" t="s">
        <v>317</v>
      </c>
      <c r="D1596">
        <v>41</v>
      </c>
      <c r="E1596">
        <v>156</v>
      </c>
      <c r="F1596">
        <v>0</v>
      </c>
      <c r="G1596">
        <v>0</v>
      </c>
      <c r="H1596">
        <v>0</v>
      </c>
      <c r="I1596">
        <v>0</v>
      </c>
      <c r="J1596">
        <v>0</v>
      </c>
      <c r="K1596">
        <v>0</v>
      </c>
      <c r="L1596">
        <v>0</v>
      </c>
      <c r="M1596">
        <v>0</v>
      </c>
      <c r="N1596">
        <v>0</v>
      </c>
      <c r="O1596">
        <v>0</v>
      </c>
    </row>
    <row r="1597" spans="1:15">
      <c r="A1597" t="s">
        <v>1913</v>
      </c>
      <c r="B1597" t="s">
        <v>1871</v>
      </c>
      <c r="C1597" t="s">
        <v>317</v>
      </c>
      <c r="D1597">
        <v>42</v>
      </c>
      <c r="E1597">
        <v>156</v>
      </c>
      <c r="F1597">
        <v>0</v>
      </c>
      <c r="G1597">
        <v>0</v>
      </c>
      <c r="H1597">
        <v>0</v>
      </c>
      <c r="I1597">
        <v>0</v>
      </c>
      <c r="J1597">
        <v>0</v>
      </c>
      <c r="K1597">
        <v>0</v>
      </c>
      <c r="L1597">
        <v>0</v>
      </c>
      <c r="M1597">
        <v>0</v>
      </c>
      <c r="N1597">
        <v>0</v>
      </c>
      <c r="O1597">
        <v>0</v>
      </c>
    </row>
    <row r="1598" spans="1:15">
      <c r="A1598" t="s">
        <v>1914</v>
      </c>
      <c r="B1598" t="s">
        <v>1871</v>
      </c>
      <c r="C1598" t="s">
        <v>317</v>
      </c>
      <c r="D1598">
        <v>43</v>
      </c>
      <c r="E1598">
        <v>156</v>
      </c>
      <c r="F1598">
        <v>0</v>
      </c>
      <c r="G1598">
        <v>0</v>
      </c>
      <c r="H1598">
        <v>0</v>
      </c>
      <c r="I1598">
        <v>0</v>
      </c>
      <c r="J1598">
        <v>0</v>
      </c>
      <c r="K1598">
        <v>0</v>
      </c>
      <c r="L1598">
        <v>0</v>
      </c>
      <c r="M1598">
        <v>0</v>
      </c>
      <c r="N1598">
        <v>0</v>
      </c>
      <c r="O1598">
        <v>0</v>
      </c>
    </row>
    <row r="1599" spans="1:15">
      <c r="A1599" t="s">
        <v>1915</v>
      </c>
      <c r="B1599" t="s">
        <v>1871</v>
      </c>
      <c r="C1599" t="s">
        <v>317</v>
      </c>
      <c r="D1599">
        <v>44</v>
      </c>
      <c r="E1599">
        <v>156</v>
      </c>
      <c r="F1599">
        <v>0</v>
      </c>
      <c r="G1599">
        <v>0</v>
      </c>
      <c r="H1599">
        <v>0</v>
      </c>
      <c r="I1599">
        <v>0</v>
      </c>
      <c r="J1599">
        <v>0</v>
      </c>
      <c r="K1599">
        <v>0</v>
      </c>
      <c r="L1599">
        <v>0</v>
      </c>
      <c r="M1599">
        <v>0</v>
      </c>
      <c r="N1599">
        <v>0</v>
      </c>
      <c r="O1599">
        <v>0</v>
      </c>
    </row>
    <row r="1600" spans="1:15">
      <c r="A1600" t="s">
        <v>1916</v>
      </c>
      <c r="B1600" t="s">
        <v>1871</v>
      </c>
      <c r="C1600" t="s">
        <v>317</v>
      </c>
      <c r="D1600">
        <v>45</v>
      </c>
      <c r="E1600">
        <v>156</v>
      </c>
      <c r="F1600">
        <v>0</v>
      </c>
      <c r="G1600">
        <v>0</v>
      </c>
      <c r="H1600">
        <v>0</v>
      </c>
      <c r="I1600">
        <v>0</v>
      </c>
      <c r="J1600">
        <v>0</v>
      </c>
      <c r="K1600">
        <v>0</v>
      </c>
      <c r="L1600">
        <v>0</v>
      </c>
      <c r="M1600">
        <v>0</v>
      </c>
      <c r="N1600">
        <v>0</v>
      </c>
      <c r="O1600">
        <v>0</v>
      </c>
    </row>
    <row r="1601" spans="1:15">
      <c r="A1601" t="s">
        <v>1917</v>
      </c>
      <c r="B1601" t="s">
        <v>1871</v>
      </c>
      <c r="C1601" t="s">
        <v>317</v>
      </c>
      <c r="D1601">
        <v>46</v>
      </c>
      <c r="E1601">
        <v>156</v>
      </c>
      <c r="F1601">
        <v>0</v>
      </c>
      <c r="G1601">
        <v>0</v>
      </c>
      <c r="H1601">
        <v>0</v>
      </c>
      <c r="I1601">
        <v>0</v>
      </c>
      <c r="J1601">
        <v>0</v>
      </c>
      <c r="K1601">
        <v>0</v>
      </c>
      <c r="L1601">
        <v>0</v>
      </c>
      <c r="M1601">
        <v>0</v>
      </c>
      <c r="N1601">
        <v>0</v>
      </c>
      <c r="O1601">
        <v>0</v>
      </c>
    </row>
    <row r="1602" spans="1:15">
      <c r="A1602" t="s">
        <v>1918</v>
      </c>
      <c r="B1602" t="s">
        <v>1871</v>
      </c>
      <c r="C1602" t="s">
        <v>317</v>
      </c>
      <c r="D1602">
        <v>47</v>
      </c>
      <c r="E1602">
        <v>156</v>
      </c>
      <c r="F1602">
        <v>0</v>
      </c>
      <c r="G1602">
        <v>0</v>
      </c>
      <c r="H1602">
        <v>0</v>
      </c>
      <c r="I1602">
        <v>0</v>
      </c>
      <c r="J1602">
        <v>0</v>
      </c>
      <c r="K1602">
        <v>0</v>
      </c>
      <c r="L1602">
        <v>0</v>
      </c>
      <c r="M1602">
        <v>0</v>
      </c>
      <c r="N1602">
        <v>0</v>
      </c>
      <c r="O1602">
        <v>0</v>
      </c>
    </row>
    <row r="1603" spans="1:15">
      <c r="A1603" t="s">
        <v>1919</v>
      </c>
      <c r="B1603" t="s">
        <v>1871</v>
      </c>
      <c r="C1603" t="s">
        <v>317</v>
      </c>
      <c r="D1603">
        <v>48</v>
      </c>
      <c r="E1603">
        <v>156</v>
      </c>
      <c r="F1603">
        <v>0</v>
      </c>
      <c r="G1603">
        <v>0</v>
      </c>
      <c r="H1603">
        <v>0</v>
      </c>
      <c r="I1603">
        <v>0</v>
      </c>
      <c r="J1603">
        <v>0</v>
      </c>
      <c r="K1603">
        <v>0</v>
      </c>
      <c r="L1603">
        <v>0</v>
      </c>
      <c r="M1603">
        <v>0</v>
      </c>
      <c r="N1603">
        <v>0</v>
      </c>
      <c r="O1603">
        <v>0</v>
      </c>
    </row>
    <row r="1604" spans="1:15">
      <c r="A1604" t="s">
        <v>1920</v>
      </c>
      <c r="B1604" t="s">
        <v>1871</v>
      </c>
      <c r="C1604" t="s">
        <v>317</v>
      </c>
      <c r="D1604">
        <v>49</v>
      </c>
      <c r="E1604">
        <v>156</v>
      </c>
      <c r="F1604">
        <v>0</v>
      </c>
      <c r="G1604">
        <v>0</v>
      </c>
      <c r="H1604">
        <v>0</v>
      </c>
      <c r="I1604">
        <v>0</v>
      </c>
      <c r="J1604">
        <v>0</v>
      </c>
      <c r="K1604">
        <v>0</v>
      </c>
      <c r="L1604">
        <v>0</v>
      </c>
      <c r="M1604">
        <v>0</v>
      </c>
      <c r="N1604">
        <v>0</v>
      </c>
      <c r="O1604">
        <v>0</v>
      </c>
    </row>
    <row r="1605" spans="1:15">
      <c r="A1605" t="s">
        <v>1921</v>
      </c>
      <c r="B1605" t="s">
        <v>1871</v>
      </c>
      <c r="C1605" t="s">
        <v>317</v>
      </c>
      <c r="D1605">
        <v>50</v>
      </c>
      <c r="E1605">
        <v>156</v>
      </c>
      <c r="F1605">
        <v>0</v>
      </c>
      <c r="G1605">
        <v>0</v>
      </c>
      <c r="H1605">
        <v>0</v>
      </c>
      <c r="I1605">
        <v>0</v>
      </c>
      <c r="J1605">
        <v>0</v>
      </c>
      <c r="K1605">
        <v>0</v>
      </c>
      <c r="L1605">
        <v>0</v>
      </c>
      <c r="M1605">
        <v>0</v>
      </c>
      <c r="N1605">
        <v>0</v>
      </c>
      <c r="O1605">
        <v>0</v>
      </c>
    </row>
    <row r="1606" spans="1:15">
      <c r="A1606" t="s">
        <v>1922</v>
      </c>
      <c r="B1606" t="s">
        <v>1871</v>
      </c>
      <c r="C1606" t="s">
        <v>317</v>
      </c>
      <c r="D1606">
        <v>51</v>
      </c>
      <c r="E1606">
        <v>156</v>
      </c>
      <c r="F1606">
        <v>0</v>
      </c>
      <c r="G1606">
        <v>0</v>
      </c>
      <c r="H1606">
        <v>0</v>
      </c>
      <c r="I1606">
        <v>0</v>
      </c>
      <c r="J1606">
        <v>0</v>
      </c>
      <c r="K1606">
        <v>0</v>
      </c>
      <c r="L1606">
        <v>0</v>
      </c>
      <c r="M1606">
        <v>0</v>
      </c>
      <c r="N1606">
        <v>0</v>
      </c>
      <c r="O1606">
        <v>0</v>
      </c>
    </row>
    <row r="1607" spans="1:15">
      <c r="A1607" t="s">
        <v>1923</v>
      </c>
      <c r="B1607" t="s">
        <v>1871</v>
      </c>
      <c r="C1607" t="s">
        <v>317</v>
      </c>
      <c r="D1607">
        <v>52</v>
      </c>
      <c r="E1607">
        <v>156</v>
      </c>
      <c r="F1607">
        <v>0</v>
      </c>
      <c r="G1607">
        <v>0</v>
      </c>
      <c r="H1607">
        <v>0</v>
      </c>
      <c r="I1607">
        <v>0</v>
      </c>
      <c r="J1607">
        <v>0</v>
      </c>
      <c r="K1607">
        <v>0</v>
      </c>
      <c r="L1607">
        <v>0</v>
      </c>
      <c r="M1607">
        <v>0</v>
      </c>
      <c r="N1607">
        <v>0</v>
      </c>
      <c r="O1607">
        <v>0</v>
      </c>
    </row>
    <row r="1608" spans="1:15">
      <c r="A1608" t="s">
        <v>1924</v>
      </c>
      <c r="B1608" t="s">
        <v>1871</v>
      </c>
      <c r="C1608" t="s">
        <v>317</v>
      </c>
      <c r="D1608">
        <v>53</v>
      </c>
      <c r="E1608">
        <v>156</v>
      </c>
      <c r="F1608">
        <v>0</v>
      </c>
      <c r="G1608">
        <v>0</v>
      </c>
      <c r="H1608">
        <v>0</v>
      </c>
      <c r="I1608">
        <v>0</v>
      </c>
      <c r="J1608">
        <v>0</v>
      </c>
      <c r="K1608">
        <v>0</v>
      </c>
      <c r="L1608">
        <v>0</v>
      </c>
      <c r="M1608">
        <v>0</v>
      </c>
      <c r="N1608">
        <v>0</v>
      </c>
      <c r="O1608">
        <v>0</v>
      </c>
    </row>
    <row r="1609" spans="1:15">
      <c r="A1609" t="s">
        <v>1925</v>
      </c>
      <c r="B1609" t="s">
        <v>1871</v>
      </c>
      <c r="C1609" t="s">
        <v>317</v>
      </c>
      <c r="D1609">
        <v>54</v>
      </c>
      <c r="E1609">
        <v>156</v>
      </c>
      <c r="F1609">
        <v>0</v>
      </c>
      <c r="G1609">
        <v>0</v>
      </c>
      <c r="H1609">
        <v>0</v>
      </c>
      <c r="I1609">
        <v>0</v>
      </c>
      <c r="J1609">
        <v>0</v>
      </c>
      <c r="K1609">
        <v>0</v>
      </c>
      <c r="L1609">
        <v>0</v>
      </c>
      <c r="M1609">
        <v>0</v>
      </c>
      <c r="N1609">
        <v>0</v>
      </c>
      <c r="O1609">
        <v>0</v>
      </c>
    </row>
    <row r="1610" spans="1:15">
      <c r="A1610" t="s">
        <v>1926</v>
      </c>
      <c r="B1610" t="s">
        <v>1871</v>
      </c>
      <c r="C1610" t="s">
        <v>317</v>
      </c>
      <c r="D1610">
        <v>55</v>
      </c>
      <c r="E1610">
        <v>156</v>
      </c>
      <c r="F1610">
        <v>0</v>
      </c>
      <c r="G1610">
        <v>0</v>
      </c>
      <c r="H1610">
        <v>0</v>
      </c>
      <c r="I1610">
        <v>0</v>
      </c>
      <c r="J1610">
        <v>0</v>
      </c>
      <c r="K1610">
        <v>0</v>
      </c>
      <c r="L1610">
        <v>0</v>
      </c>
      <c r="M1610">
        <v>0</v>
      </c>
      <c r="N1610">
        <v>0</v>
      </c>
      <c r="O1610">
        <v>0</v>
      </c>
    </row>
    <row r="1611" spans="1:15">
      <c r="A1611" t="s">
        <v>1927</v>
      </c>
      <c r="B1611" t="s">
        <v>1871</v>
      </c>
      <c r="C1611" t="s">
        <v>317</v>
      </c>
      <c r="D1611">
        <v>56</v>
      </c>
      <c r="E1611">
        <v>156</v>
      </c>
      <c r="F1611">
        <v>0</v>
      </c>
      <c r="G1611">
        <v>0</v>
      </c>
      <c r="H1611">
        <v>0</v>
      </c>
      <c r="I1611">
        <v>0</v>
      </c>
      <c r="J1611">
        <v>0</v>
      </c>
      <c r="K1611">
        <v>0</v>
      </c>
      <c r="L1611">
        <v>0</v>
      </c>
      <c r="M1611">
        <v>0</v>
      </c>
      <c r="N1611">
        <v>0</v>
      </c>
      <c r="O1611">
        <v>0</v>
      </c>
    </row>
    <row r="1612" spans="1:15">
      <c r="A1612" t="s">
        <v>1928</v>
      </c>
      <c r="B1612" t="s">
        <v>1871</v>
      </c>
      <c r="C1612" t="s">
        <v>317</v>
      </c>
      <c r="D1612">
        <v>57</v>
      </c>
      <c r="E1612">
        <v>156</v>
      </c>
      <c r="F1612">
        <v>0</v>
      </c>
      <c r="G1612">
        <v>0</v>
      </c>
      <c r="H1612">
        <v>0</v>
      </c>
      <c r="I1612">
        <v>0</v>
      </c>
      <c r="J1612">
        <v>0</v>
      </c>
      <c r="K1612">
        <v>0</v>
      </c>
      <c r="L1612">
        <v>0</v>
      </c>
      <c r="M1612">
        <v>0</v>
      </c>
      <c r="N1612">
        <v>0</v>
      </c>
      <c r="O1612">
        <v>0</v>
      </c>
    </row>
    <row r="1613" spans="1:15">
      <c r="A1613" t="s">
        <v>1929</v>
      </c>
      <c r="B1613" t="s">
        <v>1871</v>
      </c>
      <c r="C1613" t="s">
        <v>317</v>
      </c>
      <c r="D1613">
        <v>58</v>
      </c>
      <c r="E1613">
        <v>156</v>
      </c>
      <c r="F1613">
        <v>0</v>
      </c>
      <c r="G1613">
        <v>0</v>
      </c>
      <c r="H1613">
        <v>0</v>
      </c>
      <c r="I1613">
        <v>0</v>
      </c>
      <c r="J1613">
        <v>0</v>
      </c>
      <c r="K1613">
        <v>0</v>
      </c>
      <c r="L1613">
        <v>0</v>
      </c>
      <c r="M1613">
        <v>0</v>
      </c>
      <c r="N1613">
        <v>0</v>
      </c>
      <c r="O1613">
        <v>0</v>
      </c>
    </row>
    <row r="1614" spans="1:15">
      <c r="A1614" t="s">
        <v>1930</v>
      </c>
      <c r="B1614" t="s">
        <v>1871</v>
      </c>
      <c r="C1614" t="s">
        <v>317</v>
      </c>
      <c r="D1614">
        <v>59</v>
      </c>
      <c r="E1614">
        <v>156</v>
      </c>
      <c r="F1614">
        <v>0</v>
      </c>
      <c r="G1614">
        <v>0</v>
      </c>
      <c r="H1614">
        <v>0</v>
      </c>
      <c r="I1614">
        <v>0</v>
      </c>
      <c r="J1614">
        <v>0</v>
      </c>
      <c r="K1614">
        <v>0</v>
      </c>
      <c r="L1614">
        <v>0</v>
      </c>
      <c r="M1614">
        <v>0</v>
      </c>
      <c r="N1614">
        <v>0</v>
      </c>
      <c r="O1614">
        <v>0</v>
      </c>
    </row>
    <row r="1615" spans="1:15">
      <c r="A1615" t="s">
        <v>1931</v>
      </c>
      <c r="B1615" t="s">
        <v>1871</v>
      </c>
      <c r="C1615" t="s">
        <v>317</v>
      </c>
      <c r="D1615">
        <v>60</v>
      </c>
      <c r="E1615">
        <v>156</v>
      </c>
      <c r="F1615">
        <v>0</v>
      </c>
      <c r="G1615">
        <v>0</v>
      </c>
      <c r="H1615">
        <v>0</v>
      </c>
      <c r="I1615">
        <v>0</v>
      </c>
      <c r="J1615">
        <v>0</v>
      </c>
      <c r="K1615">
        <v>0</v>
      </c>
      <c r="L1615">
        <v>0</v>
      </c>
      <c r="M1615">
        <v>0</v>
      </c>
      <c r="N1615">
        <v>0</v>
      </c>
      <c r="O1615">
        <v>0</v>
      </c>
    </row>
    <row r="1616" spans="1:15">
      <c r="A1616" t="s">
        <v>1932</v>
      </c>
      <c r="B1616" t="s">
        <v>1871</v>
      </c>
      <c r="C1616" t="s">
        <v>317</v>
      </c>
      <c r="D1616">
        <v>61</v>
      </c>
      <c r="E1616">
        <v>156</v>
      </c>
      <c r="F1616">
        <v>0</v>
      </c>
      <c r="G1616">
        <v>0</v>
      </c>
      <c r="H1616">
        <v>0</v>
      </c>
      <c r="I1616">
        <v>0</v>
      </c>
      <c r="J1616">
        <v>0</v>
      </c>
      <c r="K1616">
        <v>0</v>
      </c>
      <c r="L1616">
        <v>0</v>
      </c>
      <c r="M1616">
        <v>0</v>
      </c>
      <c r="N1616">
        <v>0</v>
      </c>
      <c r="O1616">
        <v>0</v>
      </c>
    </row>
    <row r="1617" spans="1:15">
      <c r="A1617" t="s">
        <v>1933</v>
      </c>
      <c r="B1617" t="s">
        <v>1871</v>
      </c>
      <c r="C1617" t="s">
        <v>317</v>
      </c>
      <c r="D1617">
        <v>62</v>
      </c>
      <c r="E1617">
        <v>156</v>
      </c>
      <c r="F1617">
        <v>0</v>
      </c>
      <c r="G1617">
        <v>0</v>
      </c>
      <c r="H1617">
        <v>0</v>
      </c>
      <c r="I1617">
        <v>0</v>
      </c>
      <c r="J1617">
        <v>0</v>
      </c>
      <c r="K1617">
        <v>0</v>
      </c>
      <c r="L1617">
        <v>0</v>
      </c>
      <c r="M1617">
        <v>0</v>
      </c>
      <c r="N1617">
        <v>0</v>
      </c>
      <c r="O1617">
        <v>0</v>
      </c>
    </row>
    <row r="1618" spans="1:15">
      <c r="A1618" t="s">
        <v>1934</v>
      </c>
      <c r="B1618" t="s">
        <v>1871</v>
      </c>
      <c r="C1618" t="s">
        <v>317</v>
      </c>
      <c r="D1618">
        <v>63</v>
      </c>
      <c r="E1618">
        <v>156</v>
      </c>
      <c r="F1618">
        <v>0</v>
      </c>
      <c r="G1618">
        <v>0</v>
      </c>
      <c r="H1618">
        <v>0</v>
      </c>
      <c r="I1618">
        <v>0</v>
      </c>
      <c r="J1618">
        <v>0</v>
      </c>
      <c r="K1618">
        <v>0</v>
      </c>
      <c r="L1618">
        <v>0</v>
      </c>
      <c r="M1618">
        <v>0</v>
      </c>
      <c r="N1618">
        <v>0</v>
      </c>
      <c r="O1618">
        <v>0</v>
      </c>
    </row>
    <row r="1619" spans="1:15">
      <c r="A1619" t="s">
        <v>1935</v>
      </c>
      <c r="B1619" t="s">
        <v>1871</v>
      </c>
      <c r="C1619" t="s">
        <v>317</v>
      </c>
      <c r="D1619">
        <v>64</v>
      </c>
      <c r="E1619">
        <v>156</v>
      </c>
      <c r="F1619">
        <v>0</v>
      </c>
      <c r="G1619">
        <v>0</v>
      </c>
      <c r="H1619">
        <v>0</v>
      </c>
      <c r="I1619">
        <v>0</v>
      </c>
      <c r="J1619">
        <v>0</v>
      </c>
      <c r="K1619">
        <v>0</v>
      </c>
      <c r="L1619">
        <v>0</v>
      </c>
      <c r="M1619">
        <v>0</v>
      </c>
      <c r="N1619">
        <v>0</v>
      </c>
      <c r="O1619">
        <v>0</v>
      </c>
    </row>
    <row r="1620" spans="1:15">
      <c r="A1620" t="s">
        <v>1936</v>
      </c>
      <c r="B1620" t="s">
        <v>1871</v>
      </c>
      <c r="C1620" t="s">
        <v>317</v>
      </c>
      <c r="D1620">
        <v>65</v>
      </c>
      <c r="E1620">
        <v>156</v>
      </c>
      <c r="F1620">
        <v>0</v>
      </c>
      <c r="G1620">
        <v>0</v>
      </c>
      <c r="H1620">
        <v>0</v>
      </c>
      <c r="I1620">
        <v>0</v>
      </c>
      <c r="J1620">
        <v>0</v>
      </c>
      <c r="K1620">
        <v>0</v>
      </c>
      <c r="L1620">
        <v>0</v>
      </c>
      <c r="M1620">
        <v>0</v>
      </c>
      <c r="N1620">
        <v>0</v>
      </c>
      <c r="O1620">
        <v>0</v>
      </c>
    </row>
    <row r="1621" spans="1:15">
      <c r="A1621" t="s">
        <v>1937</v>
      </c>
      <c r="B1621" t="s">
        <v>1871</v>
      </c>
      <c r="C1621" t="s">
        <v>317</v>
      </c>
      <c r="D1621">
        <v>66</v>
      </c>
      <c r="E1621">
        <v>156</v>
      </c>
      <c r="F1621">
        <v>0</v>
      </c>
      <c r="G1621">
        <v>0</v>
      </c>
      <c r="H1621">
        <v>0</v>
      </c>
      <c r="I1621">
        <v>0</v>
      </c>
      <c r="J1621">
        <v>0</v>
      </c>
      <c r="K1621">
        <v>0</v>
      </c>
      <c r="L1621">
        <v>0</v>
      </c>
      <c r="M1621">
        <v>0</v>
      </c>
      <c r="N1621">
        <v>0</v>
      </c>
      <c r="O1621">
        <v>0</v>
      </c>
    </row>
    <row r="1622" spans="1:15">
      <c r="A1622" t="s">
        <v>1938</v>
      </c>
      <c r="B1622" t="s">
        <v>1871</v>
      </c>
      <c r="C1622" t="s">
        <v>317</v>
      </c>
      <c r="D1622">
        <v>67</v>
      </c>
      <c r="E1622">
        <v>156</v>
      </c>
      <c r="F1622">
        <v>0</v>
      </c>
      <c r="G1622">
        <v>0</v>
      </c>
      <c r="H1622">
        <v>0</v>
      </c>
      <c r="I1622">
        <v>0</v>
      </c>
      <c r="J1622">
        <v>0</v>
      </c>
      <c r="K1622">
        <v>0</v>
      </c>
      <c r="L1622">
        <v>0</v>
      </c>
      <c r="M1622">
        <v>0</v>
      </c>
      <c r="N1622">
        <v>0</v>
      </c>
      <c r="O1622">
        <v>0</v>
      </c>
    </row>
    <row r="1623" spans="1:15">
      <c r="A1623" t="s">
        <v>1939</v>
      </c>
      <c r="B1623" t="s">
        <v>1871</v>
      </c>
      <c r="C1623" t="s">
        <v>317</v>
      </c>
      <c r="D1623">
        <v>68</v>
      </c>
      <c r="E1623">
        <v>156</v>
      </c>
      <c r="F1623">
        <v>0</v>
      </c>
      <c r="G1623">
        <v>0</v>
      </c>
      <c r="H1623">
        <v>0</v>
      </c>
      <c r="I1623">
        <v>0</v>
      </c>
      <c r="J1623">
        <v>0</v>
      </c>
      <c r="K1623">
        <v>0</v>
      </c>
      <c r="L1623">
        <v>0</v>
      </c>
      <c r="M1623">
        <v>0</v>
      </c>
      <c r="N1623">
        <v>0</v>
      </c>
      <c r="O1623">
        <v>0</v>
      </c>
    </row>
    <row r="1624" spans="1:15">
      <c r="A1624" t="s">
        <v>1940</v>
      </c>
      <c r="B1624" t="s">
        <v>1871</v>
      </c>
      <c r="C1624" t="s">
        <v>317</v>
      </c>
      <c r="D1624">
        <v>69</v>
      </c>
      <c r="E1624">
        <v>156</v>
      </c>
      <c r="F1624">
        <v>0</v>
      </c>
      <c r="G1624">
        <v>0</v>
      </c>
      <c r="H1624">
        <v>0</v>
      </c>
      <c r="I1624">
        <v>0</v>
      </c>
      <c r="J1624">
        <v>0</v>
      </c>
      <c r="K1624">
        <v>0</v>
      </c>
      <c r="L1624">
        <v>0</v>
      </c>
      <c r="M1624">
        <v>0</v>
      </c>
      <c r="N1624">
        <v>0</v>
      </c>
      <c r="O1624">
        <v>0</v>
      </c>
    </row>
    <row r="1625" spans="1:15">
      <c r="A1625" t="s">
        <v>1941</v>
      </c>
      <c r="B1625" t="s">
        <v>1871</v>
      </c>
      <c r="C1625" t="s">
        <v>317</v>
      </c>
      <c r="D1625">
        <v>70</v>
      </c>
      <c r="E1625">
        <v>156</v>
      </c>
      <c r="F1625">
        <v>0</v>
      </c>
      <c r="G1625">
        <v>0</v>
      </c>
      <c r="H1625">
        <v>0</v>
      </c>
      <c r="I1625">
        <v>0</v>
      </c>
      <c r="J1625">
        <v>0</v>
      </c>
      <c r="K1625">
        <v>0</v>
      </c>
      <c r="L1625">
        <v>0</v>
      </c>
      <c r="M1625">
        <v>0</v>
      </c>
      <c r="N1625">
        <v>0</v>
      </c>
      <c r="O1625">
        <v>0</v>
      </c>
    </row>
    <row r="1626" spans="1:15">
      <c r="A1626" t="s">
        <v>1942</v>
      </c>
      <c r="B1626" t="s">
        <v>1871</v>
      </c>
      <c r="C1626" t="s">
        <v>317</v>
      </c>
      <c r="D1626">
        <v>71</v>
      </c>
      <c r="E1626">
        <v>156</v>
      </c>
      <c r="F1626">
        <v>0</v>
      </c>
      <c r="G1626">
        <v>0</v>
      </c>
      <c r="H1626">
        <v>0</v>
      </c>
      <c r="I1626">
        <v>0</v>
      </c>
      <c r="J1626">
        <v>0</v>
      </c>
      <c r="K1626">
        <v>0</v>
      </c>
      <c r="L1626">
        <v>0</v>
      </c>
      <c r="M1626">
        <v>0</v>
      </c>
      <c r="N1626">
        <v>0</v>
      </c>
      <c r="O1626">
        <v>0</v>
      </c>
    </row>
    <row r="1627" spans="1:15">
      <c r="A1627" t="s">
        <v>1943</v>
      </c>
      <c r="B1627" t="s">
        <v>1871</v>
      </c>
      <c r="C1627" t="s">
        <v>317</v>
      </c>
      <c r="D1627">
        <v>72</v>
      </c>
      <c r="E1627">
        <v>156</v>
      </c>
      <c r="F1627">
        <v>0</v>
      </c>
      <c r="G1627">
        <v>0</v>
      </c>
      <c r="H1627">
        <v>0</v>
      </c>
      <c r="I1627">
        <v>0</v>
      </c>
      <c r="J1627">
        <v>0</v>
      </c>
      <c r="K1627">
        <v>0</v>
      </c>
      <c r="L1627">
        <v>0</v>
      </c>
      <c r="M1627">
        <v>0</v>
      </c>
      <c r="N1627">
        <v>0</v>
      </c>
      <c r="O1627">
        <v>0</v>
      </c>
    </row>
    <row r="1628" spans="1:15">
      <c r="A1628" t="s">
        <v>1944</v>
      </c>
      <c r="B1628" t="s">
        <v>1871</v>
      </c>
      <c r="C1628" t="s">
        <v>317</v>
      </c>
      <c r="D1628">
        <v>73</v>
      </c>
      <c r="E1628">
        <v>156</v>
      </c>
      <c r="F1628">
        <v>0</v>
      </c>
      <c r="G1628">
        <v>0</v>
      </c>
      <c r="H1628">
        <v>0</v>
      </c>
      <c r="I1628">
        <v>0</v>
      </c>
      <c r="J1628">
        <v>0</v>
      </c>
      <c r="K1628">
        <v>0</v>
      </c>
      <c r="L1628">
        <v>0</v>
      </c>
      <c r="M1628">
        <v>0</v>
      </c>
      <c r="N1628">
        <v>0</v>
      </c>
      <c r="O1628">
        <v>0</v>
      </c>
    </row>
    <row r="1629" spans="1:15">
      <c r="A1629" t="s">
        <v>1945</v>
      </c>
      <c r="B1629" t="s">
        <v>1871</v>
      </c>
      <c r="C1629" t="s">
        <v>317</v>
      </c>
      <c r="D1629">
        <v>74</v>
      </c>
      <c r="E1629">
        <v>156</v>
      </c>
      <c r="F1629">
        <v>0</v>
      </c>
      <c r="G1629">
        <v>0</v>
      </c>
      <c r="H1629">
        <v>0</v>
      </c>
      <c r="I1629">
        <v>0</v>
      </c>
      <c r="J1629">
        <v>0</v>
      </c>
      <c r="K1629">
        <v>0</v>
      </c>
      <c r="L1629">
        <v>0</v>
      </c>
      <c r="M1629">
        <v>0</v>
      </c>
      <c r="N1629">
        <v>0</v>
      </c>
      <c r="O1629">
        <v>0</v>
      </c>
    </row>
    <row r="1630" spans="1:15">
      <c r="A1630" t="s">
        <v>1946</v>
      </c>
      <c r="B1630" t="s">
        <v>1871</v>
      </c>
      <c r="C1630" t="s">
        <v>317</v>
      </c>
      <c r="D1630">
        <v>75</v>
      </c>
      <c r="E1630">
        <v>156</v>
      </c>
      <c r="F1630">
        <v>0</v>
      </c>
      <c r="G1630">
        <v>0</v>
      </c>
      <c r="H1630">
        <v>0</v>
      </c>
      <c r="I1630">
        <v>0</v>
      </c>
      <c r="J1630">
        <v>0</v>
      </c>
      <c r="K1630">
        <v>0</v>
      </c>
      <c r="L1630">
        <v>0</v>
      </c>
      <c r="M1630">
        <v>0</v>
      </c>
      <c r="N1630">
        <v>0</v>
      </c>
      <c r="O1630">
        <v>0</v>
      </c>
    </row>
    <row r="1631" spans="1:15">
      <c r="A1631" t="s">
        <v>1947</v>
      </c>
      <c r="B1631" t="s">
        <v>1871</v>
      </c>
      <c r="C1631" t="s">
        <v>317</v>
      </c>
      <c r="D1631">
        <v>76</v>
      </c>
      <c r="E1631">
        <v>156</v>
      </c>
      <c r="F1631">
        <v>0</v>
      </c>
      <c r="G1631">
        <v>0</v>
      </c>
      <c r="H1631">
        <v>0</v>
      </c>
      <c r="I1631">
        <v>0</v>
      </c>
      <c r="J1631">
        <v>0</v>
      </c>
      <c r="K1631">
        <v>0</v>
      </c>
      <c r="L1631">
        <v>0</v>
      </c>
      <c r="M1631">
        <v>0</v>
      </c>
      <c r="N1631">
        <v>0</v>
      </c>
      <c r="O1631">
        <v>0</v>
      </c>
    </row>
    <row r="1632" spans="1:15">
      <c r="A1632" t="s">
        <v>1948</v>
      </c>
      <c r="B1632" t="s">
        <v>1871</v>
      </c>
      <c r="C1632" t="s">
        <v>317</v>
      </c>
      <c r="D1632">
        <v>77</v>
      </c>
      <c r="E1632">
        <v>156</v>
      </c>
      <c r="F1632">
        <v>0</v>
      </c>
      <c r="G1632">
        <v>0</v>
      </c>
      <c r="H1632">
        <v>0</v>
      </c>
      <c r="I1632">
        <v>0</v>
      </c>
      <c r="J1632">
        <v>0</v>
      </c>
      <c r="K1632">
        <v>0</v>
      </c>
      <c r="L1632">
        <v>0</v>
      </c>
      <c r="M1632">
        <v>0</v>
      </c>
      <c r="N1632">
        <v>0</v>
      </c>
      <c r="O1632">
        <v>0</v>
      </c>
    </row>
    <row r="1633" spans="1:15">
      <c r="A1633" t="s">
        <v>1949</v>
      </c>
      <c r="B1633" t="s">
        <v>1871</v>
      </c>
      <c r="C1633" t="s">
        <v>317</v>
      </c>
      <c r="D1633">
        <v>78</v>
      </c>
      <c r="E1633">
        <v>156</v>
      </c>
      <c r="F1633">
        <v>0</v>
      </c>
      <c r="G1633">
        <v>0</v>
      </c>
      <c r="H1633">
        <v>0</v>
      </c>
      <c r="I1633">
        <v>0</v>
      </c>
      <c r="J1633">
        <v>0</v>
      </c>
      <c r="K1633">
        <v>0</v>
      </c>
      <c r="L1633">
        <v>0</v>
      </c>
      <c r="M1633">
        <v>0</v>
      </c>
      <c r="N1633">
        <v>0</v>
      </c>
      <c r="O1633">
        <v>0</v>
      </c>
    </row>
    <row r="1634" spans="1:15">
      <c r="A1634" t="s">
        <v>1950</v>
      </c>
      <c r="B1634" t="s">
        <v>1871</v>
      </c>
      <c r="C1634" t="s">
        <v>317</v>
      </c>
      <c r="D1634">
        <v>79</v>
      </c>
      <c r="E1634">
        <v>156</v>
      </c>
      <c r="F1634">
        <v>0</v>
      </c>
      <c r="G1634">
        <v>0</v>
      </c>
      <c r="H1634">
        <v>0</v>
      </c>
      <c r="I1634">
        <v>0</v>
      </c>
      <c r="J1634">
        <v>0</v>
      </c>
      <c r="K1634">
        <v>0</v>
      </c>
      <c r="L1634">
        <v>0</v>
      </c>
      <c r="M1634">
        <v>0</v>
      </c>
      <c r="N1634">
        <v>0</v>
      </c>
      <c r="O1634">
        <v>0</v>
      </c>
    </row>
    <row r="1635" spans="1:15">
      <c r="A1635" t="s">
        <v>1951</v>
      </c>
      <c r="B1635" t="s">
        <v>1871</v>
      </c>
      <c r="C1635" t="s">
        <v>317</v>
      </c>
      <c r="D1635">
        <v>80</v>
      </c>
      <c r="E1635">
        <v>156</v>
      </c>
      <c r="F1635">
        <v>0</v>
      </c>
      <c r="G1635">
        <v>0</v>
      </c>
      <c r="H1635">
        <v>0</v>
      </c>
      <c r="I1635">
        <v>0</v>
      </c>
      <c r="J1635">
        <v>0</v>
      </c>
      <c r="K1635">
        <v>0</v>
      </c>
      <c r="L1635">
        <v>0</v>
      </c>
      <c r="M1635">
        <v>0</v>
      </c>
      <c r="N1635">
        <v>0</v>
      </c>
      <c r="O1635">
        <v>0</v>
      </c>
    </row>
    <row r="1636" spans="1:15">
      <c r="A1636" t="s">
        <v>1952</v>
      </c>
      <c r="B1636" t="s">
        <v>1871</v>
      </c>
      <c r="C1636" t="s">
        <v>317</v>
      </c>
      <c r="D1636">
        <v>81</v>
      </c>
      <c r="E1636">
        <v>156</v>
      </c>
      <c r="F1636">
        <v>0</v>
      </c>
      <c r="G1636">
        <v>0</v>
      </c>
      <c r="H1636">
        <v>0</v>
      </c>
      <c r="I1636">
        <v>0</v>
      </c>
      <c r="J1636">
        <v>0</v>
      </c>
      <c r="K1636">
        <v>0</v>
      </c>
      <c r="L1636">
        <v>0</v>
      </c>
      <c r="M1636">
        <v>0</v>
      </c>
      <c r="N1636">
        <v>0</v>
      </c>
      <c r="O1636">
        <v>0</v>
      </c>
    </row>
    <row r="1637" spans="1:15">
      <c r="A1637" t="s">
        <v>1953</v>
      </c>
      <c r="B1637" t="s">
        <v>1871</v>
      </c>
      <c r="C1637" t="s">
        <v>317</v>
      </c>
      <c r="D1637">
        <v>82</v>
      </c>
      <c r="E1637">
        <v>156</v>
      </c>
      <c r="F1637">
        <v>0</v>
      </c>
      <c r="G1637">
        <v>0</v>
      </c>
      <c r="H1637">
        <v>0</v>
      </c>
      <c r="I1637">
        <v>0</v>
      </c>
      <c r="J1637">
        <v>0</v>
      </c>
      <c r="K1637">
        <v>0</v>
      </c>
      <c r="L1637">
        <v>0</v>
      </c>
      <c r="M1637">
        <v>0</v>
      </c>
      <c r="N1637">
        <v>0</v>
      </c>
      <c r="O1637">
        <v>0</v>
      </c>
    </row>
    <row r="1638" spans="1:15">
      <c r="A1638" t="s">
        <v>1954</v>
      </c>
      <c r="B1638" t="s">
        <v>1871</v>
      </c>
      <c r="C1638" t="s">
        <v>317</v>
      </c>
      <c r="D1638">
        <v>83</v>
      </c>
      <c r="E1638">
        <v>156</v>
      </c>
      <c r="F1638">
        <v>0</v>
      </c>
      <c r="G1638">
        <v>0</v>
      </c>
      <c r="H1638">
        <v>0</v>
      </c>
      <c r="I1638">
        <v>0</v>
      </c>
      <c r="J1638">
        <v>0</v>
      </c>
      <c r="K1638">
        <v>0</v>
      </c>
      <c r="L1638">
        <v>0</v>
      </c>
      <c r="M1638">
        <v>0</v>
      </c>
      <c r="N1638">
        <v>0</v>
      </c>
      <c r="O1638">
        <v>0</v>
      </c>
    </row>
    <row r="1639" spans="1:15">
      <c r="A1639" t="s">
        <v>1955</v>
      </c>
      <c r="B1639" t="s">
        <v>1871</v>
      </c>
      <c r="C1639" t="s">
        <v>317</v>
      </c>
      <c r="D1639">
        <v>84</v>
      </c>
      <c r="E1639">
        <v>156</v>
      </c>
      <c r="F1639">
        <v>0</v>
      </c>
      <c r="G1639">
        <v>0</v>
      </c>
      <c r="H1639">
        <v>0</v>
      </c>
      <c r="I1639">
        <v>0</v>
      </c>
      <c r="J1639">
        <v>0</v>
      </c>
      <c r="K1639">
        <v>0</v>
      </c>
      <c r="L1639">
        <v>0</v>
      </c>
      <c r="M1639">
        <v>0</v>
      </c>
      <c r="N1639">
        <v>0</v>
      </c>
      <c r="O1639">
        <v>0</v>
      </c>
    </row>
    <row r="1640" spans="1:15">
      <c r="A1640" t="s">
        <v>1956</v>
      </c>
      <c r="B1640" t="s">
        <v>1871</v>
      </c>
      <c r="C1640" t="s">
        <v>317</v>
      </c>
      <c r="D1640">
        <v>85</v>
      </c>
      <c r="E1640">
        <v>156</v>
      </c>
      <c r="F1640">
        <v>0</v>
      </c>
      <c r="G1640">
        <v>0</v>
      </c>
      <c r="H1640">
        <v>0</v>
      </c>
      <c r="I1640">
        <v>0</v>
      </c>
      <c r="J1640">
        <v>0</v>
      </c>
      <c r="K1640">
        <v>0</v>
      </c>
      <c r="L1640">
        <v>0</v>
      </c>
      <c r="M1640">
        <v>0</v>
      </c>
      <c r="N1640">
        <v>0</v>
      </c>
      <c r="O1640">
        <v>0</v>
      </c>
    </row>
    <row r="1641" spans="1:15">
      <c r="A1641" t="s">
        <v>1957</v>
      </c>
      <c r="B1641" t="s">
        <v>1871</v>
      </c>
      <c r="C1641" t="s">
        <v>404</v>
      </c>
      <c r="D1641">
        <v>0</v>
      </c>
      <c r="E1641">
        <v>156</v>
      </c>
      <c r="F1641">
        <v>0</v>
      </c>
      <c r="G1641">
        <v>0</v>
      </c>
      <c r="H1641">
        <v>0</v>
      </c>
      <c r="I1641">
        <v>0</v>
      </c>
      <c r="J1641">
        <v>0</v>
      </c>
      <c r="K1641">
        <v>0</v>
      </c>
      <c r="L1641">
        <v>0</v>
      </c>
      <c r="M1641">
        <v>0</v>
      </c>
      <c r="N1641">
        <v>0</v>
      </c>
      <c r="O1641">
        <v>0</v>
      </c>
    </row>
    <row r="1642" spans="1:15">
      <c r="A1642" t="s">
        <v>1958</v>
      </c>
      <c r="B1642" t="s">
        <v>1871</v>
      </c>
      <c r="C1642" t="s">
        <v>404</v>
      </c>
      <c r="D1642">
        <v>1</v>
      </c>
      <c r="E1642">
        <v>156</v>
      </c>
      <c r="F1642">
        <v>0</v>
      </c>
      <c r="G1642">
        <v>0</v>
      </c>
      <c r="H1642">
        <v>0</v>
      </c>
      <c r="I1642">
        <v>0</v>
      </c>
      <c r="J1642">
        <v>0</v>
      </c>
      <c r="K1642">
        <v>0</v>
      </c>
      <c r="L1642">
        <v>0</v>
      </c>
      <c r="M1642">
        <v>0</v>
      </c>
      <c r="N1642">
        <v>0</v>
      </c>
      <c r="O1642">
        <v>0</v>
      </c>
    </row>
    <row r="1643" spans="1:15">
      <c r="A1643" t="s">
        <v>1959</v>
      </c>
      <c r="B1643" t="s">
        <v>1871</v>
      </c>
      <c r="C1643" t="s">
        <v>404</v>
      </c>
      <c r="D1643">
        <v>2</v>
      </c>
      <c r="E1643">
        <v>156</v>
      </c>
      <c r="F1643">
        <v>0</v>
      </c>
      <c r="G1643">
        <v>0</v>
      </c>
      <c r="H1643">
        <v>0</v>
      </c>
      <c r="I1643">
        <v>0</v>
      </c>
      <c r="J1643">
        <v>0</v>
      </c>
      <c r="K1643">
        <v>0</v>
      </c>
      <c r="L1643">
        <v>0</v>
      </c>
      <c r="M1643">
        <v>0</v>
      </c>
      <c r="N1643">
        <v>0</v>
      </c>
      <c r="O1643">
        <v>0</v>
      </c>
    </row>
    <row r="1644" spans="1:15">
      <c r="A1644" t="s">
        <v>1960</v>
      </c>
      <c r="B1644" t="s">
        <v>1871</v>
      </c>
      <c r="C1644" t="s">
        <v>404</v>
      </c>
      <c r="D1644">
        <v>3</v>
      </c>
      <c r="E1644">
        <v>156</v>
      </c>
      <c r="F1644">
        <v>0</v>
      </c>
      <c r="G1644">
        <v>0</v>
      </c>
      <c r="H1644">
        <v>0</v>
      </c>
      <c r="I1644">
        <v>0</v>
      </c>
      <c r="J1644">
        <v>0</v>
      </c>
      <c r="K1644">
        <v>0</v>
      </c>
      <c r="L1644">
        <v>0</v>
      </c>
      <c r="M1644">
        <v>0</v>
      </c>
      <c r="N1644">
        <v>0</v>
      </c>
      <c r="O1644">
        <v>0</v>
      </c>
    </row>
    <row r="1645" spans="1:15">
      <c r="A1645" t="s">
        <v>1961</v>
      </c>
      <c r="B1645" t="s">
        <v>1871</v>
      </c>
      <c r="C1645" t="s">
        <v>404</v>
      </c>
      <c r="D1645">
        <v>4</v>
      </c>
      <c r="E1645">
        <v>156</v>
      </c>
      <c r="F1645">
        <v>0</v>
      </c>
      <c r="G1645">
        <v>0</v>
      </c>
      <c r="H1645">
        <v>0</v>
      </c>
      <c r="I1645">
        <v>0</v>
      </c>
      <c r="J1645">
        <v>0</v>
      </c>
      <c r="K1645">
        <v>0</v>
      </c>
      <c r="L1645">
        <v>0</v>
      </c>
      <c r="M1645">
        <v>0</v>
      </c>
      <c r="N1645">
        <v>0</v>
      </c>
      <c r="O1645">
        <v>0</v>
      </c>
    </row>
    <row r="1646" spans="1:15">
      <c r="A1646" t="s">
        <v>1962</v>
      </c>
      <c r="B1646" t="s">
        <v>1871</v>
      </c>
      <c r="C1646" t="s">
        <v>404</v>
      </c>
      <c r="D1646">
        <v>5</v>
      </c>
      <c r="E1646">
        <v>156</v>
      </c>
      <c r="F1646">
        <v>0</v>
      </c>
      <c r="G1646">
        <v>0</v>
      </c>
      <c r="H1646">
        <v>0</v>
      </c>
      <c r="I1646">
        <v>0</v>
      </c>
      <c r="J1646">
        <v>0</v>
      </c>
      <c r="K1646">
        <v>0</v>
      </c>
      <c r="L1646">
        <v>0</v>
      </c>
      <c r="M1646">
        <v>0</v>
      </c>
      <c r="N1646">
        <v>0</v>
      </c>
      <c r="O1646">
        <v>0</v>
      </c>
    </row>
    <row r="1647" spans="1:15">
      <c r="A1647" t="s">
        <v>1963</v>
      </c>
      <c r="B1647" t="s">
        <v>1871</v>
      </c>
      <c r="C1647" t="s">
        <v>404</v>
      </c>
      <c r="D1647">
        <v>6</v>
      </c>
      <c r="E1647">
        <v>156</v>
      </c>
      <c r="F1647">
        <v>0</v>
      </c>
      <c r="G1647">
        <v>0</v>
      </c>
      <c r="H1647">
        <v>0</v>
      </c>
      <c r="I1647">
        <v>0</v>
      </c>
      <c r="J1647">
        <v>0</v>
      </c>
      <c r="K1647">
        <v>0</v>
      </c>
      <c r="L1647">
        <v>0</v>
      </c>
      <c r="M1647">
        <v>0</v>
      </c>
      <c r="N1647">
        <v>0</v>
      </c>
      <c r="O1647">
        <v>0</v>
      </c>
    </row>
    <row r="1648" spans="1:15">
      <c r="A1648" t="s">
        <v>1964</v>
      </c>
      <c r="B1648" t="s">
        <v>1871</v>
      </c>
      <c r="C1648" t="s">
        <v>404</v>
      </c>
      <c r="D1648">
        <v>7</v>
      </c>
      <c r="E1648">
        <v>156</v>
      </c>
      <c r="F1648">
        <v>0</v>
      </c>
      <c r="G1648">
        <v>0</v>
      </c>
      <c r="H1648">
        <v>0</v>
      </c>
      <c r="I1648">
        <v>0</v>
      </c>
      <c r="J1648">
        <v>0</v>
      </c>
      <c r="K1648">
        <v>0</v>
      </c>
      <c r="L1648">
        <v>0</v>
      </c>
      <c r="M1648">
        <v>0</v>
      </c>
      <c r="N1648">
        <v>0</v>
      </c>
      <c r="O1648">
        <v>0</v>
      </c>
    </row>
    <row r="1649" spans="1:15">
      <c r="A1649" t="s">
        <v>1965</v>
      </c>
      <c r="B1649" t="s">
        <v>1871</v>
      </c>
      <c r="C1649" t="s">
        <v>404</v>
      </c>
      <c r="D1649">
        <v>8</v>
      </c>
      <c r="E1649">
        <v>156</v>
      </c>
      <c r="F1649">
        <v>0</v>
      </c>
      <c r="G1649">
        <v>0</v>
      </c>
      <c r="H1649">
        <v>0</v>
      </c>
      <c r="I1649">
        <v>0</v>
      </c>
      <c r="J1649">
        <v>0</v>
      </c>
      <c r="K1649">
        <v>0</v>
      </c>
      <c r="L1649">
        <v>0</v>
      </c>
      <c r="M1649">
        <v>0</v>
      </c>
      <c r="N1649">
        <v>0</v>
      </c>
      <c r="O1649">
        <v>0</v>
      </c>
    </row>
    <row r="1650" spans="1:15">
      <c r="A1650" t="s">
        <v>1966</v>
      </c>
      <c r="B1650" t="s">
        <v>1871</v>
      </c>
      <c r="C1650" t="s">
        <v>404</v>
      </c>
      <c r="D1650">
        <v>9</v>
      </c>
      <c r="E1650">
        <v>156</v>
      </c>
      <c r="F1650">
        <v>0</v>
      </c>
      <c r="G1650">
        <v>0</v>
      </c>
      <c r="H1650">
        <v>0</v>
      </c>
      <c r="I1650">
        <v>0</v>
      </c>
      <c r="J1650">
        <v>0</v>
      </c>
      <c r="K1650">
        <v>0</v>
      </c>
      <c r="L1650">
        <v>0</v>
      </c>
      <c r="M1650">
        <v>0</v>
      </c>
      <c r="N1650">
        <v>0</v>
      </c>
      <c r="O1650">
        <v>0</v>
      </c>
    </row>
    <row r="1651" spans="1:15">
      <c r="A1651" t="s">
        <v>1967</v>
      </c>
      <c r="B1651" t="s">
        <v>1871</v>
      </c>
      <c r="C1651" t="s">
        <v>404</v>
      </c>
      <c r="D1651">
        <v>10</v>
      </c>
      <c r="E1651">
        <v>156</v>
      </c>
      <c r="F1651">
        <v>0</v>
      </c>
      <c r="G1651">
        <v>0</v>
      </c>
      <c r="H1651">
        <v>0</v>
      </c>
      <c r="I1651">
        <v>0</v>
      </c>
      <c r="J1651">
        <v>0</v>
      </c>
      <c r="K1651">
        <v>0</v>
      </c>
      <c r="L1651">
        <v>0</v>
      </c>
      <c r="M1651">
        <v>0</v>
      </c>
      <c r="N1651">
        <v>0</v>
      </c>
      <c r="O1651">
        <v>0</v>
      </c>
    </row>
    <row r="1652" spans="1:15">
      <c r="A1652" t="s">
        <v>1968</v>
      </c>
      <c r="B1652" t="s">
        <v>1871</v>
      </c>
      <c r="C1652" t="s">
        <v>404</v>
      </c>
      <c r="D1652">
        <v>11</v>
      </c>
      <c r="E1652">
        <v>156</v>
      </c>
      <c r="F1652">
        <v>0</v>
      </c>
      <c r="G1652">
        <v>0</v>
      </c>
      <c r="H1652">
        <v>0</v>
      </c>
      <c r="I1652">
        <v>0</v>
      </c>
      <c r="J1652">
        <v>0</v>
      </c>
      <c r="K1652">
        <v>0</v>
      </c>
      <c r="L1652">
        <v>0</v>
      </c>
      <c r="M1652">
        <v>0</v>
      </c>
      <c r="N1652">
        <v>0</v>
      </c>
      <c r="O1652">
        <v>0</v>
      </c>
    </row>
    <row r="1653" spans="1:15">
      <c r="A1653" t="s">
        <v>1969</v>
      </c>
      <c r="B1653" t="s">
        <v>1871</v>
      </c>
      <c r="C1653" t="s">
        <v>404</v>
      </c>
      <c r="D1653">
        <v>12</v>
      </c>
      <c r="E1653">
        <v>156</v>
      </c>
      <c r="F1653">
        <v>0</v>
      </c>
      <c r="G1653">
        <v>0</v>
      </c>
      <c r="H1653">
        <v>0</v>
      </c>
      <c r="I1653">
        <v>0</v>
      </c>
      <c r="J1653">
        <v>0</v>
      </c>
      <c r="K1653">
        <v>0</v>
      </c>
      <c r="L1653">
        <v>0</v>
      </c>
      <c r="M1653">
        <v>0</v>
      </c>
      <c r="N1653">
        <v>0</v>
      </c>
      <c r="O1653">
        <v>0</v>
      </c>
    </row>
    <row r="1654" spans="1:15">
      <c r="A1654" t="s">
        <v>1970</v>
      </c>
      <c r="B1654" t="s">
        <v>1871</v>
      </c>
      <c r="C1654" t="s">
        <v>404</v>
      </c>
      <c r="D1654">
        <v>13</v>
      </c>
      <c r="E1654">
        <v>156</v>
      </c>
      <c r="F1654">
        <v>0</v>
      </c>
      <c r="G1654">
        <v>0</v>
      </c>
      <c r="H1654">
        <v>0</v>
      </c>
      <c r="I1654">
        <v>0</v>
      </c>
      <c r="J1654">
        <v>0</v>
      </c>
      <c r="K1654">
        <v>0</v>
      </c>
      <c r="L1654">
        <v>0</v>
      </c>
      <c r="M1654">
        <v>0</v>
      </c>
      <c r="N1654">
        <v>0</v>
      </c>
      <c r="O1654">
        <v>0</v>
      </c>
    </row>
    <row r="1655" spans="1:15">
      <c r="A1655" t="s">
        <v>1971</v>
      </c>
      <c r="B1655" t="s">
        <v>1871</v>
      </c>
      <c r="C1655" t="s">
        <v>404</v>
      </c>
      <c r="D1655">
        <v>14</v>
      </c>
      <c r="E1655">
        <v>156</v>
      </c>
      <c r="F1655">
        <v>0</v>
      </c>
      <c r="G1655">
        <v>0</v>
      </c>
      <c r="H1655">
        <v>0</v>
      </c>
      <c r="I1655">
        <v>0</v>
      </c>
      <c r="J1655">
        <v>0</v>
      </c>
      <c r="K1655">
        <v>0</v>
      </c>
      <c r="L1655">
        <v>0</v>
      </c>
      <c r="M1655">
        <v>0</v>
      </c>
      <c r="N1655">
        <v>0</v>
      </c>
      <c r="O1655">
        <v>0</v>
      </c>
    </row>
    <row r="1656" spans="1:15">
      <c r="A1656" t="s">
        <v>1972</v>
      </c>
      <c r="B1656" t="s">
        <v>1871</v>
      </c>
      <c r="C1656" t="s">
        <v>404</v>
      </c>
      <c r="D1656">
        <v>15</v>
      </c>
      <c r="E1656">
        <v>156</v>
      </c>
      <c r="F1656">
        <v>0</v>
      </c>
      <c r="G1656">
        <v>0</v>
      </c>
      <c r="H1656">
        <v>0</v>
      </c>
      <c r="I1656">
        <v>0</v>
      </c>
      <c r="J1656">
        <v>0</v>
      </c>
      <c r="K1656">
        <v>0</v>
      </c>
      <c r="L1656">
        <v>0</v>
      </c>
      <c r="M1656">
        <v>0</v>
      </c>
      <c r="N1656">
        <v>0</v>
      </c>
      <c r="O1656">
        <v>0</v>
      </c>
    </row>
    <row r="1657" spans="1:15">
      <c r="A1657" t="s">
        <v>1973</v>
      </c>
      <c r="B1657" t="s">
        <v>1871</v>
      </c>
      <c r="C1657" t="s">
        <v>404</v>
      </c>
      <c r="D1657">
        <v>16</v>
      </c>
      <c r="E1657">
        <v>156</v>
      </c>
      <c r="F1657">
        <v>0</v>
      </c>
      <c r="G1657">
        <v>0</v>
      </c>
      <c r="H1657">
        <v>0</v>
      </c>
      <c r="I1657">
        <v>0</v>
      </c>
      <c r="J1657">
        <v>0</v>
      </c>
      <c r="K1657">
        <v>0</v>
      </c>
      <c r="L1657">
        <v>0</v>
      </c>
      <c r="M1657">
        <v>0</v>
      </c>
      <c r="N1657">
        <v>0</v>
      </c>
      <c r="O1657">
        <v>0</v>
      </c>
    </row>
    <row r="1658" spans="1:15">
      <c r="A1658" t="s">
        <v>1974</v>
      </c>
      <c r="B1658" t="s">
        <v>1871</v>
      </c>
      <c r="C1658" t="s">
        <v>404</v>
      </c>
      <c r="D1658">
        <v>17</v>
      </c>
      <c r="E1658">
        <v>156</v>
      </c>
      <c r="F1658">
        <v>0</v>
      </c>
      <c r="G1658">
        <v>0</v>
      </c>
      <c r="H1658">
        <v>0</v>
      </c>
      <c r="I1658">
        <v>0</v>
      </c>
      <c r="J1658">
        <v>0</v>
      </c>
      <c r="K1658">
        <v>0</v>
      </c>
      <c r="L1658">
        <v>0</v>
      </c>
      <c r="M1658">
        <v>0</v>
      </c>
      <c r="N1658">
        <v>0</v>
      </c>
      <c r="O1658">
        <v>0</v>
      </c>
    </row>
    <row r="1659" spans="1:15">
      <c r="A1659" t="s">
        <v>1975</v>
      </c>
      <c r="B1659" t="s">
        <v>1871</v>
      </c>
      <c r="C1659" t="s">
        <v>404</v>
      </c>
      <c r="D1659">
        <v>18</v>
      </c>
      <c r="E1659">
        <v>156</v>
      </c>
      <c r="F1659">
        <v>0</v>
      </c>
      <c r="G1659">
        <v>0</v>
      </c>
      <c r="H1659">
        <v>0</v>
      </c>
      <c r="I1659">
        <v>0</v>
      </c>
      <c r="J1659">
        <v>0</v>
      </c>
      <c r="K1659">
        <v>0</v>
      </c>
      <c r="L1659">
        <v>0</v>
      </c>
      <c r="M1659">
        <v>0</v>
      </c>
      <c r="N1659">
        <v>0</v>
      </c>
      <c r="O1659">
        <v>0</v>
      </c>
    </row>
    <row r="1660" spans="1:15">
      <c r="A1660" t="s">
        <v>1976</v>
      </c>
      <c r="B1660" t="s">
        <v>1871</v>
      </c>
      <c r="C1660" t="s">
        <v>404</v>
      </c>
      <c r="D1660">
        <v>19</v>
      </c>
      <c r="E1660">
        <v>156</v>
      </c>
      <c r="F1660">
        <v>0</v>
      </c>
      <c r="G1660">
        <v>0</v>
      </c>
      <c r="H1660">
        <v>0</v>
      </c>
      <c r="I1660">
        <v>0</v>
      </c>
      <c r="J1660">
        <v>0</v>
      </c>
      <c r="K1660">
        <v>0</v>
      </c>
      <c r="L1660">
        <v>0</v>
      </c>
      <c r="M1660">
        <v>0</v>
      </c>
      <c r="N1660">
        <v>0</v>
      </c>
      <c r="O1660">
        <v>0</v>
      </c>
    </row>
    <row r="1661" spans="1:15">
      <c r="A1661" t="s">
        <v>1977</v>
      </c>
      <c r="B1661" t="s">
        <v>1871</v>
      </c>
      <c r="C1661" t="s">
        <v>404</v>
      </c>
      <c r="D1661">
        <v>20</v>
      </c>
      <c r="E1661">
        <v>156</v>
      </c>
      <c r="F1661">
        <v>0</v>
      </c>
      <c r="G1661">
        <v>0</v>
      </c>
      <c r="H1661">
        <v>0</v>
      </c>
      <c r="I1661">
        <v>0</v>
      </c>
      <c r="J1661">
        <v>0</v>
      </c>
      <c r="K1661">
        <v>0</v>
      </c>
      <c r="L1661">
        <v>0</v>
      </c>
      <c r="M1661">
        <v>0</v>
      </c>
      <c r="N1661">
        <v>0</v>
      </c>
      <c r="O1661">
        <v>0</v>
      </c>
    </row>
    <row r="1662" spans="1:15">
      <c r="A1662" t="s">
        <v>1978</v>
      </c>
      <c r="B1662" t="s">
        <v>1871</v>
      </c>
      <c r="C1662" t="s">
        <v>404</v>
      </c>
      <c r="D1662">
        <v>21</v>
      </c>
      <c r="E1662">
        <v>156</v>
      </c>
      <c r="F1662">
        <v>0</v>
      </c>
      <c r="G1662">
        <v>0</v>
      </c>
      <c r="H1662">
        <v>0</v>
      </c>
      <c r="I1662">
        <v>0</v>
      </c>
      <c r="J1662">
        <v>0</v>
      </c>
      <c r="K1662">
        <v>0</v>
      </c>
      <c r="L1662">
        <v>0</v>
      </c>
      <c r="M1662">
        <v>0</v>
      </c>
      <c r="N1662">
        <v>0</v>
      </c>
      <c r="O1662">
        <v>0</v>
      </c>
    </row>
    <row r="1663" spans="1:15">
      <c r="A1663" t="s">
        <v>1979</v>
      </c>
      <c r="B1663" t="s">
        <v>1871</v>
      </c>
      <c r="C1663" t="s">
        <v>404</v>
      </c>
      <c r="D1663">
        <v>22</v>
      </c>
      <c r="E1663">
        <v>156</v>
      </c>
      <c r="F1663">
        <v>0</v>
      </c>
      <c r="G1663">
        <v>0</v>
      </c>
      <c r="H1663">
        <v>0</v>
      </c>
      <c r="I1663">
        <v>0</v>
      </c>
      <c r="J1663">
        <v>0</v>
      </c>
      <c r="K1663">
        <v>0</v>
      </c>
      <c r="L1663">
        <v>0</v>
      </c>
      <c r="M1663">
        <v>0</v>
      </c>
      <c r="N1663">
        <v>0</v>
      </c>
      <c r="O1663">
        <v>0</v>
      </c>
    </row>
    <row r="1664" spans="1:15">
      <c r="A1664" t="s">
        <v>1980</v>
      </c>
      <c r="B1664" t="s">
        <v>1871</v>
      </c>
      <c r="C1664" t="s">
        <v>404</v>
      </c>
      <c r="D1664">
        <v>23</v>
      </c>
      <c r="E1664">
        <v>156</v>
      </c>
      <c r="F1664">
        <v>0</v>
      </c>
      <c r="G1664">
        <v>0</v>
      </c>
      <c r="H1664">
        <v>0</v>
      </c>
      <c r="I1664">
        <v>0</v>
      </c>
      <c r="J1664">
        <v>0</v>
      </c>
      <c r="K1664">
        <v>0</v>
      </c>
      <c r="L1664">
        <v>0</v>
      </c>
      <c r="M1664">
        <v>0</v>
      </c>
      <c r="N1664">
        <v>0</v>
      </c>
      <c r="O1664">
        <v>0</v>
      </c>
    </row>
    <row r="1665" spans="1:15">
      <c r="A1665" t="s">
        <v>1981</v>
      </c>
      <c r="B1665" t="s">
        <v>1871</v>
      </c>
      <c r="C1665" t="s">
        <v>404</v>
      </c>
      <c r="D1665">
        <v>24</v>
      </c>
      <c r="E1665">
        <v>156</v>
      </c>
      <c r="F1665">
        <v>0</v>
      </c>
      <c r="G1665">
        <v>0</v>
      </c>
      <c r="H1665">
        <v>0</v>
      </c>
      <c r="I1665">
        <v>0</v>
      </c>
      <c r="J1665">
        <v>0</v>
      </c>
      <c r="K1665">
        <v>0</v>
      </c>
      <c r="L1665">
        <v>0</v>
      </c>
      <c r="M1665">
        <v>0</v>
      </c>
      <c r="N1665">
        <v>0</v>
      </c>
      <c r="O1665">
        <v>0</v>
      </c>
    </row>
    <row r="1666" spans="1:15">
      <c r="A1666" t="s">
        <v>1982</v>
      </c>
      <c r="B1666" t="s">
        <v>1871</v>
      </c>
      <c r="C1666" t="s">
        <v>404</v>
      </c>
      <c r="D1666">
        <v>25</v>
      </c>
      <c r="E1666">
        <v>156</v>
      </c>
      <c r="F1666">
        <v>0</v>
      </c>
      <c r="G1666">
        <v>0</v>
      </c>
      <c r="H1666">
        <v>0</v>
      </c>
      <c r="I1666">
        <v>0</v>
      </c>
      <c r="J1666">
        <v>0</v>
      </c>
      <c r="K1666">
        <v>0</v>
      </c>
      <c r="L1666">
        <v>0</v>
      </c>
      <c r="M1666">
        <v>0</v>
      </c>
      <c r="N1666">
        <v>0</v>
      </c>
      <c r="O1666">
        <v>0</v>
      </c>
    </row>
    <row r="1667" spans="1:15">
      <c r="A1667" t="s">
        <v>1983</v>
      </c>
      <c r="B1667" t="s">
        <v>1871</v>
      </c>
      <c r="C1667" t="s">
        <v>404</v>
      </c>
      <c r="D1667">
        <v>26</v>
      </c>
      <c r="E1667">
        <v>156</v>
      </c>
      <c r="F1667">
        <v>0</v>
      </c>
      <c r="G1667">
        <v>0</v>
      </c>
      <c r="H1667">
        <v>0</v>
      </c>
      <c r="I1667">
        <v>0</v>
      </c>
      <c r="J1667">
        <v>0</v>
      </c>
      <c r="K1667">
        <v>0</v>
      </c>
      <c r="L1667">
        <v>0</v>
      </c>
      <c r="M1667">
        <v>0</v>
      </c>
      <c r="N1667">
        <v>0</v>
      </c>
      <c r="O1667">
        <v>0</v>
      </c>
    </row>
    <row r="1668" spans="1:15">
      <c r="A1668" t="s">
        <v>1984</v>
      </c>
      <c r="B1668" t="s">
        <v>1871</v>
      </c>
      <c r="C1668" t="s">
        <v>404</v>
      </c>
      <c r="D1668">
        <v>27</v>
      </c>
      <c r="E1668">
        <v>156</v>
      </c>
      <c r="F1668">
        <v>0</v>
      </c>
      <c r="G1668">
        <v>0</v>
      </c>
      <c r="H1668">
        <v>0</v>
      </c>
      <c r="I1668">
        <v>0</v>
      </c>
      <c r="J1668">
        <v>0</v>
      </c>
      <c r="K1668">
        <v>0</v>
      </c>
      <c r="L1668">
        <v>0</v>
      </c>
      <c r="M1668">
        <v>0</v>
      </c>
      <c r="N1668">
        <v>0</v>
      </c>
      <c r="O1668">
        <v>0</v>
      </c>
    </row>
    <row r="1669" spans="1:15">
      <c r="A1669" t="s">
        <v>1985</v>
      </c>
      <c r="B1669" t="s">
        <v>1871</v>
      </c>
      <c r="C1669" t="s">
        <v>404</v>
      </c>
      <c r="D1669">
        <v>28</v>
      </c>
      <c r="E1669">
        <v>156</v>
      </c>
      <c r="F1669">
        <v>0</v>
      </c>
      <c r="G1669">
        <v>0</v>
      </c>
      <c r="H1669">
        <v>0</v>
      </c>
      <c r="I1669">
        <v>0</v>
      </c>
      <c r="J1669">
        <v>0</v>
      </c>
      <c r="K1669">
        <v>0</v>
      </c>
      <c r="L1669">
        <v>0</v>
      </c>
      <c r="M1669">
        <v>0</v>
      </c>
      <c r="N1669">
        <v>0</v>
      </c>
      <c r="O1669">
        <v>0</v>
      </c>
    </row>
    <row r="1670" spans="1:15">
      <c r="A1670" t="s">
        <v>1986</v>
      </c>
      <c r="B1670" t="s">
        <v>1871</v>
      </c>
      <c r="C1670" t="s">
        <v>404</v>
      </c>
      <c r="D1670">
        <v>29</v>
      </c>
      <c r="E1670">
        <v>156</v>
      </c>
      <c r="F1670">
        <v>0</v>
      </c>
      <c r="G1670">
        <v>0</v>
      </c>
      <c r="H1670">
        <v>0</v>
      </c>
      <c r="I1670">
        <v>0</v>
      </c>
      <c r="J1670">
        <v>0</v>
      </c>
      <c r="K1670">
        <v>0</v>
      </c>
      <c r="L1670">
        <v>0</v>
      </c>
      <c r="M1670">
        <v>0</v>
      </c>
      <c r="N1670">
        <v>0</v>
      </c>
      <c r="O1670">
        <v>0</v>
      </c>
    </row>
    <row r="1671" spans="1:15">
      <c r="A1671" t="s">
        <v>1987</v>
      </c>
      <c r="B1671" t="s">
        <v>1871</v>
      </c>
      <c r="C1671" t="s">
        <v>404</v>
      </c>
      <c r="D1671">
        <v>30</v>
      </c>
      <c r="E1671">
        <v>156</v>
      </c>
      <c r="F1671">
        <v>0</v>
      </c>
      <c r="G1671">
        <v>0</v>
      </c>
      <c r="H1671">
        <v>0</v>
      </c>
      <c r="I1671">
        <v>0</v>
      </c>
      <c r="J1671">
        <v>0</v>
      </c>
      <c r="K1671">
        <v>0</v>
      </c>
      <c r="L1671">
        <v>0</v>
      </c>
      <c r="M1671">
        <v>0</v>
      </c>
      <c r="N1671">
        <v>0</v>
      </c>
      <c r="O1671">
        <v>0</v>
      </c>
    </row>
    <row r="1672" spans="1:15">
      <c r="A1672" t="s">
        <v>1988</v>
      </c>
      <c r="B1672" t="s">
        <v>1871</v>
      </c>
      <c r="C1672" t="s">
        <v>404</v>
      </c>
      <c r="D1672">
        <v>31</v>
      </c>
      <c r="E1672">
        <v>156</v>
      </c>
      <c r="F1672">
        <v>0</v>
      </c>
      <c r="G1672">
        <v>0</v>
      </c>
      <c r="H1672">
        <v>0</v>
      </c>
      <c r="I1672">
        <v>0</v>
      </c>
      <c r="J1672">
        <v>0</v>
      </c>
      <c r="K1672">
        <v>0</v>
      </c>
      <c r="L1672">
        <v>0</v>
      </c>
      <c r="M1672">
        <v>0</v>
      </c>
      <c r="N1672">
        <v>0</v>
      </c>
      <c r="O1672">
        <v>0</v>
      </c>
    </row>
    <row r="1673" spans="1:15">
      <c r="A1673" t="s">
        <v>1989</v>
      </c>
      <c r="B1673" t="s">
        <v>1871</v>
      </c>
      <c r="C1673" t="s">
        <v>404</v>
      </c>
      <c r="D1673">
        <v>32</v>
      </c>
      <c r="E1673">
        <v>156</v>
      </c>
      <c r="F1673">
        <v>0</v>
      </c>
      <c r="G1673">
        <v>0</v>
      </c>
      <c r="H1673">
        <v>0</v>
      </c>
      <c r="I1673">
        <v>0</v>
      </c>
      <c r="J1673">
        <v>0</v>
      </c>
      <c r="K1673">
        <v>0</v>
      </c>
      <c r="L1673">
        <v>0</v>
      </c>
      <c r="M1673">
        <v>0</v>
      </c>
      <c r="N1673">
        <v>0</v>
      </c>
      <c r="O1673">
        <v>0</v>
      </c>
    </row>
    <row r="1674" spans="1:15">
      <c r="A1674" t="s">
        <v>1990</v>
      </c>
      <c r="B1674" t="s">
        <v>1871</v>
      </c>
      <c r="C1674" t="s">
        <v>404</v>
      </c>
      <c r="D1674">
        <v>33</v>
      </c>
      <c r="E1674">
        <v>156</v>
      </c>
      <c r="F1674">
        <v>0</v>
      </c>
      <c r="G1674">
        <v>0</v>
      </c>
      <c r="H1674">
        <v>0</v>
      </c>
      <c r="I1674">
        <v>0</v>
      </c>
      <c r="J1674">
        <v>0</v>
      </c>
      <c r="K1674">
        <v>0</v>
      </c>
      <c r="L1674">
        <v>0</v>
      </c>
      <c r="M1674">
        <v>0</v>
      </c>
      <c r="N1674">
        <v>0</v>
      </c>
      <c r="O1674">
        <v>0</v>
      </c>
    </row>
    <row r="1675" spans="1:15">
      <c r="A1675" t="s">
        <v>1991</v>
      </c>
      <c r="B1675" t="s">
        <v>1871</v>
      </c>
      <c r="C1675" t="s">
        <v>404</v>
      </c>
      <c r="D1675">
        <v>34</v>
      </c>
      <c r="E1675">
        <v>156</v>
      </c>
      <c r="F1675">
        <v>0</v>
      </c>
      <c r="G1675">
        <v>0</v>
      </c>
      <c r="H1675">
        <v>0</v>
      </c>
      <c r="I1675">
        <v>0</v>
      </c>
      <c r="J1675">
        <v>0</v>
      </c>
      <c r="K1675">
        <v>0</v>
      </c>
      <c r="L1675">
        <v>0</v>
      </c>
      <c r="M1675">
        <v>0</v>
      </c>
      <c r="N1675">
        <v>0</v>
      </c>
      <c r="O1675">
        <v>0</v>
      </c>
    </row>
    <row r="1676" spans="1:15">
      <c r="A1676" t="s">
        <v>1992</v>
      </c>
      <c r="B1676" t="s">
        <v>1871</v>
      </c>
      <c r="C1676" t="s">
        <v>404</v>
      </c>
      <c r="D1676">
        <v>35</v>
      </c>
      <c r="E1676">
        <v>156</v>
      </c>
      <c r="F1676">
        <v>0</v>
      </c>
      <c r="G1676">
        <v>0</v>
      </c>
      <c r="H1676">
        <v>0</v>
      </c>
      <c r="I1676">
        <v>0</v>
      </c>
      <c r="J1676">
        <v>0</v>
      </c>
      <c r="K1676">
        <v>0</v>
      </c>
      <c r="L1676">
        <v>0</v>
      </c>
      <c r="M1676">
        <v>0</v>
      </c>
      <c r="N1676">
        <v>0</v>
      </c>
      <c r="O1676">
        <v>0</v>
      </c>
    </row>
    <row r="1677" spans="1:15">
      <c r="A1677" t="s">
        <v>1993</v>
      </c>
      <c r="B1677" t="s">
        <v>1871</v>
      </c>
      <c r="C1677" t="s">
        <v>404</v>
      </c>
      <c r="D1677">
        <v>36</v>
      </c>
      <c r="E1677">
        <v>156</v>
      </c>
      <c r="F1677">
        <v>0</v>
      </c>
      <c r="G1677">
        <v>0</v>
      </c>
      <c r="H1677">
        <v>0</v>
      </c>
      <c r="I1677">
        <v>0</v>
      </c>
      <c r="J1677">
        <v>0</v>
      </c>
      <c r="K1677">
        <v>0</v>
      </c>
      <c r="L1677">
        <v>0</v>
      </c>
      <c r="M1677">
        <v>0</v>
      </c>
      <c r="N1677">
        <v>0</v>
      </c>
      <c r="O1677">
        <v>0</v>
      </c>
    </row>
    <row r="1678" spans="1:15">
      <c r="A1678" t="s">
        <v>1994</v>
      </c>
      <c r="B1678" t="s">
        <v>1871</v>
      </c>
      <c r="C1678" t="s">
        <v>404</v>
      </c>
      <c r="D1678">
        <v>37</v>
      </c>
      <c r="E1678">
        <v>156</v>
      </c>
      <c r="F1678">
        <v>0</v>
      </c>
      <c r="G1678">
        <v>0</v>
      </c>
      <c r="H1678">
        <v>0</v>
      </c>
      <c r="I1678">
        <v>0</v>
      </c>
      <c r="J1678">
        <v>0</v>
      </c>
      <c r="K1678">
        <v>0</v>
      </c>
      <c r="L1678">
        <v>0</v>
      </c>
      <c r="M1678">
        <v>0</v>
      </c>
      <c r="N1678">
        <v>0</v>
      </c>
      <c r="O1678">
        <v>0</v>
      </c>
    </row>
    <row r="1679" spans="1:15">
      <c r="A1679" t="s">
        <v>1995</v>
      </c>
      <c r="B1679" t="s">
        <v>1871</v>
      </c>
      <c r="C1679" t="s">
        <v>404</v>
      </c>
      <c r="D1679">
        <v>38</v>
      </c>
      <c r="E1679">
        <v>156</v>
      </c>
      <c r="F1679">
        <v>0</v>
      </c>
      <c r="G1679">
        <v>0</v>
      </c>
      <c r="H1679">
        <v>0</v>
      </c>
      <c r="I1679">
        <v>0</v>
      </c>
      <c r="J1679">
        <v>0</v>
      </c>
      <c r="K1679">
        <v>0</v>
      </c>
      <c r="L1679">
        <v>0</v>
      </c>
      <c r="M1679">
        <v>0</v>
      </c>
      <c r="N1679">
        <v>0</v>
      </c>
      <c r="O1679">
        <v>0</v>
      </c>
    </row>
    <row r="1680" spans="1:15">
      <c r="A1680" t="s">
        <v>1996</v>
      </c>
      <c r="B1680" t="s">
        <v>1871</v>
      </c>
      <c r="C1680" t="s">
        <v>404</v>
      </c>
      <c r="D1680">
        <v>39</v>
      </c>
      <c r="E1680">
        <v>156</v>
      </c>
      <c r="F1680">
        <v>0</v>
      </c>
      <c r="G1680">
        <v>0</v>
      </c>
      <c r="H1680">
        <v>0</v>
      </c>
      <c r="I1680">
        <v>0</v>
      </c>
      <c r="J1680">
        <v>0</v>
      </c>
      <c r="K1680">
        <v>0</v>
      </c>
      <c r="L1680">
        <v>0</v>
      </c>
      <c r="M1680">
        <v>0</v>
      </c>
      <c r="N1680">
        <v>0</v>
      </c>
      <c r="O1680">
        <v>0</v>
      </c>
    </row>
    <row r="1681" spans="1:15">
      <c r="A1681" t="s">
        <v>1997</v>
      </c>
      <c r="B1681" t="s">
        <v>1871</v>
      </c>
      <c r="C1681" t="s">
        <v>404</v>
      </c>
      <c r="D1681">
        <v>40</v>
      </c>
      <c r="E1681">
        <v>156</v>
      </c>
      <c r="F1681">
        <v>0</v>
      </c>
      <c r="G1681">
        <v>0</v>
      </c>
      <c r="H1681">
        <v>0</v>
      </c>
      <c r="I1681">
        <v>0</v>
      </c>
      <c r="J1681">
        <v>0</v>
      </c>
      <c r="K1681">
        <v>0</v>
      </c>
      <c r="L1681">
        <v>0</v>
      </c>
      <c r="M1681">
        <v>0</v>
      </c>
      <c r="N1681">
        <v>0</v>
      </c>
      <c r="O1681">
        <v>0</v>
      </c>
    </row>
    <row r="1682" spans="1:15">
      <c r="A1682" t="s">
        <v>1998</v>
      </c>
      <c r="B1682" t="s">
        <v>1871</v>
      </c>
      <c r="C1682" t="s">
        <v>404</v>
      </c>
      <c r="D1682">
        <v>41</v>
      </c>
      <c r="E1682">
        <v>156</v>
      </c>
      <c r="F1682">
        <v>0</v>
      </c>
      <c r="G1682">
        <v>0</v>
      </c>
      <c r="H1682">
        <v>0</v>
      </c>
      <c r="I1682">
        <v>0</v>
      </c>
      <c r="J1682">
        <v>0</v>
      </c>
      <c r="K1682">
        <v>0</v>
      </c>
      <c r="L1682">
        <v>0</v>
      </c>
      <c r="M1682">
        <v>0</v>
      </c>
      <c r="N1682">
        <v>0</v>
      </c>
      <c r="O1682">
        <v>0</v>
      </c>
    </row>
    <row r="1683" spans="1:15">
      <c r="A1683" t="s">
        <v>1999</v>
      </c>
      <c r="B1683" t="s">
        <v>1871</v>
      </c>
      <c r="C1683" t="s">
        <v>404</v>
      </c>
      <c r="D1683">
        <v>42</v>
      </c>
      <c r="E1683">
        <v>156</v>
      </c>
      <c r="F1683">
        <v>0</v>
      </c>
      <c r="G1683">
        <v>0</v>
      </c>
      <c r="H1683">
        <v>0</v>
      </c>
      <c r="I1683">
        <v>0</v>
      </c>
      <c r="J1683">
        <v>0</v>
      </c>
      <c r="K1683">
        <v>0</v>
      </c>
      <c r="L1683">
        <v>0</v>
      </c>
      <c r="M1683">
        <v>0</v>
      </c>
      <c r="N1683">
        <v>0</v>
      </c>
      <c r="O1683">
        <v>0</v>
      </c>
    </row>
    <row r="1684" spans="1:15">
      <c r="A1684" t="s">
        <v>2000</v>
      </c>
      <c r="B1684" t="s">
        <v>1871</v>
      </c>
      <c r="C1684" t="s">
        <v>404</v>
      </c>
      <c r="D1684">
        <v>43</v>
      </c>
      <c r="E1684">
        <v>156</v>
      </c>
      <c r="F1684">
        <v>0</v>
      </c>
      <c r="G1684">
        <v>0</v>
      </c>
      <c r="H1684">
        <v>0</v>
      </c>
      <c r="I1684">
        <v>0</v>
      </c>
      <c r="J1684">
        <v>0</v>
      </c>
      <c r="K1684">
        <v>0</v>
      </c>
      <c r="L1684">
        <v>0</v>
      </c>
      <c r="M1684">
        <v>0</v>
      </c>
      <c r="N1684">
        <v>0</v>
      </c>
      <c r="O1684">
        <v>0</v>
      </c>
    </row>
    <row r="1685" spans="1:15">
      <c r="A1685" t="s">
        <v>2001</v>
      </c>
      <c r="B1685" t="s">
        <v>1871</v>
      </c>
      <c r="C1685" t="s">
        <v>404</v>
      </c>
      <c r="D1685">
        <v>44</v>
      </c>
      <c r="E1685">
        <v>156</v>
      </c>
      <c r="F1685">
        <v>0</v>
      </c>
      <c r="G1685">
        <v>0</v>
      </c>
      <c r="H1685">
        <v>0</v>
      </c>
      <c r="I1685">
        <v>0</v>
      </c>
      <c r="J1685">
        <v>0</v>
      </c>
      <c r="K1685">
        <v>0</v>
      </c>
      <c r="L1685">
        <v>0</v>
      </c>
      <c r="M1685">
        <v>0</v>
      </c>
      <c r="N1685">
        <v>0</v>
      </c>
      <c r="O1685">
        <v>0</v>
      </c>
    </row>
    <row r="1686" spans="1:15">
      <c r="A1686" t="s">
        <v>2002</v>
      </c>
      <c r="B1686" t="s">
        <v>1871</v>
      </c>
      <c r="C1686" t="s">
        <v>404</v>
      </c>
      <c r="D1686">
        <v>45</v>
      </c>
      <c r="E1686">
        <v>156</v>
      </c>
      <c r="F1686">
        <v>0</v>
      </c>
      <c r="G1686">
        <v>0</v>
      </c>
      <c r="H1686">
        <v>0</v>
      </c>
      <c r="I1686">
        <v>0</v>
      </c>
      <c r="J1686">
        <v>0</v>
      </c>
      <c r="K1686">
        <v>0</v>
      </c>
      <c r="L1686">
        <v>0</v>
      </c>
      <c r="M1686">
        <v>0</v>
      </c>
      <c r="N1686">
        <v>0</v>
      </c>
      <c r="O1686">
        <v>0</v>
      </c>
    </row>
    <row r="1687" spans="1:15">
      <c r="A1687" t="s">
        <v>2003</v>
      </c>
      <c r="B1687" t="s">
        <v>1871</v>
      </c>
      <c r="C1687" t="s">
        <v>404</v>
      </c>
      <c r="D1687">
        <v>46</v>
      </c>
      <c r="E1687">
        <v>156</v>
      </c>
      <c r="F1687">
        <v>0</v>
      </c>
      <c r="G1687">
        <v>0</v>
      </c>
      <c r="H1687">
        <v>0</v>
      </c>
      <c r="I1687">
        <v>0</v>
      </c>
      <c r="J1687">
        <v>0</v>
      </c>
      <c r="K1687">
        <v>0</v>
      </c>
      <c r="L1687">
        <v>0</v>
      </c>
      <c r="M1687">
        <v>0</v>
      </c>
      <c r="N1687">
        <v>0</v>
      </c>
      <c r="O1687">
        <v>0</v>
      </c>
    </row>
    <row r="1688" spans="1:15">
      <c r="A1688" t="s">
        <v>2004</v>
      </c>
      <c r="B1688" t="s">
        <v>1871</v>
      </c>
      <c r="C1688" t="s">
        <v>404</v>
      </c>
      <c r="D1688">
        <v>47</v>
      </c>
      <c r="E1688">
        <v>156</v>
      </c>
      <c r="F1688">
        <v>0</v>
      </c>
      <c r="G1688">
        <v>0</v>
      </c>
      <c r="H1688">
        <v>0</v>
      </c>
      <c r="I1688">
        <v>0</v>
      </c>
      <c r="J1688">
        <v>0</v>
      </c>
      <c r="K1688">
        <v>0</v>
      </c>
      <c r="L1688">
        <v>0</v>
      </c>
      <c r="M1688">
        <v>0</v>
      </c>
      <c r="N1688">
        <v>0</v>
      </c>
      <c r="O1688">
        <v>0</v>
      </c>
    </row>
    <row r="1689" spans="1:15">
      <c r="A1689" t="s">
        <v>2005</v>
      </c>
      <c r="B1689" t="s">
        <v>1871</v>
      </c>
      <c r="C1689" t="s">
        <v>404</v>
      </c>
      <c r="D1689">
        <v>48</v>
      </c>
      <c r="E1689">
        <v>156</v>
      </c>
      <c r="F1689">
        <v>0</v>
      </c>
      <c r="G1689">
        <v>0</v>
      </c>
      <c r="H1689">
        <v>0</v>
      </c>
      <c r="I1689">
        <v>0</v>
      </c>
      <c r="J1689">
        <v>0</v>
      </c>
      <c r="K1689">
        <v>0</v>
      </c>
      <c r="L1689">
        <v>0</v>
      </c>
      <c r="M1689">
        <v>0</v>
      </c>
      <c r="N1689">
        <v>0</v>
      </c>
      <c r="O1689">
        <v>0</v>
      </c>
    </row>
    <row r="1690" spans="1:15">
      <c r="A1690" t="s">
        <v>2006</v>
      </c>
      <c r="B1690" t="s">
        <v>1871</v>
      </c>
      <c r="C1690" t="s">
        <v>404</v>
      </c>
      <c r="D1690">
        <v>49</v>
      </c>
      <c r="E1690">
        <v>156</v>
      </c>
      <c r="F1690">
        <v>0</v>
      </c>
      <c r="G1690">
        <v>0</v>
      </c>
      <c r="H1690">
        <v>0</v>
      </c>
      <c r="I1690">
        <v>0</v>
      </c>
      <c r="J1690">
        <v>0</v>
      </c>
      <c r="K1690">
        <v>0</v>
      </c>
      <c r="L1690">
        <v>0</v>
      </c>
      <c r="M1690">
        <v>0</v>
      </c>
      <c r="N1690">
        <v>0</v>
      </c>
      <c r="O1690">
        <v>0</v>
      </c>
    </row>
    <row r="1691" spans="1:15">
      <c r="A1691" t="s">
        <v>2007</v>
      </c>
      <c r="B1691" t="s">
        <v>1871</v>
      </c>
      <c r="C1691" t="s">
        <v>404</v>
      </c>
      <c r="D1691">
        <v>50</v>
      </c>
      <c r="E1691">
        <v>156</v>
      </c>
      <c r="F1691">
        <v>0</v>
      </c>
      <c r="G1691">
        <v>0</v>
      </c>
      <c r="H1691">
        <v>0</v>
      </c>
      <c r="I1691">
        <v>0</v>
      </c>
      <c r="J1691">
        <v>0</v>
      </c>
      <c r="K1691">
        <v>0</v>
      </c>
      <c r="L1691">
        <v>0</v>
      </c>
      <c r="M1691">
        <v>0</v>
      </c>
      <c r="N1691">
        <v>0</v>
      </c>
      <c r="O1691">
        <v>0</v>
      </c>
    </row>
    <row r="1692" spans="1:15">
      <c r="A1692" t="s">
        <v>2008</v>
      </c>
      <c r="B1692" t="s">
        <v>1871</v>
      </c>
      <c r="C1692" t="s">
        <v>404</v>
      </c>
      <c r="D1692">
        <v>51</v>
      </c>
      <c r="E1692">
        <v>156</v>
      </c>
      <c r="F1692">
        <v>0</v>
      </c>
      <c r="G1692">
        <v>0</v>
      </c>
      <c r="H1692">
        <v>0</v>
      </c>
      <c r="I1692">
        <v>0</v>
      </c>
      <c r="J1692">
        <v>0</v>
      </c>
      <c r="K1692">
        <v>0</v>
      </c>
      <c r="L1692">
        <v>0</v>
      </c>
      <c r="M1692">
        <v>0</v>
      </c>
      <c r="N1692">
        <v>0</v>
      </c>
      <c r="O1692">
        <v>0</v>
      </c>
    </row>
    <row r="1693" spans="1:15">
      <c r="A1693" t="s">
        <v>2009</v>
      </c>
      <c r="B1693" t="s">
        <v>1871</v>
      </c>
      <c r="C1693" t="s">
        <v>404</v>
      </c>
      <c r="D1693">
        <v>52</v>
      </c>
      <c r="E1693">
        <v>156</v>
      </c>
      <c r="F1693">
        <v>0</v>
      </c>
      <c r="G1693">
        <v>0</v>
      </c>
      <c r="H1693">
        <v>0</v>
      </c>
      <c r="I1693">
        <v>0</v>
      </c>
      <c r="J1693">
        <v>0</v>
      </c>
      <c r="K1693">
        <v>0</v>
      </c>
      <c r="L1693">
        <v>0</v>
      </c>
      <c r="M1693">
        <v>0</v>
      </c>
      <c r="N1693">
        <v>0</v>
      </c>
      <c r="O1693">
        <v>0</v>
      </c>
    </row>
    <row r="1694" spans="1:15">
      <c r="A1694" t="s">
        <v>2010</v>
      </c>
      <c r="B1694" t="s">
        <v>1871</v>
      </c>
      <c r="C1694" t="s">
        <v>404</v>
      </c>
      <c r="D1694">
        <v>53</v>
      </c>
      <c r="E1694">
        <v>156</v>
      </c>
      <c r="F1694">
        <v>0</v>
      </c>
      <c r="G1694">
        <v>0</v>
      </c>
      <c r="H1694">
        <v>0</v>
      </c>
      <c r="I1694">
        <v>0</v>
      </c>
      <c r="J1694">
        <v>0</v>
      </c>
      <c r="K1694">
        <v>0</v>
      </c>
      <c r="L1694">
        <v>0</v>
      </c>
      <c r="M1694">
        <v>0</v>
      </c>
      <c r="N1694">
        <v>0</v>
      </c>
      <c r="O1694">
        <v>0</v>
      </c>
    </row>
    <row r="1695" spans="1:15">
      <c r="A1695" t="s">
        <v>2011</v>
      </c>
      <c r="B1695" t="s">
        <v>1871</v>
      </c>
      <c r="C1695" t="s">
        <v>404</v>
      </c>
      <c r="D1695">
        <v>54</v>
      </c>
      <c r="E1695">
        <v>156</v>
      </c>
      <c r="F1695">
        <v>0</v>
      </c>
      <c r="G1695">
        <v>0</v>
      </c>
      <c r="H1695">
        <v>0</v>
      </c>
      <c r="I1695">
        <v>0</v>
      </c>
      <c r="J1695">
        <v>0</v>
      </c>
      <c r="K1695">
        <v>0</v>
      </c>
      <c r="L1695">
        <v>0</v>
      </c>
      <c r="M1695">
        <v>0</v>
      </c>
      <c r="N1695">
        <v>0</v>
      </c>
      <c r="O1695">
        <v>0</v>
      </c>
    </row>
    <row r="1696" spans="1:15">
      <c r="A1696" t="s">
        <v>2012</v>
      </c>
      <c r="B1696" t="s">
        <v>1871</v>
      </c>
      <c r="C1696" t="s">
        <v>404</v>
      </c>
      <c r="D1696">
        <v>55</v>
      </c>
      <c r="E1696">
        <v>156</v>
      </c>
      <c r="F1696">
        <v>0</v>
      </c>
      <c r="G1696">
        <v>0</v>
      </c>
      <c r="H1696">
        <v>0</v>
      </c>
      <c r="I1696">
        <v>0</v>
      </c>
      <c r="J1696">
        <v>0</v>
      </c>
      <c r="K1696">
        <v>0</v>
      </c>
      <c r="L1696">
        <v>0</v>
      </c>
      <c r="M1696">
        <v>0</v>
      </c>
      <c r="N1696">
        <v>0</v>
      </c>
      <c r="O1696">
        <v>0</v>
      </c>
    </row>
    <row r="1697" spans="1:15">
      <c r="A1697" t="s">
        <v>2013</v>
      </c>
      <c r="B1697" t="s">
        <v>1871</v>
      </c>
      <c r="C1697" t="s">
        <v>404</v>
      </c>
      <c r="D1697">
        <v>56</v>
      </c>
      <c r="E1697">
        <v>156</v>
      </c>
      <c r="F1697">
        <v>0</v>
      </c>
      <c r="G1697">
        <v>0</v>
      </c>
      <c r="H1697">
        <v>0</v>
      </c>
      <c r="I1697">
        <v>0</v>
      </c>
      <c r="J1697">
        <v>0</v>
      </c>
      <c r="K1697">
        <v>0</v>
      </c>
      <c r="L1697">
        <v>0</v>
      </c>
      <c r="M1697">
        <v>0</v>
      </c>
      <c r="N1697">
        <v>0</v>
      </c>
      <c r="O1697">
        <v>0</v>
      </c>
    </row>
    <row r="1698" spans="1:15">
      <c r="A1698" t="s">
        <v>2014</v>
      </c>
      <c r="B1698" t="s">
        <v>1871</v>
      </c>
      <c r="C1698" t="s">
        <v>404</v>
      </c>
      <c r="D1698">
        <v>57</v>
      </c>
      <c r="E1698">
        <v>156</v>
      </c>
      <c r="F1698">
        <v>0</v>
      </c>
      <c r="G1698">
        <v>0</v>
      </c>
      <c r="H1698">
        <v>0</v>
      </c>
      <c r="I1698">
        <v>0</v>
      </c>
      <c r="J1698">
        <v>0</v>
      </c>
      <c r="K1698">
        <v>0</v>
      </c>
      <c r="L1698">
        <v>0</v>
      </c>
      <c r="M1698">
        <v>0</v>
      </c>
      <c r="N1698">
        <v>0</v>
      </c>
      <c r="O1698">
        <v>0</v>
      </c>
    </row>
    <row r="1699" spans="1:15">
      <c r="A1699" t="s">
        <v>2015</v>
      </c>
      <c r="B1699" t="s">
        <v>1871</v>
      </c>
      <c r="C1699" t="s">
        <v>404</v>
      </c>
      <c r="D1699">
        <v>58</v>
      </c>
      <c r="E1699">
        <v>156</v>
      </c>
      <c r="F1699">
        <v>0</v>
      </c>
      <c r="G1699">
        <v>0</v>
      </c>
      <c r="H1699">
        <v>0</v>
      </c>
      <c r="I1699">
        <v>0</v>
      </c>
      <c r="J1699">
        <v>0</v>
      </c>
      <c r="K1699">
        <v>0</v>
      </c>
      <c r="L1699">
        <v>0</v>
      </c>
      <c r="M1699">
        <v>0</v>
      </c>
      <c r="N1699">
        <v>0</v>
      </c>
      <c r="O1699">
        <v>0</v>
      </c>
    </row>
    <row r="1700" spans="1:15">
      <c r="A1700" t="s">
        <v>2016</v>
      </c>
      <c r="B1700" t="s">
        <v>1871</v>
      </c>
      <c r="C1700" t="s">
        <v>404</v>
      </c>
      <c r="D1700">
        <v>59</v>
      </c>
      <c r="E1700">
        <v>156</v>
      </c>
      <c r="F1700">
        <v>0</v>
      </c>
      <c r="G1700">
        <v>0</v>
      </c>
      <c r="H1700">
        <v>0</v>
      </c>
      <c r="I1700">
        <v>0</v>
      </c>
      <c r="J1700">
        <v>0</v>
      </c>
      <c r="K1700">
        <v>0</v>
      </c>
      <c r="L1700">
        <v>0</v>
      </c>
      <c r="M1700">
        <v>0</v>
      </c>
      <c r="N1700">
        <v>0</v>
      </c>
      <c r="O1700">
        <v>0</v>
      </c>
    </row>
    <row r="1701" spans="1:15">
      <c r="A1701" t="s">
        <v>2017</v>
      </c>
      <c r="B1701" t="s">
        <v>1871</v>
      </c>
      <c r="C1701" t="s">
        <v>404</v>
      </c>
      <c r="D1701">
        <v>60</v>
      </c>
      <c r="E1701">
        <v>156</v>
      </c>
      <c r="F1701">
        <v>0</v>
      </c>
      <c r="G1701">
        <v>0</v>
      </c>
      <c r="H1701">
        <v>0</v>
      </c>
      <c r="I1701">
        <v>0</v>
      </c>
      <c r="J1701">
        <v>0</v>
      </c>
      <c r="K1701">
        <v>0</v>
      </c>
      <c r="L1701">
        <v>0</v>
      </c>
      <c r="M1701">
        <v>0</v>
      </c>
      <c r="N1701">
        <v>0</v>
      </c>
      <c r="O1701">
        <v>0</v>
      </c>
    </row>
    <row r="1702" spans="1:15">
      <c r="A1702" t="s">
        <v>2018</v>
      </c>
      <c r="B1702" t="s">
        <v>1871</v>
      </c>
      <c r="C1702" t="s">
        <v>404</v>
      </c>
      <c r="D1702">
        <v>61</v>
      </c>
      <c r="E1702">
        <v>156</v>
      </c>
      <c r="F1702">
        <v>0</v>
      </c>
      <c r="G1702">
        <v>0</v>
      </c>
      <c r="H1702">
        <v>0</v>
      </c>
      <c r="I1702">
        <v>0</v>
      </c>
      <c r="J1702">
        <v>0</v>
      </c>
      <c r="K1702">
        <v>0</v>
      </c>
      <c r="L1702">
        <v>0</v>
      </c>
      <c r="M1702">
        <v>0</v>
      </c>
      <c r="N1702">
        <v>0</v>
      </c>
      <c r="O1702">
        <v>0</v>
      </c>
    </row>
    <row r="1703" spans="1:15">
      <c r="A1703" t="s">
        <v>2019</v>
      </c>
      <c r="B1703" t="s">
        <v>1871</v>
      </c>
      <c r="C1703" t="s">
        <v>404</v>
      </c>
      <c r="D1703">
        <v>62</v>
      </c>
      <c r="E1703">
        <v>156</v>
      </c>
      <c r="F1703">
        <v>0</v>
      </c>
      <c r="G1703">
        <v>0</v>
      </c>
      <c r="H1703">
        <v>0</v>
      </c>
      <c r="I1703">
        <v>0</v>
      </c>
      <c r="J1703">
        <v>0</v>
      </c>
      <c r="K1703">
        <v>0</v>
      </c>
      <c r="L1703">
        <v>0</v>
      </c>
      <c r="M1703">
        <v>0</v>
      </c>
      <c r="N1703">
        <v>0</v>
      </c>
      <c r="O1703">
        <v>0</v>
      </c>
    </row>
    <row r="1704" spans="1:15">
      <c r="A1704" t="s">
        <v>2020</v>
      </c>
      <c r="B1704" t="s">
        <v>1871</v>
      </c>
      <c r="C1704" t="s">
        <v>404</v>
      </c>
      <c r="D1704">
        <v>63</v>
      </c>
      <c r="E1704">
        <v>156</v>
      </c>
      <c r="F1704">
        <v>0</v>
      </c>
      <c r="G1704">
        <v>0</v>
      </c>
      <c r="H1704">
        <v>0</v>
      </c>
      <c r="I1704">
        <v>0</v>
      </c>
      <c r="J1704">
        <v>0</v>
      </c>
      <c r="K1704">
        <v>0</v>
      </c>
      <c r="L1704">
        <v>0</v>
      </c>
      <c r="M1704">
        <v>0</v>
      </c>
      <c r="N1704">
        <v>0</v>
      </c>
      <c r="O1704">
        <v>0</v>
      </c>
    </row>
    <row r="1705" spans="1:15">
      <c r="A1705" t="s">
        <v>2021</v>
      </c>
      <c r="B1705" t="s">
        <v>1871</v>
      </c>
      <c r="C1705" t="s">
        <v>404</v>
      </c>
      <c r="D1705">
        <v>64</v>
      </c>
      <c r="E1705">
        <v>156</v>
      </c>
      <c r="F1705">
        <v>0</v>
      </c>
      <c r="G1705">
        <v>0</v>
      </c>
      <c r="H1705">
        <v>0</v>
      </c>
      <c r="I1705">
        <v>0</v>
      </c>
      <c r="J1705">
        <v>0</v>
      </c>
      <c r="K1705">
        <v>0</v>
      </c>
      <c r="L1705">
        <v>0</v>
      </c>
      <c r="M1705">
        <v>0</v>
      </c>
      <c r="N1705">
        <v>0</v>
      </c>
      <c r="O1705">
        <v>0</v>
      </c>
    </row>
    <row r="1706" spans="1:15">
      <c r="A1706" t="s">
        <v>2022</v>
      </c>
      <c r="B1706" t="s">
        <v>1871</v>
      </c>
      <c r="C1706" t="s">
        <v>404</v>
      </c>
      <c r="D1706">
        <v>65</v>
      </c>
      <c r="E1706">
        <v>156</v>
      </c>
      <c r="F1706">
        <v>0</v>
      </c>
      <c r="G1706">
        <v>0</v>
      </c>
      <c r="H1706">
        <v>0</v>
      </c>
      <c r="I1706">
        <v>0</v>
      </c>
      <c r="J1706">
        <v>0</v>
      </c>
      <c r="K1706">
        <v>0</v>
      </c>
      <c r="L1706">
        <v>0</v>
      </c>
      <c r="M1706">
        <v>0</v>
      </c>
      <c r="N1706">
        <v>0</v>
      </c>
      <c r="O1706">
        <v>0</v>
      </c>
    </row>
    <row r="1707" spans="1:15">
      <c r="A1707" t="s">
        <v>2023</v>
      </c>
      <c r="B1707" t="s">
        <v>1871</v>
      </c>
      <c r="C1707" t="s">
        <v>404</v>
      </c>
      <c r="D1707">
        <v>66</v>
      </c>
      <c r="E1707">
        <v>156</v>
      </c>
      <c r="F1707">
        <v>0</v>
      </c>
      <c r="G1707">
        <v>0</v>
      </c>
      <c r="H1707">
        <v>0</v>
      </c>
      <c r="I1707">
        <v>0</v>
      </c>
      <c r="J1707">
        <v>0</v>
      </c>
      <c r="K1707">
        <v>0</v>
      </c>
      <c r="L1707">
        <v>0</v>
      </c>
      <c r="M1707">
        <v>0</v>
      </c>
      <c r="N1707">
        <v>0</v>
      </c>
      <c r="O1707">
        <v>0</v>
      </c>
    </row>
    <row r="1708" spans="1:15">
      <c r="A1708" t="s">
        <v>2024</v>
      </c>
      <c r="B1708" t="s">
        <v>1871</v>
      </c>
      <c r="C1708" t="s">
        <v>404</v>
      </c>
      <c r="D1708">
        <v>67</v>
      </c>
      <c r="E1708">
        <v>156</v>
      </c>
      <c r="F1708">
        <v>0</v>
      </c>
      <c r="G1708">
        <v>0</v>
      </c>
      <c r="H1708">
        <v>0</v>
      </c>
      <c r="I1708">
        <v>0</v>
      </c>
      <c r="J1708">
        <v>0</v>
      </c>
      <c r="K1708">
        <v>0</v>
      </c>
      <c r="L1708">
        <v>0</v>
      </c>
      <c r="M1708">
        <v>0</v>
      </c>
      <c r="N1708">
        <v>0</v>
      </c>
      <c r="O1708">
        <v>0</v>
      </c>
    </row>
    <row r="1709" spans="1:15">
      <c r="A1709" t="s">
        <v>2025</v>
      </c>
      <c r="B1709" t="s">
        <v>1871</v>
      </c>
      <c r="C1709" t="s">
        <v>404</v>
      </c>
      <c r="D1709">
        <v>68</v>
      </c>
      <c r="E1709">
        <v>156</v>
      </c>
      <c r="F1709">
        <v>0</v>
      </c>
      <c r="G1709">
        <v>0</v>
      </c>
      <c r="H1709">
        <v>0</v>
      </c>
      <c r="I1709">
        <v>0</v>
      </c>
      <c r="J1709">
        <v>0</v>
      </c>
      <c r="K1709">
        <v>0</v>
      </c>
      <c r="L1709">
        <v>0</v>
      </c>
      <c r="M1709">
        <v>0</v>
      </c>
      <c r="N1709">
        <v>0</v>
      </c>
      <c r="O1709">
        <v>0</v>
      </c>
    </row>
    <row r="1710" spans="1:15">
      <c r="A1710" t="s">
        <v>2026</v>
      </c>
      <c r="B1710" t="s">
        <v>1871</v>
      </c>
      <c r="C1710" t="s">
        <v>404</v>
      </c>
      <c r="D1710">
        <v>69</v>
      </c>
      <c r="E1710">
        <v>156</v>
      </c>
      <c r="F1710">
        <v>0</v>
      </c>
      <c r="G1710">
        <v>0</v>
      </c>
      <c r="H1710">
        <v>0</v>
      </c>
      <c r="I1710">
        <v>0</v>
      </c>
      <c r="J1710">
        <v>0</v>
      </c>
      <c r="K1710">
        <v>0</v>
      </c>
      <c r="L1710">
        <v>0</v>
      </c>
      <c r="M1710">
        <v>0</v>
      </c>
      <c r="N1710">
        <v>0</v>
      </c>
      <c r="O1710">
        <v>0</v>
      </c>
    </row>
    <row r="1711" spans="1:15">
      <c r="A1711" t="s">
        <v>2027</v>
      </c>
      <c r="B1711" t="s">
        <v>1871</v>
      </c>
      <c r="C1711" t="s">
        <v>404</v>
      </c>
      <c r="D1711">
        <v>70</v>
      </c>
      <c r="E1711">
        <v>156</v>
      </c>
      <c r="F1711">
        <v>0</v>
      </c>
      <c r="G1711">
        <v>0</v>
      </c>
      <c r="H1711">
        <v>0</v>
      </c>
      <c r="I1711">
        <v>0</v>
      </c>
      <c r="J1711">
        <v>0</v>
      </c>
      <c r="K1711">
        <v>0</v>
      </c>
      <c r="L1711">
        <v>0</v>
      </c>
      <c r="M1711">
        <v>0</v>
      </c>
      <c r="N1711">
        <v>0</v>
      </c>
      <c r="O1711">
        <v>0</v>
      </c>
    </row>
    <row r="1712" spans="1:15">
      <c r="A1712" t="s">
        <v>2028</v>
      </c>
      <c r="B1712" t="s">
        <v>1871</v>
      </c>
      <c r="C1712" t="s">
        <v>404</v>
      </c>
      <c r="D1712">
        <v>71</v>
      </c>
      <c r="E1712">
        <v>156</v>
      </c>
      <c r="F1712">
        <v>0</v>
      </c>
      <c r="G1712">
        <v>0</v>
      </c>
      <c r="H1712">
        <v>0</v>
      </c>
      <c r="I1712">
        <v>0</v>
      </c>
      <c r="J1712">
        <v>0</v>
      </c>
      <c r="K1712">
        <v>0</v>
      </c>
      <c r="L1712">
        <v>0</v>
      </c>
      <c r="M1712">
        <v>0</v>
      </c>
      <c r="N1712">
        <v>0</v>
      </c>
      <c r="O1712">
        <v>0</v>
      </c>
    </row>
    <row r="1713" spans="1:15">
      <c r="A1713" t="s">
        <v>2029</v>
      </c>
      <c r="B1713" t="s">
        <v>1871</v>
      </c>
      <c r="C1713" t="s">
        <v>404</v>
      </c>
      <c r="D1713">
        <v>72</v>
      </c>
      <c r="E1713">
        <v>156</v>
      </c>
      <c r="F1713">
        <v>0</v>
      </c>
      <c r="G1713">
        <v>0</v>
      </c>
      <c r="H1713">
        <v>0</v>
      </c>
      <c r="I1713">
        <v>0</v>
      </c>
      <c r="J1713">
        <v>0</v>
      </c>
      <c r="K1713">
        <v>0</v>
      </c>
      <c r="L1713">
        <v>0</v>
      </c>
      <c r="M1713">
        <v>0</v>
      </c>
      <c r="N1713">
        <v>0</v>
      </c>
      <c r="O1713">
        <v>0</v>
      </c>
    </row>
    <row r="1714" spans="1:15">
      <c r="A1714" t="s">
        <v>2030</v>
      </c>
      <c r="B1714" t="s">
        <v>1871</v>
      </c>
      <c r="C1714" t="s">
        <v>404</v>
      </c>
      <c r="D1714">
        <v>73</v>
      </c>
      <c r="E1714">
        <v>156</v>
      </c>
      <c r="F1714">
        <v>0</v>
      </c>
      <c r="G1714">
        <v>0</v>
      </c>
      <c r="H1714">
        <v>0</v>
      </c>
      <c r="I1714">
        <v>0</v>
      </c>
      <c r="J1714">
        <v>0</v>
      </c>
      <c r="K1714">
        <v>0</v>
      </c>
      <c r="L1714">
        <v>0</v>
      </c>
      <c r="M1714">
        <v>0</v>
      </c>
      <c r="N1714">
        <v>0</v>
      </c>
      <c r="O1714">
        <v>0</v>
      </c>
    </row>
    <row r="1715" spans="1:15">
      <c r="A1715" t="s">
        <v>2031</v>
      </c>
      <c r="B1715" t="s">
        <v>1871</v>
      </c>
      <c r="C1715" t="s">
        <v>404</v>
      </c>
      <c r="D1715">
        <v>74</v>
      </c>
      <c r="E1715">
        <v>156</v>
      </c>
      <c r="F1715">
        <v>0</v>
      </c>
      <c r="G1715">
        <v>0</v>
      </c>
      <c r="H1715">
        <v>0</v>
      </c>
      <c r="I1715">
        <v>0</v>
      </c>
      <c r="J1715">
        <v>0</v>
      </c>
      <c r="K1715">
        <v>0</v>
      </c>
      <c r="L1715">
        <v>0</v>
      </c>
      <c r="M1715">
        <v>0</v>
      </c>
      <c r="N1715">
        <v>0</v>
      </c>
      <c r="O1715">
        <v>0</v>
      </c>
    </row>
    <row r="1716" spans="1:15">
      <c r="A1716" t="s">
        <v>2032</v>
      </c>
      <c r="B1716" t="s">
        <v>1871</v>
      </c>
      <c r="C1716" t="s">
        <v>404</v>
      </c>
      <c r="D1716">
        <v>75</v>
      </c>
      <c r="E1716">
        <v>156</v>
      </c>
      <c r="F1716">
        <v>0</v>
      </c>
      <c r="G1716">
        <v>0</v>
      </c>
      <c r="H1716">
        <v>0</v>
      </c>
      <c r="I1716">
        <v>0</v>
      </c>
      <c r="J1716">
        <v>0</v>
      </c>
      <c r="K1716">
        <v>0</v>
      </c>
      <c r="L1716">
        <v>0</v>
      </c>
      <c r="M1716">
        <v>0</v>
      </c>
      <c r="N1716">
        <v>0</v>
      </c>
      <c r="O1716">
        <v>0</v>
      </c>
    </row>
    <row r="1717" spans="1:15">
      <c r="A1717" t="s">
        <v>2033</v>
      </c>
      <c r="B1717" t="s">
        <v>1871</v>
      </c>
      <c r="C1717" t="s">
        <v>404</v>
      </c>
      <c r="D1717">
        <v>76</v>
      </c>
      <c r="E1717">
        <v>156</v>
      </c>
      <c r="F1717">
        <v>0</v>
      </c>
      <c r="G1717">
        <v>0</v>
      </c>
      <c r="H1717">
        <v>0</v>
      </c>
      <c r="I1717">
        <v>0</v>
      </c>
      <c r="J1717">
        <v>0</v>
      </c>
      <c r="K1717">
        <v>0</v>
      </c>
      <c r="L1717">
        <v>0</v>
      </c>
      <c r="M1717">
        <v>0</v>
      </c>
      <c r="N1717">
        <v>0</v>
      </c>
      <c r="O1717">
        <v>0</v>
      </c>
    </row>
    <row r="1718" spans="1:15">
      <c r="A1718" t="s">
        <v>2034</v>
      </c>
      <c r="B1718" t="s">
        <v>1871</v>
      </c>
      <c r="C1718" t="s">
        <v>404</v>
      </c>
      <c r="D1718">
        <v>77</v>
      </c>
      <c r="E1718">
        <v>156</v>
      </c>
      <c r="F1718">
        <v>0</v>
      </c>
      <c r="G1718">
        <v>0</v>
      </c>
      <c r="H1718">
        <v>0</v>
      </c>
      <c r="I1718">
        <v>0</v>
      </c>
      <c r="J1718">
        <v>0</v>
      </c>
      <c r="K1718">
        <v>0</v>
      </c>
      <c r="L1718">
        <v>0</v>
      </c>
      <c r="M1718">
        <v>0</v>
      </c>
      <c r="N1718">
        <v>0</v>
      </c>
      <c r="O1718">
        <v>0</v>
      </c>
    </row>
    <row r="1719" spans="1:15">
      <c r="A1719" t="s">
        <v>2035</v>
      </c>
      <c r="B1719" t="s">
        <v>1871</v>
      </c>
      <c r="C1719" t="s">
        <v>404</v>
      </c>
      <c r="D1719">
        <v>78</v>
      </c>
      <c r="E1719">
        <v>156</v>
      </c>
      <c r="F1719">
        <v>0</v>
      </c>
      <c r="G1719">
        <v>0</v>
      </c>
      <c r="H1719">
        <v>0</v>
      </c>
      <c r="I1719">
        <v>0</v>
      </c>
      <c r="J1719">
        <v>0</v>
      </c>
      <c r="K1719">
        <v>0</v>
      </c>
      <c r="L1719">
        <v>0</v>
      </c>
      <c r="M1719">
        <v>0</v>
      </c>
      <c r="N1719">
        <v>0</v>
      </c>
      <c r="O1719">
        <v>0</v>
      </c>
    </row>
    <row r="1720" spans="1:15">
      <c r="A1720" t="s">
        <v>2036</v>
      </c>
      <c r="B1720" t="s">
        <v>1871</v>
      </c>
      <c r="C1720" t="s">
        <v>404</v>
      </c>
      <c r="D1720">
        <v>79</v>
      </c>
      <c r="E1720">
        <v>156</v>
      </c>
      <c r="F1720">
        <v>0</v>
      </c>
      <c r="G1720">
        <v>0</v>
      </c>
      <c r="H1720">
        <v>0</v>
      </c>
      <c r="I1720">
        <v>0</v>
      </c>
      <c r="J1720">
        <v>0</v>
      </c>
      <c r="K1720">
        <v>0</v>
      </c>
      <c r="L1720">
        <v>0</v>
      </c>
      <c r="M1720">
        <v>0</v>
      </c>
      <c r="N1720">
        <v>0</v>
      </c>
      <c r="O1720">
        <v>0</v>
      </c>
    </row>
    <row r="1721" spans="1:15">
      <c r="A1721" t="s">
        <v>2037</v>
      </c>
      <c r="B1721" t="s">
        <v>1871</v>
      </c>
      <c r="C1721" t="s">
        <v>404</v>
      </c>
      <c r="D1721">
        <v>80</v>
      </c>
      <c r="E1721">
        <v>156</v>
      </c>
      <c r="F1721">
        <v>0</v>
      </c>
      <c r="G1721">
        <v>0</v>
      </c>
      <c r="H1721">
        <v>0</v>
      </c>
      <c r="I1721">
        <v>0</v>
      </c>
      <c r="J1721">
        <v>0</v>
      </c>
      <c r="K1721">
        <v>0</v>
      </c>
      <c r="L1721">
        <v>0</v>
      </c>
      <c r="M1721">
        <v>0</v>
      </c>
      <c r="N1721">
        <v>0</v>
      </c>
      <c r="O1721">
        <v>0</v>
      </c>
    </row>
    <row r="1722" spans="1:15">
      <c r="A1722" t="s">
        <v>2038</v>
      </c>
      <c r="B1722" t="s">
        <v>1871</v>
      </c>
      <c r="C1722" t="s">
        <v>404</v>
      </c>
      <c r="D1722">
        <v>81</v>
      </c>
      <c r="E1722">
        <v>156</v>
      </c>
      <c r="F1722">
        <v>0</v>
      </c>
      <c r="G1722">
        <v>0</v>
      </c>
      <c r="H1722">
        <v>0</v>
      </c>
      <c r="I1722">
        <v>0</v>
      </c>
      <c r="J1722">
        <v>0</v>
      </c>
      <c r="K1722">
        <v>0</v>
      </c>
      <c r="L1722">
        <v>0</v>
      </c>
      <c r="M1722">
        <v>0</v>
      </c>
      <c r="N1722">
        <v>0</v>
      </c>
      <c r="O1722">
        <v>0</v>
      </c>
    </row>
    <row r="1723" spans="1:15">
      <c r="A1723" t="s">
        <v>2039</v>
      </c>
      <c r="B1723" t="s">
        <v>1871</v>
      </c>
      <c r="C1723" t="s">
        <v>404</v>
      </c>
      <c r="D1723">
        <v>82</v>
      </c>
      <c r="E1723">
        <v>156</v>
      </c>
      <c r="F1723">
        <v>0</v>
      </c>
      <c r="G1723">
        <v>0</v>
      </c>
      <c r="H1723">
        <v>0</v>
      </c>
      <c r="I1723">
        <v>0</v>
      </c>
      <c r="J1723">
        <v>0</v>
      </c>
      <c r="K1723">
        <v>0</v>
      </c>
      <c r="L1723">
        <v>0</v>
      </c>
      <c r="M1723">
        <v>0</v>
      </c>
      <c r="N1723">
        <v>0</v>
      </c>
      <c r="O1723">
        <v>0</v>
      </c>
    </row>
    <row r="1724" spans="1:15">
      <c r="A1724" t="s">
        <v>2040</v>
      </c>
      <c r="B1724" t="s">
        <v>1871</v>
      </c>
      <c r="C1724" t="s">
        <v>404</v>
      </c>
      <c r="D1724">
        <v>83</v>
      </c>
      <c r="E1724">
        <v>156</v>
      </c>
      <c r="F1724">
        <v>0</v>
      </c>
      <c r="G1724">
        <v>0</v>
      </c>
      <c r="H1724">
        <v>0</v>
      </c>
      <c r="I1724">
        <v>0</v>
      </c>
      <c r="J1724">
        <v>0</v>
      </c>
      <c r="K1724">
        <v>0</v>
      </c>
      <c r="L1724">
        <v>0</v>
      </c>
      <c r="M1724">
        <v>0</v>
      </c>
      <c r="N1724">
        <v>0</v>
      </c>
      <c r="O1724">
        <v>0</v>
      </c>
    </row>
    <row r="1725" spans="1:15">
      <c r="A1725" t="s">
        <v>2041</v>
      </c>
      <c r="B1725" t="s">
        <v>1871</v>
      </c>
      <c r="C1725" t="s">
        <v>404</v>
      </c>
      <c r="D1725">
        <v>84</v>
      </c>
      <c r="E1725">
        <v>156</v>
      </c>
      <c r="F1725">
        <v>0</v>
      </c>
      <c r="G1725">
        <v>0</v>
      </c>
      <c r="H1725">
        <v>0</v>
      </c>
      <c r="I1725">
        <v>0</v>
      </c>
      <c r="J1725">
        <v>0</v>
      </c>
      <c r="K1725">
        <v>0</v>
      </c>
      <c r="L1725">
        <v>0</v>
      </c>
      <c r="M1725">
        <v>0</v>
      </c>
      <c r="N1725">
        <v>0</v>
      </c>
      <c r="O1725">
        <v>0</v>
      </c>
    </row>
    <row r="1726" spans="1:15">
      <c r="A1726" t="s">
        <v>2042</v>
      </c>
      <c r="B1726" t="s">
        <v>1871</v>
      </c>
      <c r="C1726" t="s">
        <v>404</v>
      </c>
      <c r="D1726">
        <v>85</v>
      </c>
      <c r="E1726">
        <v>156</v>
      </c>
      <c r="F1726">
        <v>0</v>
      </c>
      <c r="G1726">
        <v>0</v>
      </c>
      <c r="H1726">
        <v>0</v>
      </c>
      <c r="I1726">
        <v>0</v>
      </c>
      <c r="J1726">
        <v>0</v>
      </c>
      <c r="K1726">
        <v>0</v>
      </c>
      <c r="L1726">
        <v>0</v>
      </c>
      <c r="M1726">
        <v>0</v>
      </c>
      <c r="N1726">
        <v>0</v>
      </c>
      <c r="O1726">
        <v>0</v>
      </c>
    </row>
    <row r="1728" spans="1:15">
      <c r="A1728" t="s">
        <v>2043</v>
      </c>
      <c r="B1728" t="s">
        <v>293</v>
      </c>
      <c r="C1728" t="s">
        <v>317</v>
      </c>
      <c r="D1728">
        <v>0</v>
      </c>
      <c r="E1728">
        <v>156</v>
      </c>
      <c r="F1728">
        <v>0</v>
      </c>
      <c r="G1728">
        <v>0</v>
      </c>
      <c r="H1728">
        <v>0</v>
      </c>
      <c r="I1728">
        <v>0</v>
      </c>
      <c r="J1728">
        <v>0</v>
      </c>
      <c r="K1728">
        <v>0</v>
      </c>
      <c r="L1728">
        <v>0</v>
      </c>
      <c r="M1728">
        <v>0</v>
      </c>
      <c r="N1728">
        <v>0</v>
      </c>
      <c r="O1728">
        <v>0</v>
      </c>
    </row>
    <row r="1729" spans="1:15">
      <c r="A1729" t="s">
        <v>2044</v>
      </c>
      <c r="B1729" t="s">
        <v>293</v>
      </c>
      <c r="C1729" t="s">
        <v>317</v>
      </c>
      <c r="D1729">
        <v>1</v>
      </c>
      <c r="E1729">
        <v>156</v>
      </c>
      <c r="F1729">
        <v>0</v>
      </c>
      <c r="G1729">
        <v>0</v>
      </c>
      <c r="H1729">
        <v>0</v>
      </c>
      <c r="I1729">
        <v>0</v>
      </c>
      <c r="J1729">
        <v>0</v>
      </c>
      <c r="K1729">
        <v>0</v>
      </c>
      <c r="L1729">
        <v>0</v>
      </c>
      <c r="M1729">
        <v>0</v>
      </c>
      <c r="N1729">
        <v>0</v>
      </c>
      <c r="O1729">
        <v>0</v>
      </c>
    </row>
    <row r="1730" spans="1:15">
      <c r="A1730" t="s">
        <v>2045</v>
      </c>
      <c r="B1730" t="s">
        <v>293</v>
      </c>
      <c r="C1730" t="s">
        <v>317</v>
      </c>
      <c r="D1730">
        <v>2</v>
      </c>
      <c r="E1730">
        <v>156</v>
      </c>
      <c r="F1730">
        <v>0</v>
      </c>
      <c r="G1730">
        <v>0</v>
      </c>
      <c r="H1730">
        <v>0</v>
      </c>
      <c r="I1730">
        <v>0</v>
      </c>
      <c r="J1730">
        <v>0</v>
      </c>
      <c r="K1730">
        <v>0</v>
      </c>
      <c r="L1730">
        <v>0</v>
      </c>
      <c r="M1730">
        <v>0</v>
      </c>
      <c r="N1730">
        <v>0</v>
      </c>
      <c r="O1730">
        <v>0</v>
      </c>
    </row>
    <row r="1731" spans="1:15">
      <c r="A1731" t="s">
        <v>2046</v>
      </c>
      <c r="B1731" t="s">
        <v>293</v>
      </c>
      <c r="C1731" t="s">
        <v>317</v>
      </c>
      <c r="D1731">
        <v>3</v>
      </c>
      <c r="E1731">
        <v>156</v>
      </c>
      <c r="F1731">
        <v>0</v>
      </c>
      <c r="G1731">
        <v>0</v>
      </c>
      <c r="H1731">
        <v>0</v>
      </c>
      <c r="I1731">
        <v>0</v>
      </c>
      <c r="J1731">
        <v>0</v>
      </c>
      <c r="K1731">
        <v>0</v>
      </c>
      <c r="L1731">
        <v>0</v>
      </c>
      <c r="M1731">
        <v>0</v>
      </c>
      <c r="N1731">
        <v>0</v>
      </c>
      <c r="O1731">
        <v>0</v>
      </c>
    </row>
    <row r="1732" spans="1:15">
      <c r="A1732" t="s">
        <v>2047</v>
      </c>
      <c r="B1732" t="s">
        <v>293</v>
      </c>
      <c r="C1732" t="s">
        <v>317</v>
      </c>
      <c r="D1732">
        <v>4</v>
      </c>
      <c r="E1732">
        <v>156</v>
      </c>
      <c r="F1732">
        <v>0</v>
      </c>
      <c r="G1732">
        <v>0</v>
      </c>
      <c r="H1732">
        <v>0</v>
      </c>
      <c r="I1732">
        <v>0</v>
      </c>
      <c r="J1732">
        <v>0</v>
      </c>
      <c r="K1732">
        <v>0</v>
      </c>
      <c r="L1732">
        <v>0</v>
      </c>
      <c r="M1732">
        <v>0</v>
      </c>
      <c r="N1732">
        <v>0</v>
      </c>
      <c r="O1732">
        <v>0</v>
      </c>
    </row>
    <row r="1733" spans="1:15">
      <c r="A1733" t="s">
        <v>2048</v>
      </c>
      <c r="B1733" t="s">
        <v>293</v>
      </c>
      <c r="C1733" t="s">
        <v>317</v>
      </c>
      <c r="D1733">
        <v>5</v>
      </c>
      <c r="E1733">
        <v>156</v>
      </c>
      <c r="F1733">
        <v>0</v>
      </c>
      <c r="G1733">
        <v>0</v>
      </c>
      <c r="H1733">
        <v>0</v>
      </c>
      <c r="I1733">
        <v>0</v>
      </c>
      <c r="J1733">
        <v>0</v>
      </c>
      <c r="K1733">
        <v>0</v>
      </c>
      <c r="L1733">
        <v>0</v>
      </c>
      <c r="M1733">
        <v>0</v>
      </c>
      <c r="N1733">
        <v>0</v>
      </c>
      <c r="O1733">
        <v>0</v>
      </c>
    </row>
    <row r="1734" spans="1:15">
      <c r="A1734" t="s">
        <v>2049</v>
      </c>
      <c r="B1734" t="s">
        <v>293</v>
      </c>
      <c r="C1734" t="s">
        <v>317</v>
      </c>
      <c r="D1734">
        <v>6</v>
      </c>
      <c r="E1734">
        <v>156</v>
      </c>
      <c r="F1734">
        <v>0</v>
      </c>
      <c r="G1734">
        <v>0</v>
      </c>
      <c r="H1734">
        <v>0</v>
      </c>
      <c r="I1734">
        <v>0</v>
      </c>
      <c r="J1734">
        <v>0</v>
      </c>
      <c r="K1734">
        <v>0</v>
      </c>
      <c r="L1734">
        <v>0</v>
      </c>
      <c r="M1734">
        <v>0</v>
      </c>
      <c r="N1734">
        <v>0</v>
      </c>
      <c r="O1734">
        <v>0</v>
      </c>
    </row>
    <row r="1735" spans="1:15">
      <c r="A1735" t="s">
        <v>2050</v>
      </c>
      <c r="B1735" t="s">
        <v>293</v>
      </c>
      <c r="C1735" t="s">
        <v>317</v>
      </c>
      <c r="D1735">
        <v>7</v>
      </c>
      <c r="E1735">
        <v>156</v>
      </c>
      <c r="F1735">
        <v>0</v>
      </c>
      <c r="G1735">
        <v>0</v>
      </c>
      <c r="H1735">
        <v>0</v>
      </c>
      <c r="I1735">
        <v>0</v>
      </c>
      <c r="J1735">
        <v>0</v>
      </c>
      <c r="K1735">
        <v>0</v>
      </c>
      <c r="L1735">
        <v>0</v>
      </c>
      <c r="M1735">
        <v>0</v>
      </c>
      <c r="N1735">
        <v>0</v>
      </c>
      <c r="O1735">
        <v>0</v>
      </c>
    </row>
    <row r="1736" spans="1:15">
      <c r="A1736" t="s">
        <v>2051</v>
      </c>
      <c r="B1736" t="s">
        <v>293</v>
      </c>
      <c r="C1736" t="s">
        <v>317</v>
      </c>
      <c r="D1736">
        <v>8</v>
      </c>
      <c r="E1736">
        <v>156</v>
      </c>
      <c r="F1736">
        <v>0</v>
      </c>
      <c r="G1736">
        <v>0</v>
      </c>
      <c r="H1736">
        <v>0</v>
      </c>
      <c r="I1736">
        <v>0</v>
      </c>
      <c r="J1736">
        <v>0</v>
      </c>
      <c r="K1736">
        <v>0</v>
      </c>
      <c r="L1736">
        <v>0</v>
      </c>
      <c r="M1736">
        <v>0</v>
      </c>
      <c r="N1736">
        <v>0</v>
      </c>
      <c r="O1736">
        <v>0</v>
      </c>
    </row>
    <row r="1737" spans="1:15">
      <c r="A1737" t="s">
        <v>2052</v>
      </c>
      <c r="B1737" t="s">
        <v>293</v>
      </c>
      <c r="C1737" t="s">
        <v>317</v>
      </c>
      <c r="D1737">
        <v>9</v>
      </c>
      <c r="E1737">
        <v>156</v>
      </c>
      <c r="F1737">
        <v>0</v>
      </c>
      <c r="G1737">
        <v>0</v>
      </c>
      <c r="H1737">
        <v>0</v>
      </c>
      <c r="I1737">
        <v>0</v>
      </c>
      <c r="J1737">
        <v>0</v>
      </c>
      <c r="K1737">
        <v>0</v>
      </c>
      <c r="L1737">
        <v>0</v>
      </c>
      <c r="M1737">
        <v>0</v>
      </c>
      <c r="N1737">
        <v>0</v>
      </c>
      <c r="O1737">
        <v>0</v>
      </c>
    </row>
    <row r="1738" spans="1:15">
      <c r="A1738" t="s">
        <v>2053</v>
      </c>
      <c r="B1738" t="s">
        <v>293</v>
      </c>
      <c r="C1738" t="s">
        <v>317</v>
      </c>
      <c r="D1738">
        <v>10</v>
      </c>
      <c r="E1738">
        <v>156</v>
      </c>
      <c r="F1738">
        <v>0</v>
      </c>
      <c r="G1738">
        <v>0</v>
      </c>
      <c r="H1738">
        <v>0</v>
      </c>
      <c r="I1738">
        <v>0</v>
      </c>
      <c r="J1738">
        <v>0</v>
      </c>
      <c r="K1738">
        <v>0</v>
      </c>
      <c r="L1738">
        <v>0</v>
      </c>
      <c r="M1738">
        <v>0</v>
      </c>
      <c r="N1738">
        <v>0</v>
      </c>
      <c r="O1738">
        <v>0</v>
      </c>
    </row>
    <row r="1739" spans="1:15">
      <c r="A1739" t="s">
        <v>2054</v>
      </c>
      <c r="B1739" t="s">
        <v>293</v>
      </c>
      <c r="C1739" t="s">
        <v>317</v>
      </c>
      <c r="D1739">
        <v>11</v>
      </c>
      <c r="E1739">
        <v>156</v>
      </c>
      <c r="F1739">
        <v>0</v>
      </c>
      <c r="G1739">
        <v>0</v>
      </c>
      <c r="H1739">
        <v>0</v>
      </c>
      <c r="I1739">
        <v>0</v>
      </c>
      <c r="J1739">
        <v>0</v>
      </c>
      <c r="K1739">
        <v>0</v>
      </c>
      <c r="L1739">
        <v>0</v>
      </c>
      <c r="M1739">
        <v>0</v>
      </c>
      <c r="N1739">
        <v>0</v>
      </c>
      <c r="O1739">
        <v>0</v>
      </c>
    </row>
    <row r="1740" spans="1:15">
      <c r="A1740" t="s">
        <v>2055</v>
      </c>
      <c r="B1740" t="s">
        <v>293</v>
      </c>
      <c r="C1740" t="s">
        <v>317</v>
      </c>
      <c r="D1740">
        <v>12</v>
      </c>
      <c r="E1740">
        <v>156</v>
      </c>
      <c r="F1740">
        <v>0</v>
      </c>
      <c r="G1740">
        <v>0</v>
      </c>
      <c r="H1740">
        <v>0</v>
      </c>
      <c r="I1740">
        <v>0</v>
      </c>
      <c r="J1740">
        <v>0</v>
      </c>
      <c r="K1740">
        <v>0</v>
      </c>
      <c r="L1740">
        <v>0</v>
      </c>
      <c r="M1740">
        <v>0</v>
      </c>
      <c r="N1740">
        <v>0</v>
      </c>
      <c r="O1740">
        <v>0</v>
      </c>
    </row>
    <row r="1741" spans="1:15">
      <c r="A1741" t="s">
        <v>2056</v>
      </c>
      <c r="B1741" t="s">
        <v>293</v>
      </c>
      <c r="C1741" t="s">
        <v>317</v>
      </c>
      <c r="D1741">
        <v>13</v>
      </c>
      <c r="E1741">
        <v>156</v>
      </c>
      <c r="F1741">
        <v>0</v>
      </c>
      <c r="G1741">
        <v>0</v>
      </c>
      <c r="H1741">
        <v>0</v>
      </c>
      <c r="I1741">
        <v>0</v>
      </c>
      <c r="J1741">
        <v>0</v>
      </c>
      <c r="K1741">
        <v>0</v>
      </c>
      <c r="L1741">
        <v>0</v>
      </c>
      <c r="M1741">
        <v>0</v>
      </c>
      <c r="N1741">
        <v>0</v>
      </c>
      <c r="O1741">
        <v>0</v>
      </c>
    </row>
    <row r="1742" spans="1:15">
      <c r="A1742" t="s">
        <v>2057</v>
      </c>
      <c r="B1742" t="s">
        <v>293</v>
      </c>
      <c r="C1742" t="s">
        <v>317</v>
      </c>
      <c r="D1742">
        <v>14</v>
      </c>
      <c r="E1742">
        <v>156</v>
      </c>
      <c r="F1742">
        <v>0</v>
      </c>
      <c r="G1742">
        <v>0</v>
      </c>
      <c r="H1742">
        <v>0</v>
      </c>
      <c r="I1742">
        <v>0</v>
      </c>
      <c r="J1742">
        <v>0</v>
      </c>
      <c r="K1742">
        <v>0</v>
      </c>
      <c r="L1742">
        <v>0</v>
      </c>
      <c r="M1742">
        <v>0</v>
      </c>
      <c r="N1742">
        <v>0</v>
      </c>
      <c r="O1742">
        <v>0</v>
      </c>
    </row>
    <row r="1743" spans="1:15">
      <c r="A1743" t="s">
        <v>2058</v>
      </c>
      <c r="B1743" t="s">
        <v>293</v>
      </c>
      <c r="C1743" t="s">
        <v>317</v>
      </c>
      <c r="D1743">
        <v>15</v>
      </c>
      <c r="E1743">
        <v>156</v>
      </c>
      <c r="F1743">
        <v>0</v>
      </c>
      <c r="G1743">
        <v>0</v>
      </c>
      <c r="H1743">
        <v>0</v>
      </c>
      <c r="I1743">
        <v>0</v>
      </c>
      <c r="J1743">
        <v>0</v>
      </c>
      <c r="K1743">
        <v>0</v>
      </c>
      <c r="L1743">
        <v>0</v>
      </c>
      <c r="M1743">
        <v>0</v>
      </c>
      <c r="N1743">
        <v>0</v>
      </c>
      <c r="O1743">
        <v>0</v>
      </c>
    </row>
    <row r="1744" spans="1:15">
      <c r="A1744" t="s">
        <v>2059</v>
      </c>
      <c r="B1744" t="s">
        <v>293</v>
      </c>
      <c r="C1744" t="s">
        <v>317</v>
      </c>
      <c r="D1744">
        <v>16</v>
      </c>
      <c r="E1744">
        <v>156</v>
      </c>
      <c r="F1744">
        <v>0</v>
      </c>
      <c r="G1744">
        <v>0</v>
      </c>
      <c r="H1744">
        <v>0</v>
      </c>
      <c r="I1744">
        <v>0</v>
      </c>
      <c r="J1744">
        <v>0</v>
      </c>
      <c r="K1744">
        <v>0</v>
      </c>
      <c r="L1744">
        <v>0</v>
      </c>
      <c r="M1744">
        <v>0</v>
      </c>
      <c r="N1744">
        <v>0</v>
      </c>
      <c r="O1744">
        <v>0</v>
      </c>
    </row>
    <row r="1745" spans="1:15">
      <c r="A1745" t="s">
        <v>2060</v>
      </c>
      <c r="B1745" t="s">
        <v>293</v>
      </c>
      <c r="C1745" t="s">
        <v>317</v>
      </c>
      <c r="D1745">
        <v>17</v>
      </c>
      <c r="E1745">
        <v>156</v>
      </c>
      <c r="F1745">
        <v>0</v>
      </c>
      <c r="G1745">
        <v>0</v>
      </c>
      <c r="H1745">
        <v>0</v>
      </c>
      <c r="I1745">
        <v>0</v>
      </c>
      <c r="J1745">
        <v>0</v>
      </c>
      <c r="K1745">
        <v>0</v>
      </c>
      <c r="L1745">
        <v>0</v>
      </c>
      <c r="M1745">
        <v>0</v>
      </c>
      <c r="N1745">
        <v>0</v>
      </c>
      <c r="O1745">
        <v>0</v>
      </c>
    </row>
    <row r="1746" spans="1:15">
      <c r="A1746" t="s">
        <v>2061</v>
      </c>
      <c r="B1746" t="s">
        <v>293</v>
      </c>
      <c r="C1746" t="s">
        <v>317</v>
      </c>
      <c r="D1746">
        <v>18</v>
      </c>
      <c r="E1746">
        <v>156</v>
      </c>
      <c r="F1746">
        <v>0</v>
      </c>
      <c r="G1746">
        <v>0</v>
      </c>
      <c r="H1746">
        <v>0</v>
      </c>
      <c r="I1746">
        <v>0</v>
      </c>
      <c r="J1746">
        <v>0</v>
      </c>
      <c r="K1746">
        <v>0</v>
      </c>
      <c r="L1746">
        <v>0</v>
      </c>
      <c r="M1746">
        <v>0</v>
      </c>
      <c r="N1746">
        <v>0</v>
      </c>
      <c r="O1746">
        <v>0</v>
      </c>
    </row>
    <row r="1747" spans="1:15">
      <c r="A1747" t="s">
        <v>2062</v>
      </c>
      <c r="B1747" t="s">
        <v>293</v>
      </c>
      <c r="C1747" t="s">
        <v>317</v>
      </c>
      <c r="D1747">
        <v>19</v>
      </c>
      <c r="E1747">
        <v>156</v>
      </c>
      <c r="F1747">
        <v>0</v>
      </c>
      <c r="G1747">
        <v>0</v>
      </c>
      <c r="H1747">
        <v>0</v>
      </c>
      <c r="I1747">
        <v>0</v>
      </c>
      <c r="J1747">
        <v>0</v>
      </c>
      <c r="K1747">
        <v>0</v>
      </c>
      <c r="L1747">
        <v>0</v>
      </c>
      <c r="M1747">
        <v>0</v>
      </c>
      <c r="N1747">
        <v>0</v>
      </c>
      <c r="O1747">
        <v>0</v>
      </c>
    </row>
    <row r="1748" spans="1:15">
      <c r="A1748" t="s">
        <v>2063</v>
      </c>
      <c r="B1748" t="s">
        <v>293</v>
      </c>
      <c r="C1748" t="s">
        <v>317</v>
      </c>
      <c r="D1748">
        <v>20</v>
      </c>
      <c r="E1748">
        <v>156</v>
      </c>
      <c r="F1748">
        <v>0</v>
      </c>
      <c r="G1748">
        <v>0</v>
      </c>
      <c r="H1748">
        <v>0</v>
      </c>
      <c r="I1748">
        <v>0</v>
      </c>
      <c r="J1748">
        <v>0</v>
      </c>
      <c r="K1748">
        <v>0</v>
      </c>
      <c r="L1748">
        <v>0</v>
      </c>
      <c r="M1748">
        <v>0</v>
      </c>
      <c r="N1748">
        <v>0</v>
      </c>
      <c r="O1748">
        <v>0</v>
      </c>
    </row>
    <row r="1749" spans="1:15">
      <c r="A1749" t="s">
        <v>2064</v>
      </c>
      <c r="B1749" t="s">
        <v>293</v>
      </c>
      <c r="C1749" t="s">
        <v>317</v>
      </c>
      <c r="D1749">
        <v>21</v>
      </c>
      <c r="E1749">
        <v>156</v>
      </c>
      <c r="F1749">
        <v>0</v>
      </c>
      <c r="G1749">
        <v>0</v>
      </c>
      <c r="H1749">
        <v>0</v>
      </c>
      <c r="I1749">
        <v>0</v>
      </c>
      <c r="J1749">
        <v>0</v>
      </c>
      <c r="K1749">
        <v>0</v>
      </c>
      <c r="L1749">
        <v>0</v>
      </c>
      <c r="M1749">
        <v>0</v>
      </c>
      <c r="N1749">
        <v>0</v>
      </c>
      <c r="O1749">
        <v>0</v>
      </c>
    </row>
    <row r="1750" spans="1:15">
      <c r="A1750" t="s">
        <v>2065</v>
      </c>
      <c r="B1750" t="s">
        <v>293</v>
      </c>
      <c r="C1750" t="s">
        <v>317</v>
      </c>
      <c r="D1750">
        <v>22</v>
      </c>
      <c r="E1750">
        <v>156</v>
      </c>
      <c r="F1750">
        <v>0</v>
      </c>
      <c r="G1750">
        <v>0</v>
      </c>
      <c r="H1750">
        <v>0</v>
      </c>
      <c r="I1750">
        <v>0</v>
      </c>
      <c r="J1750">
        <v>0</v>
      </c>
      <c r="K1750">
        <v>0</v>
      </c>
      <c r="L1750">
        <v>0</v>
      </c>
      <c r="M1750">
        <v>0</v>
      </c>
      <c r="N1750">
        <v>0</v>
      </c>
      <c r="O1750">
        <v>0</v>
      </c>
    </row>
    <row r="1751" spans="1:15">
      <c r="A1751" t="s">
        <v>2066</v>
      </c>
      <c r="B1751" t="s">
        <v>293</v>
      </c>
      <c r="C1751" t="s">
        <v>317</v>
      </c>
      <c r="D1751">
        <v>23</v>
      </c>
      <c r="E1751">
        <v>156</v>
      </c>
      <c r="F1751">
        <v>0</v>
      </c>
      <c r="G1751">
        <v>0</v>
      </c>
      <c r="H1751">
        <v>0</v>
      </c>
      <c r="I1751">
        <v>0</v>
      </c>
      <c r="J1751">
        <v>0</v>
      </c>
      <c r="K1751">
        <v>0</v>
      </c>
      <c r="L1751">
        <v>0</v>
      </c>
      <c r="M1751">
        <v>0</v>
      </c>
      <c r="N1751">
        <v>0</v>
      </c>
      <c r="O1751">
        <v>0</v>
      </c>
    </row>
    <row r="1752" spans="1:15">
      <c r="A1752" t="s">
        <v>2067</v>
      </c>
      <c r="B1752" t="s">
        <v>293</v>
      </c>
      <c r="C1752" t="s">
        <v>317</v>
      </c>
      <c r="D1752">
        <v>24</v>
      </c>
      <c r="E1752">
        <v>156</v>
      </c>
      <c r="F1752">
        <v>0</v>
      </c>
      <c r="G1752">
        <v>0</v>
      </c>
      <c r="H1752">
        <v>0</v>
      </c>
      <c r="I1752">
        <v>0</v>
      </c>
      <c r="J1752">
        <v>0</v>
      </c>
      <c r="K1752">
        <v>0</v>
      </c>
      <c r="L1752">
        <v>0</v>
      </c>
      <c r="M1752">
        <v>0</v>
      </c>
      <c r="N1752">
        <v>0</v>
      </c>
      <c r="O1752">
        <v>0</v>
      </c>
    </row>
    <row r="1753" spans="1:15">
      <c r="A1753" t="s">
        <v>2068</v>
      </c>
      <c r="B1753" t="s">
        <v>293</v>
      </c>
      <c r="C1753" t="s">
        <v>317</v>
      </c>
      <c r="D1753">
        <v>25</v>
      </c>
      <c r="E1753">
        <v>156</v>
      </c>
      <c r="F1753">
        <v>0</v>
      </c>
      <c r="G1753">
        <v>0</v>
      </c>
      <c r="H1753">
        <v>0</v>
      </c>
      <c r="I1753">
        <v>0</v>
      </c>
      <c r="J1753">
        <v>0</v>
      </c>
      <c r="K1753">
        <v>0</v>
      </c>
      <c r="L1753">
        <v>0</v>
      </c>
      <c r="M1753">
        <v>0</v>
      </c>
      <c r="N1753">
        <v>0</v>
      </c>
      <c r="O1753">
        <v>0</v>
      </c>
    </row>
    <row r="1754" spans="1:15">
      <c r="A1754" t="s">
        <v>2069</v>
      </c>
      <c r="B1754" t="s">
        <v>293</v>
      </c>
      <c r="C1754" t="s">
        <v>317</v>
      </c>
      <c r="D1754">
        <v>26</v>
      </c>
      <c r="E1754">
        <v>156</v>
      </c>
      <c r="F1754">
        <v>0</v>
      </c>
      <c r="G1754">
        <v>0</v>
      </c>
      <c r="H1754">
        <v>0</v>
      </c>
      <c r="I1754">
        <v>0</v>
      </c>
      <c r="J1754">
        <v>0</v>
      </c>
      <c r="K1754">
        <v>0</v>
      </c>
      <c r="L1754">
        <v>0</v>
      </c>
      <c r="M1754">
        <v>0</v>
      </c>
      <c r="N1754">
        <v>0</v>
      </c>
      <c r="O1754">
        <v>0</v>
      </c>
    </row>
    <row r="1755" spans="1:15">
      <c r="A1755" t="s">
        <v>2070</v>
      </c>
      <c r="B1755" t="s">
        <v>293</v>
      </c>
      <c r="C1755" t="s">
        <v>317</v>
      </c>
      <c r="D1755">
        <v>27</v>
      </c>
      <c r="E1755">
        <v>156</v>
      </c>
      <c r="F1755">
        <v>0</v>
      </c>
      <c r="G1755">
        <v>0</v>
      </c>
      <c r="H1755">
        <v>0</v>
      </c>
      <c r="I1755">
        <v>0</v>
      </c>
      <c r="J1755">
        <v>0</v>
      </c>
      <c r="K1755">
        <v>0</v>
      </c>
      <c r="L1755">
        <v>0</v>
      </c>
      <c r="M1755">
        <v>0</v>
      </c>
      <c r="N1755">
        <v>0</v>
      </c>
      <c r="O1755">
        <v>0</v>
      </c>
    </row>
    <row r="1756" spans="1:15">
      <c r="A1756" t="s">
        <v>2071</v>
      </c>
      <c r="B1756" t="s">
        <v>293</v>
      </c>
      <c r="C1756" t="s">
        <v>317</v>
      </c>
      <c r="D1756">
        <v>28</v>
      </c>
      <c r="E1756">
        <v>156</v>
      </c>
      <c r="F1756">
        <v>0</v>
      </c>
      <c r="G1756">
        <v>0</v>
      </c>
      <c r="H1756">
        <v>0</v>
      </c>
      <c r="I1756">
        <v>0</v>
      </c>
      <c r="J1756">
        <v>0</v>
      </c>
      <c r="K1756">
        <v>0</v>
      </c>
      <c r="L1756">
        <v>0</v>
      </c>
      <c r="M1756">
        <v>0</v>
      </c>
      <c r="N1756">
        <v>0</v>
      </c>
      <c r="O1756">
        <v>0</v>
      </c>
    </row>
    <row r="1757" spans="1:15">
      <c r="A1757" t="s">
        <v>2072</v>
      </c>
      <c r="B1757" t="s">
        <v>293</v>
      </c>
      <c r="C1757" t="s">
        <v>317</v>
      </c>
      <c r="D1757">
        <v>29</v>
      </c>
      <c r="E1757">
        <v>156</v>
      </c>
      <c r="F1757">
        <v>0</v>
      </c>
      <c r="G1757">
        <v>0</v>
      </c>
      <c r="H1757">
        <v>0</v>
      </c>
      <c r="I1757">
        <v>0</v>
      </c>
      <c r="J1757">
        <v>0</v>
      </c>
      <c r="K1757">
        <v>0</v>
      </c>
      <c r="L1757">
        <v>0</v>
      </c>
      <c r="M1757">
        <v>0</v>
      </c>
      <c r="N1757">
        <v>0</v>
      </c>
      <c r="O1757">
        <v>0</v>
      </c>
    </row>
    <row r="1758" spans="1:15">
      <c r="A1758" t="s">
        <v>2073</v>
      </c>
      <c r="B1758" t="s">
        <v>293</v>
      </c>
      <c r="C1758" t="s">
        <v>317</v>
      </c>
      <c r="D1758">
        <v>30</v>
      </c>
      <c r="E1758">
        <v>156</v>
      </c>
      <c r="F1758">
        <v>0</v>
      </c>
      <c r="G1758">
        <v>0</v>
      </c>
      <c r="H1758">
        <v>0</v>
      </c>
      <c r="I1758">
        <v>0</v>
      </c>
      <c r="J1758">
        <v>0</v>
      </c>
      <c r="K1758">
        <v>0</v>
      </c>
      <c r="L1758">
        <v>0</v>
      </c>
      <c r="M1758">
        <v>0</v>
      </c>
      <c r="N1758">
        <v>0</v>
      </c>
      <c r="O1758">
        <v>0</v>
      </c>
    </row>
    <row r="1759" spans="1:15">
      <c r="A1759" t="s">
        <v>2074</v>
      </c>
      <c r="B1759" t="s">
        <v>293</v>
      </c>
      <c r="C1759" t="s">
        <v>317</v>
      </c>
      <c r="D1759">
        <v>31</v>
      </c>
      <c r="E1759">
        <v>156</v>
      </c>
      <c r="F1759">
        <v>0</v>
      </c>
      <c r="G1759">
        <v>0</v>
      </c>
      <c r="H1759">
        <v>0</v>
      </c>
      <c r="I1759">
        <v>0</v>
      </c>
      <c r="J1759">
        <v>0</v>
      </c>
      <c r="K1759">
        <v>0</v>
      </c>
      <c r="L1759">
        <v>0</v>
      </c>
      <c r="M1759">
        <v>0</v>
      </c>
      <c r="N1759">
        <v>0</v>
      </c>
      <c r="O1759">
        <v>0</v>
      </c>
    </row>
    <row r="1760" spans="1:15">
      <c r="A1760" t="s">
        <v>2075</v>
      </c>
      <c r="B1760" t="s">
        <v>293</v>
      </c>
      <c r="C1760" t="s">
        <v>317</v>
      </c>
      <c r="D1760">
        <v>32</v>
      </c>
      <c r="E1760">
        <v>156</v>
      </c>
      <c r="F1760">
        <v>0</v>
      </c>
      <c r="G1760">
        <v>0</v>
      </c>
      <c r="H1760">
        <v>0</v>
      </c>
      <c r="I1760">
        <v>0</v>
      </c>
      <c r="J1760">
        <v>0</v>
      </c>
      <c r="K1760">
        <v>0</v>
      </c>
      <c r="L1760">
        <v>0</v>
      </c>
      <c r="M1760">
        <v>0</v>
      </c>
      <c r="N1760">
        <v>0</v>
      </c>
      <c r="O1760">
        <v>0</v>
      </c>
    </row>
    <row r="1761" spans="1:15">
      <c r="A1761" t="s">
        <v>2076</v>
      </c>
      <c r="B1761" t="s">
        <v>293</v>
      </c>
      <c r="C1761" t="s">
        <v>317</v>
      </c>
      <c r="D1761">
        <v>33</v>
      </c>
      <c r="E1761">
        <v>156</v>
      </c>
      <c r="F1761">
        <v>0</v>
      </c>
      <c r="G1761">
        <v>0</v>
      </c>
      <c r="H1761">
        <v>0</v>
      </c>
      <c r="I1761">
        <v>0</v>
      </c>
      <c r="J1761">
        <v>0</v>
      </c>
      <c r="K1761">
        <v>0</v>
      </c>
      <c r="L1761">
        <v>0</v>
      </c>
      <c r="M1761">
        <v>0</v>
      </c>
      <c r="N1761">
        <v>0</v>
      </c>
      <c r="O1761">
        <v>0</v>
      </c>
    </row>
    <row r="1762" spans="1:15">
      <c r="A1762" t="s">
        <v>2077</v>
      </c>
      <c r="B1762" t="s">
        <v>293</v>
      </c>
      <c r="C1762" t="s">
        <v>317</v>
      </c>
      <c r="D1762">
        <v>34</v>
      </c>
      <c r="E1762">
        <v>156</v>
      </c>
      <c r="F1762">
        <v>0</v>
      </c>
      <c r="G1762">
        <v>0</v>
      </c>
      <c r="H1762">
        <v>0</v>
      </c>
      <c r="I1762">
        <v>0</v>
      </c>
      <c r="J1762">
        <v>0</v>
      </c>
      <c r="K1762">
        <v>0</v>
      </c>
      <c r="L1762">
        <v>0</v>
      </c>
      <c r="M1762">
        <v>0</v>
      </c>
      <c r="N1762">
        <v>0</v>
      </c>
      <c r="O1762">
        <v>0</v>
      </c>
    </row>
    <row r="1763" spans="1:15">
      <c r="A1763" t="s">
        <v>2078</v>
      </c>
      <c r="B1763" t="s">
        <v>293</v>
      </c>
      <c r="C1763" t="s">
        <v>317</v>
      </c>
      <c r="D1763">
        <v>35</v>
      </c>
      <c r="E1763">
        <v>156</v>
      </c>
      <c r="F1763">
        <v>0</v>
      </c>
      <c r="G1763">
        <v>0</v>
      </c>
      <c r="H1763">
        <v>0</v>
      </c>
      <c r="I1763">
        <v>0</v>
      </c>
      <c r="J1763">
        <v>0</v>
      </c>
      <c r="K1763">
        <v>0</v>
      </c>
      <c r="L1763">
        <v>0</v>
      </c>
      <c r="M1763">
        <v>0</v>
      </c>
      <c r="N1763">
        <v>0</v>
      </c>
      <c r="O1763">
        <v>0</v>
      </c>
    </row>
    <row r="1764" spans="1:15">
      <c r="A1764" t="s">
        <v>2079</v>
      </c>
      <c r="B1764" t="s">
        <v>293</v>
      </c>
      <c r="C1764" t="s">
        <v>317</v>
      </c>
      <c r="D1764">
        <v>36</v>
      </c>
      <c r="E1764">
        <v>156</v>
      </c>
      <c r="F1764">
        <v>0</v>
      </c>
      <c r="G1764">
        <v>0</v>
      </c>
      <c r="H1764">
        <v>0</v>
      </c>
      <c r="I1764">
        <v>0</v>
      </c>
      <c r="J1764">
        <v>0</v>
      </c>
      <c r="K1764">
        <v>0</v>
      </c>
      <c r="L1764">
        <v>0</v>
      </c>
      <c r="M1764">
        <v>0</v>
      </c>
      <c r="N1764">
        <v>0</v>
      </c>
      <c r="O1764">
        <v>0</v>
      </c>
    </row>
    <row r="1765" spans="1:15">
      <c r="A1765" t="s">
        <v>2080</v>
      </c>
      <c r="B1765" t="s">
        <v>293</v>
      </c>
      <c r="C1765" t="s">
        <v>317</v>
      </c>
      <c r="D1765">
        <v>37</v>
      </c>
      <c r="E1765">
        <v>156</v>
      </c>
      <c r="F1765">
        <v>0</v>
      </c>
      <c r="G1765">
        <v>0</v>
      </c>
      <c r="H1765">
        <v>0</v>
      </c>
      <c r="I1765">
        <v>0</v>
      </c>
      <c r="J1765">
        <v>0</v>
      </c>
      <c r="K1765">
        <v>0</v>
      </c>
      <c r="L1765">
        <v>0</v>
      </c>
      <c r="M1765">
        <v>0</v>
      </c>
      <c r="N1765">
        <v>0</v>
      </c>
      <c r="O1765">
        <v>0</v>
      </c>
    </row>
    <row r="1766" spans="1:15">
      <c r="A1766" t="s">
        <v>2081</v>
      </c>
      <c r="B1766" t="s">
        <v>293</v>
      </c>
      <c r="C1766" t="s">
        <v>317</v>
      </c>
      <c r="D1766">
        <v>38</v>
      </c>
      <c r="E1766">
        <v>156</v>
      </c>
      <c r="F1766">
        <v>0</v>
      </c>
      <c r="G1766">
        <v>0</v>
      </c>
      <c r="H1766">
        <v>0</v>
      </c>
      <c r="I1766">
        <v>0</v>
      </c>
      <c r="J1766">
        <v>0</v>
      </c>
      <c r="K1766">
        <v>0</v>
      </c>
      <c r="L1766">
        <v>0</v>
      </c>
      <c r="M1766">
        <v>0</v>
      </c>
      <c r="N1766">
        <v>0</v>
      </c>
      <c r="O1766">
        <v>0</v>
      </c>
    </row>
    <row r="1767" spans="1:15">
      <c r="A1767" t="s">
        <v>2082</v>
      </c>
      <c r="B1767" t="s">
        <v>293</v>
      </c>
      <c r="C1767" t="s">
        <v>317</v>
      </c>
      <c r="D1767">
        <v>39</v>
      </c>
      <c r="E1767">
        <v>156</v>
      </c>
      <c r="F1767">
        <v>0</v>
      </c>
      <c r="G1767">
        <v>0</v>
      </c>
      <c r="H1767">
        <v>0</v>
      </c>
      <c r="I1767">
        <v>0</v>
      </c>
      <c r="J1767">
        <v>0</v>
      </c>
      <c r="K1767">
        <v>0</v>
      </c>
      <c r="L1767">
        <v>0</v>
      </c>
      <c r="M1767">
        <v>0</v>
      </c>
      <c r="N1767">
        <v>0</v>
      </c>
      <c r="O1767">
        <v>0</v>
      </c>
    </row>
    <row r="1768" spans="1:15">
      <c r="A1768" t="s">
        <v>2083</v>
      </c>
      <c r="B1768" t="s">
        <v>293</v>
      </c>
      <c r="C1768" t="s">
        <v>317</v>
      </c>
      <c r="D1768">
        <v>40</v>
      </c>
      <c r="E1768">
        <v>156</v>
      </c>
      <c r="F1768">
        <v>0</v>
      </c>
      <c r="G1768">
        <v>0</v>
      </c>
      <c r="H1768">
        <v>0</v>
      </c>
      <c r="I1768">
        <v>0</v>
      </c>
      <c r="J1768">
        <v>0</v>
      </c>
      <c r="K1768">
        <v>0</v>
      </c>
      <c r="L1768">
        <v>0</v>
      </c>
      <c r="M1768">
        <v>0</v>
      </c>
      <c r="N1768">
        <v>0</v>
      </c>
      <c r="O1768">
        <v>0</v>
      </c>
    </row>
    <row r="1769" spans="1:15">
      <c r="A1769" t="s">
        <v>2084</v>
      </c>
      <c r="B1769" t="s">
        <v>293</v>
      </c>
      <c r="C1769" t="s">
        <v>317</v>
      </c>
      <c r="D1769">
        <v>41</v>
      </c>
      <c r="E1769">
        <v>156</v>
      </c>
      <c r="F1769">
        <v>0</v>
      </c>
      <c r="G1769">
        <v>0</v>
      </c>
      <c r="H1769">
        <v>0</v>
      </c>
      <c r="I1769">
        <v>0</v>
      </c>
      <c r="J1769">
        <v>0</v>
      </c>
      <c r="K1769">
        <v>0</v>
      </c>
      <c r="L1769">
        <v>0</v>
      </c>
      <c r="M1769">
        <v>0</v>
      </c>
      <c r="N1769">
        <v>0</v>
      </c>
      <c r="O1769">
        <v>0</v>
      </c>
    </row>
    <row r="1770" spans="1:15">
      <c r="A1770" t="s">
        <v>2085</v>
      </c>
      <c r="B1770" t="s">
        <v>293</v>
      </c>
      <c r="C1770" t="s">
        <v>317</v>
      </c>
      <c r="D1770">
        <v>42</v>
      </c>
      <c r="E1770">
        <v>156</v>
      </c>
      <c r="F1770">
        <v>0</v>
      </c>
      <c r="G1770">
        <v>0</v>
      </c>
      <c r="H1770">
        <v>0</v>
      </c>
      <c r="I1770">
        <v>0</v>
      </c>
      <c r="J1770">
        <v>0</v>
      </c>
      <c r="K1770">
        <v>0</v>
      </c>
      <c r="L1770">
        <v>0</v>
      </c>
      <c r="M1770">
        <v>0</v>
      </c>
      <c r="N1770">
        <v>0</v>
      </c>
      <c r="O1770">
        <v>0</v>
      </c>
    </row>
    <row r="1771" spans="1:15">
      <c r="A1771" t="s">
        <v>2086</v>
      </c>
      <c r="B1771" t="s">
        <v>293</v>
      </c>
      <c r="C1771" t="s">
        <v>317</v>
      </c>
      <c r="D1771">
        <v>43</v>
      </c>
      <c r="E1771">
        <v>156</v>
      </c>
      <c r="F1771">
        <v>0</v>
      </c>
      <c r="G1771">
        <v>0</v>
      </c>
      <c r="H1771">
        <v>0</v>
      </c>
      <c r="I1771">
        <v>0</v>
      </c>
      <c r="J1771">
        <v>0</v>
      </c>
      <c r="K1771">
        <v>0</v>
      </c>
      <c r="L1771">
        <v>0</v>
      </c>
      <c r="M1771">
        <v>0</v>
      </c>
      <c r="N1771">
        <v>0</v>
      </c>
      <c r="O1771">
        <v>0</v>
      </c>
    </row>
    <row r="1772" spans="1:15">
      <c r="A1772" t="s">
        <v>2087</v>
      </c>
      <c r="B1772" t="s">
        <v>293</v>
      </c>
      <c r="C1772" t="s">
        <v>317</v>
      </c>
      <c r="D1772">
        <v>44</v>
      </c>
      <c r="E1772">
        <v>156</v>
      </c>
      <c r="F1772">
        <v>0</v>
      </c>
      <c r="G1772">
        <v>0</v>
      </c>
      <c r="H1772">
        <v>0</v>
      </c>
      <c r="I1772">
        <v>0</v>
      </c>
      <c r="J1772">
        <v>0</v>
      </c>
      <c r="K1772">
        <v>0</v>
      </c>
      <c r="L1772">
        <v>0</v>
      </c>
      <c r="M1772">
        <v>0</v>
      </c>
      <c r="N1772">
        <v>0</v>
      </c>
      <c r="O1772">
        <v>0</v>
      </c>
    </row>
    <row r="1773" spans="1:15">
      <c r="A1773" t="s">
        <v>2088</v>
      </c>
      <c r="B1773" t="s">
        <v>293</v>
      </c>
      <c r="C1773" t="s">
        <v>317</v>
      </c>
      <c r="D1773">
        <v>45</v>
      </c>
      <c r="E1773">
        <v>156</v>
      </c>
      <c r="F1773">
        <v>0</v>
      </c>
      <c r="G1773">
        <v>0</v>
      </c>
      <c r="H1773">
        <v>0</v>
      </c>
      <c r="I1773">
        <v>0</v>
      </c>
      <c r="J1773">
        <v>0</v>
      </c>
      <c r="K1773">
        <v>0</v>
      </c>
      <c r="L1773">
        <v>0</v>
      </c>
      <c r="M1773">
        <v>0</v>
      </c>
      <c r="N1773">
        <v>0</v>
      </c>
      <c r="O1773">
        <v>0</v>
      </c>
    </row>
    <row r="1774" spans="1:15">
      <c r="A1774" t="s">
        <v>2089</v>
      </c>
      <c r="B1774" t="s">
        <v>293</v>
      </c>
      <c r="C1774" t="s">
        <v>317</v>
      </c>
      <c r="D1774">
        <v>46</v>
      </c>
      <c r="E1774">
        <v>156</v>
      </c>
      <c r="F1774">
        <v>0</v>
      </c>
      <c r="G1774">
        <v>0</v>
      </c>
      <c r="H1774">
        <v>0</v>
      </c>
      <c r="I1774">
        <v>0</v>
      </c>
      <c r="J1774">
        <v>0</v>
      </c>
      <c r="K1774">
        <v>0</v>
      </c>
      <c r="L1774">
        <v>0</v>
      </c>
      <c r="M1774">
        <v>0</v>
      </c>
      <c r="N1774">
        <v>0</v>
      </c>
      <c r="O1774">
        <v>0</v>
      </c>
    </row>
    <row r="1775" spans="1:15">
      <c r="A1775" t="s">
        <v>2090</v>
      </c>
      <c r="B1775" t="s">
        <v>293</v>
      </c>
      <c r="C1775" t="s">
        <v>317</v>
      </c>
      <c r="D1775">
        <v>47</v>
      </c>
      <c r="E1775">
        <v>156</v>
      </c>
      <c r="F1775">
        <v>0</v>
      </c>
      <c r="G1775">
        <v>0</v>
      </c>
      <c r="H1775">
        <v>0</v>
      </c>
      <c r="I1775">
        <v>0</v>
      </c>
      <c r="J1775">
        <v>0</v>
      </c>
      <c r="K1775">
        <v>0</v>
      </c>
      <c r="L1775">
        <v>0</v>
      </c>
      <c r="M1775">
        <v>0</v>
      </c>
      <c r="N1775">
        <v>0</v>
      </c>
      <c r="O1775">
        <v>0</v>
      </c>
    </row>
    <row r="1776" spans="1:15">
      <c r="A1776" t="s">
        <v>2091</v>
      </c>
      <c r="B1776" t="s">
        <v>293</v>
      </c>
      <c r="C1776" t="s">
        <v>317</v>
      </c>
      <c r="D1776">
        <v>48</v>
      </c>
      <c r="E1776">
        <v>156</v>
      </c>
      <c r="F1776">
        <v>0</v>
      </c>
      <c r="G1776">
        <v>0</v>
      </c>
      <c r="H1776">
        <v>0</v>
      </c>
      <c r="I1776">
        <v>0</v>
      </c>
      <c r="J1776">
        <v>0</v>
      </c>
      <c r="K1776">
        <v>0</v>
      </c>
      <c r="L1776">
        <v>0</v>
      </c>
      <c r="M1776">
        <v>0</v>
      </c>
      <c r="N1776">
        <v>0</v>
      </c>
      <c r="O1776">
        <v>0</v>
      </c>
    </row>
    <row r="1777" spans="1:15">
      <c r="A1777" t="s">
        <v>2092</v>
      </c>
      <c r="B1777" t="s">
        <v>293</v>
      </c>
      <c r="C1777" t="s">
        <v>317</v>
      </c>
      <c r="D1777">
        <v>49</v>
      </c>
      <c r="E1777">
        <v>156</v>
      </c>
      <c r="F1777">
        <v>0</v>
      </c>
      <c r="G1777">
        <v>0</v>
      </c>
      <c r="H1777">
        <v>0</v>
      </c>
      <c r="I1777">
        <v>0</v>
      </c>
      <c r="J1777">
        <v>0</v>
      </c>
      <c r="K1777">
        <v>0</v>
      </c>
      <c r="L1777">
        <v>0</v>
      </c>
      <c r="M1777">
        <v>0</v>
      </c>
      <c r="N1777">
        <v>0</v>
      </c>
      <c r="O1777">
        <v>0</v>
      </c>
    </row>
    <row r="1778" spans="1:15">
      <c r="A1778" t="s">
        <v>2093</v>
      </c>
      <c r="B1778" t="s">
        <v>293</v>
      </c>
      <c r="C1778" t="s">
        <v>317</v>
      </c>
      <c r="D1778">
        <v>50</v>
      </c>
      <c r="E1778">
        <v>156</v>
      </c>
      <c r="F1778">
        <v>0</v>
      </c>
      <c r="G1778">
        <v>0</v>
      </c>
      <c r="H1778">
        <v>0</v>
      </c>
      <c r="I1778">
        <v>0</v>
      </c>
      <c r="J1778">
        <v>0</v>
      </c>
      <c r="K1778">
        <v>0</v>
      </c>
      <c r="L1778">
        <v>0</v>
      </c>
      <c r="M1778">
        <v>0</v>
      </c>
      <c r="N1778">
        <v>0</v>
      </c>
      <c r="O1778">
        <v>0</v>
      </c>
    </row>
    <row r="1779" spans="1:15">
      <c r="A1779" t="s">
        <v>2094</v>
      </c>
      <c r="B1779" t="s">
        <v>293</v>
      </c>
      <c r="C1779" t="s">
        <v>317</v>
      </c>
      <c r="D1779">
        <v>51</v>
      </c>
      <c r="E1779">
        <v>156</v>
      </c>
      <c r="F1779">
        <v>0</v>
      </c>
      <c r="G1779">
        <v>0</v>
      </c>
      <c r="H1779">
        <v>0</v>
      </c>
      <c r="I1779">
        <v>0</v>
      </c>
      <c r="J1779">
        <v>0</v>
      </c>
      <c r="K1779">
        <v>0</v>
      </c>
      <c r="L1779">
        <v>0</v>
      </c>
      <c r="M1779">
        <v>0</v>
      </c>
      <c r="N1779">
        <v>0</v>
      </c>
      <c r="O1779">
        <v>0</v>
      </c>
    </row>
    <row r="1780" spans="1:15">
      <c r="A1780" t="s">
        <v>2095</v>
      </c>
      <c r="B1780" t="s">
        <v>293</v>
      </c>
      <c r="C1780" t="s">
        <v>317</v>
      </c>
      <c r="D1780">
        <v>52</v>
      </c>
      <c r="E1780">
        <v>156</v>
      </c>
      <c r="F1780">
        <v>0</v>
      </c>
      <c r="G1780">
        <v>0</v>
      </c>
      <c r="H1780">
        <v>0</v>
      </c>
      <c r="I1780">
        <v>0</v>
      </c>
      <c r="J1780">
        <v>0</v>
      </c>
      <c r="K1780">
        <v>0</v>
      </c>
      <c r="L1780">
        <v>0</v>
      </c>
      <c r="M1780">
        <v>0</v>
      </c>
      <c r="N1780">
        <v>0</v>
      </c>
      <c r="O1780">
        <v>0</v>
      </c>
    </row>
    <row r="1781" spans="1:15">
      <c r="A1781" t="s">
        <v>2096</v>
      </c>
      <c r="B1781" t="s">
        <v>293</v>
      </c>
      <c r="C1781" t="s">
        <v>317</v>
      </c>
      <c r="D1781">
        <v>53</v>
      </c>
      <c r="E1781">
        <v>156</v>
      </c>
      <c r="F1781">
        <v>0</v>
      </c>
      <c r="G1781">
        <v>0</v>
      </c>
      <c r="H1781">
        <v>0</v>
      </c>
      <c r="I1781">
        <v>0</v>
      </c>
      <c r="J1781">
        <v>0</v>
      </c>
      <c r="K1781">
        <v>0</v>
      </c>
      <c r="L1781">
        <v>0</v>
      </c>
      <c r="M1781">
        <v>0</v>
      </c>
      <c r="N1781">
        <v>0</v>
      </c>
      <c r="O1781">
        <v>0</v>
      </c>
    </row>
    <row r="1782" spans="1:15">
      <c r="A1782" t="s">
        <v>2097</v>
      </c>
      <c r="B1782" t="s">
        <v>293</v>
      </c>
      <c r="C1782" t="s">
        <v>317</v>
      </c>
      <c r="D1782">
        <v>54</v>
      </c>
      <c r="E1782">
        <v>156</v>
      </c>
      <c r="F1782">
        <v>0</v>
      </c>
      <c r="G1782">
        <v>0</v>
      </c>
      <c r="H1782">
        <v>0</v>
      </c>
      <c r="I1782">
        <v>0</v>
      </c>
      <c r="J1782">
        <v>0</v>
      </c>
      <c r="K1782">
        <v>0</v>
      </c>
      <c r="L1782">
        <v>0</v>
      </c>
      <c r="M1782">
        <v>0</v>
      </c>
      <c r="N1782">
        <v>0</v>
      </c>
      <c r="O1782">
        <v>0</v>
      </c>
    </row>
    <row r="1783" spans="1:15">
      <c r="A1783" t="s">
        <v>2098</v>
      </c>
      <c r="B1783" t="s">
        <v>293</v>
      </c>
      <c r="C1783" t="s">
        <v>317</v>
      </c>
      <c r="D1783">
        <v>55</v>
      </c>
      <c r="E1783">
        <v>156</v>
      </c>
      <c r="F1783">
        <v>0</v>
      </c>
      <c r="G1783">
        <v>0</v>
      </c>
      <c r="H1783">
        <v>0</v>
      </c>
      <c r="I1783">
        <v>0</v>
      </c>
      <c r="J1783">
        <v>0</v>
      </c>
      <c r="K1783">
        <v>0</v>
      </c>
      <c r="L1783">
        <v>0</v>
      </c>
      <c r="M1783">
        <v>0</v>
      </c>
      <c r="N1783">
        <v>0</v>
      </c>
      <c r="O1783">
        <v>0</v>
      </c>
    </row>
    <row r="1784" spans="1:15">
      <c r="A1784" t="s">
        <v>2099</v>
      </c>
      <c r="B1784" t="s">
        <v>293</v>
      </c>
      <c r="C1784" t="s">
        <v>317</v>
      </c>
      <c r="D1784">
        <v>56</v>
      </c>
      <c r="E1784">
        <v>156</v>
      </c>
      <c r="F1784">
        <v>0</v>
      </c>
      <c r="G1784">
        <v>0</v>
      </c>
      <c r="H1784">
        <v>0</v>
      </c>
      <c r="I1784">
        <v>0</v>
      </c>
      <c r="J1784">
        <v>0</v>
      </c>
      <c r="K1784">
        <v>0</v>
      </c>
      <c r="L1784">
        <v>0</v>
      </c>
      <c r="M1784">
        <v>0</v>
      </c>
      <c r="N1784">
        <v>0</v>
      </c>
      <c r="O1784">
        <v>0</v>
      </c>
    </row>
    <row r="1785" spans="1:15">
      <c r="A1785" t="s">
        <v>2100</v>
      </c>
      <c r="B1785" t="s">
        <v>293</v>
      </c>
      <c r="C1785" t="s">
        <v>317</v>
      </c>
      <c r="D1785">
        <v>57</v>
      </c>
      <c r="E1785">
        <v>156</v>
      </c>
      <c r="F1785">
        <v>0</v>
      </c>
      <c r="G1785">
        <v>0</v>
      </c>
      <c r="H1785">
        <v>0</v>
      </c>
      <c r="I1785">
        <v>0</v>
      </c>
      <c r="J1785">
        <v>0</v>
      </c>
      <c r="K1785">
        <v>0</v>
      </c>
      <c r="L1785">
        <v>0</v>
      </c>
      <c r="M1785">
        <v>0</v>
      </c>
      <c r="N1785">
        <v>0</v>
      </c>
      <c r="O1785">
        <v>0</v>
      </c>
    </row>
    <row r="1786" spans="1:15">
      <c r="A1786" t="s">
        <v>2101</v>
      </c>
      <c r="B1786" t="s">
        <v>293</v>
      </c>
      <c r="C1786" t="s">
        <v>317</v>
      </c>
      <c r="D1786">
        <v>58</v>
      </c>
      <c r="E1786">
        <v>156</v>
      </c>
      <c r="F1786">
        <v>0</v>
      </c>
      <c r="G1786">
        <v>0</v>
      </c>
      <c r="H1786">
        <v>0</v>
      </c>
      <c r="I1786">
        <v>0</v>
      </c>
      <c r="J1786">
        <v>0</v>
      </c>
      <c r="K1786">
        <v>0</v>
      </c>
      <c r="L1786">
        <v>0</v>
      </c>
      <c r="M1786">
        <v>0</v>
      </c>
      <c r="N1786">
        <v>0</v>
      </c>
      <c r="O1786">
        <v>0</v>
      </c>
    </row>
    <row r="1787" spans="1:15">
      <c r="A1787" t="s">
        <v>2102</v>
      </c>
      <c r="B1787" t="s">
        <v>293</v>
      </c>
      <c r="C1787" t="s">
        <v>317</v>
      </c>
      <c r="D1787">
        <v>59</v>
      </c>
      <c r="E1787">
        <v>156</v>
      </c>
      <c r="F1787">
        <v>0</v>
      </c>
      <c r="G1787">
        <v>0</v>
      </c>
      <c r="H1787">
        <v>0</v>
      </c>
      <c r="I1787">
        <v>0</v>
      </c>
      <c r="J1787">
        <v>0</v>
      </c>
      <c r="K1787">
        <v>0</v>
      </c>
      <c r="L1787">
        <v>0</v>
      </c>
      <c r="M1787">
        <v>0</v>
      </c>
      <c r="N1787">
        <v>0</v>
      </c>
      <c r="O1787">
        <v>0</v>
      </c>
    </row>
    <row r="1788" spans="1:15">
      <c r="A1788" t="s">
        <v>2103</v>
      </c>
      <c r="B1788" t="s">
        <v>293</v>
      </c>
      <c r="C1788" t="s">
        <v>317</v>
      </c>
      <c r="D1788">
        <v>60</v>
      </c>
      <c r="E1788">
        <v>156</v>
      </c>
      <c r="F1788">
        <v>0</v>
      </c>
      <c r="G1788">
        <v>0</v>
      </c>
      <c r="H1788">
        <v>0</v>
      </c>
      <c r="I1788">
        <v>0</v>
      </c>
      <c r="J1788">
        <v>0</v>
      </c>
      <c r="K1788">
        <v>0</v>
      </c>
      <c r="L1788">
        <v>0</v>
      </c>
      <c r="M1788">
        <v>0</v>
      </c>
      <c r="N1788">
        <v>0</v>
      </c>
      <c r="O1788">
        <v>0</v>
      </c>
    </row>
    <row r="1789" spans="1:15">
      <c r="A1789" t="s">
        <v>2104</v>
      </c>
      <c r="B1789" t="s">
        <v>293</v>
      </c>
      <c r="C1789" t="s">
        <v>317</v>
      </c>
      <c r="D1789">
        <v>61</v>
      </c>
      <c r="E1789">
        <v>156</v>
      </c>
      <c r="F1789">
        <v>0</v>
      </c>
      <c r="G1789">
        <v>0</v>
      </c>
      <c r="H1789">
        <v>0</v>
      </c>
      <c r="I1789">
        <v>0</v>
      </c>
      <c r="J1789">
        <v>0</v>
      </c>
      <c r="K1789">
        <v>0</v>
      </c>
      <c r="L1789">
        <v>0</v>
      </c>
      <c r="M1789">
        <v>0</v>
      </c>
      <c r="N1789">
        <v>0</v>
      </c>
      <c r="O1789">
        <v>0</v>
      </c>
    </row>
    <row r="1790" spans="1:15">
      <c r="A1790" t="s">
        <v>2105</v>
      </c>
      <c r="B1790" t="s">
        <v>293</v>
      </c>
      <c r="C1790" t="s">
        <v>317</v>
      </c>
      <c r="D1790">
        <v>62</v>
      </c>
      <c r="E1790">
        <v>156</v>
      </c>
      <c r="F1790">
        <v>0</v>
      </c>
      <c r="G1790">
        <v>0</v>
      </c>
      <c r="H1790">
        <v>0</v>
      </c>
      <c r="I1790">
        <v>0</v>
      </c>
      <c r="J1790">
        <v>0</v>
      </c>
      <c r="K1790">
        <v>0</v>
      </c>
      <c r="L1790">
        <v>0</v>
      </c>
      <c r="M1790">
        <v>0</v>
      </c>
      <c r="N1790">
        <v>0</v>
      </c>
      <c r="O1790">
        <v>0</v>
      </c>
    </row>
    <row r="1791" spans="1:15">
      <c r="A1791" t="s">
        <v>2106</v>
      </c>
      <c r="B1791" t="s">
        <v>293</v>
      </c>
      <c r="C1791" t="s">
        <v>317</v>
      </c>
      <c r="D1791">
        <v>63</v>
      </c>
      <c r="E1791">
        <v>156</v>
      </c>
      <c r="F1791">
        <v>0</v>
      </c>
      <c r="G1791">
        <v>0</v>
      </c>
      <c r="H1791">
        <v>0</v>
      </c>
      <c r="I1791">
        <v>0</v>
      </c>
      <c r="J1791">
        <v>0</v>
      </c>
      <c r="K1791">
        <v>0</v>
      </c>
      <c r="L1791">
        <v>0</v>
      </c>
      <c r="M1791">
        <v>0</v>
      </c>
      <c r="N1791">
        <v>0</v>
      </c>
      <c r="O1791">
        <v>0</v>
      </c>
    </row>
    <row r="1792" spans="1:15">
      <c r="A1792" t="s">
        <v>2107</v>
      </c>
      <c r="B1792" t="s">
        <v>293</v>
      </c>
      <c r="C1792" t="s">
        <v>317</v>
      </c>
      <c r="D1792">
        <v>64</v>
      </c>
      <c r="E1792">
        <v>156</v>
      </c>
      <c r="F1792">
        <v>0</v>
      </c>
      <c r="G1792">
        <v>0</v>
      </c>
      <c r="H1792">
        <v>0</v>
      </c>
      <c r="I1792">
        <v>0</v>
      </c>
      <c r="J1792">
        <v>0</v>
      </c>
      <c r="K1792">
        <v>0</v>
      </c>
      <c r="L1792">
        <v>0</v>
      </c>
      <c r="M1792">
        <v>0</v>
      </c>
      <c r="N1792">
        <v>0</v>
      </c>
      <c r="O1792">
        <v>0</v>
      </c>
    </row>
    <row r="1793" spans="1:15">
      <c r="A1793" t="s">
        <v>2108</v>
      </c>
      <c r="B1793" t="s">
        <v>293</v>
      </c>
      <c r="C1793" t="s">
        <v>317</v>
      </c>
      <c r="D1793">
        <v>65</v>
      </c>
      <c r="E1793">
        <v>156</v>
      </c>
      <c r="F1793">
        <v>0</v>
      </c>
      <c r="G1793">
        <v>0</v>
      </c>
      <c r="H1793">
        <v>0</v>
      </c>
      <c r="I1793">
        <v>0</v>
      </c>
      <c r="J1793">
        <v>0</v>
      </c>
      <c r="K1793">
        <v>0</v>
      </c>
      <c r="L1793">
        <v>0</v>
      </c>
      <c r="M1793">
        <v>0</v>
      </c>
      <c r="N1793">
        <v>0</v>
      </c>
      <c r="O1793">
        <v>0</v>
      </c>
    </row>
    <row r="1794" spans="1:15">
      <c r="A1794" t="s">
        <v>2109</v>
      </c>
      <c r="B1794" t="s">
        <v>293</v>
      </c>
      <c r="C1794" t="s">
        <v>317</v>
      </c>
      <c r="D1794">
        <v>66</v>
      </c>
      <c r="E1794">
        <v>156</v>
      </c>
      <c r="F1794">
        <v>0</v>
      </c>
      <c r="G1794">
        <v>0</v>
      </c>
      <c r="H1794">
        <v>0</v>
      </c>
      <c r="I1794">
        <v>0</v>
      </c>
      <c r="J1794">
        <v>0</v>
      </c>
      <c r="K1794">
        <v>0</v>
      </c>
      <c r="L1794">
        <v>0</v>
      </c>
      <c r="M1794">
        <v>0</v>
      </c>
      <c r="N1794">
        <v>0</v>
      </c>
      <c r="O1794">
        <v>0</v>
      </c>
    </row>
    <row r="1795" spans="1:15">
      <c r="A1795" t="s">
        <v>2110</v>
      </c>
      <c r="B1795" t="s">
        <v>293</v>
      </c>
      <c r="C1795" t="s">
        <v>317</v>
      </c>
      <c r="D1795">
        <v>67</v>
      </c>
      <c r="E1795">
        <v>156</v>
      </c>
      <c r="F1795">
        <v>0</v>
      </c>
      <c r="G1795">
        <v>0</v>
      </c>
      <c r="H1795">
        <v>0</v>
      </c>
      <c r="I1795">
        <v>0</v>
      </c>
      <c r="J1795">
        <v>0</v>
      </c>
      <c r="K1795">
        <v>0</v>
      </c>
      <c r="L1795">
        <v>0</v>
      </c>
      <c r="M1795">
        <v>0</v>
      </c>
      <c r="N1795">
        <v>0</v>
      </c>
      <c r="O1795">
        <v>0</v>
      </c>
    </row>
    <row r="1796" spans="1:15">
      <c r="A1796" t="s">
        <v>2111</v>
      </c>
      <c r="B1796" t="s">
        <v>293</v>
      </c>
      <c r="C1796" t="s">
        <v>317</v>
      </c>
      <c r="D1796">
        <v>68</v>
      </c>
      <c r="E1796">
        <v>156</v>
      </c>
      <c r="F1796">
        <v>0</v>
      </c>
      <c r="G1796">
        <v>0</v>
      </c>
      <c r="H1796">
        <v>0</v>
      </c>
      <c r="I1796">
        <v>0</v>
      </c>
      <c r="J1796">
        <v>0</v>
      </c>
      <c r="K1796">
        <v>0</v>
      </c>
      <c r="L1796">
        <v>0</v>
      </c>
      <c r="M1796">
        <v>0</v>
      </c>
      <c r="N1796">
        <v>0</v>
      </c>
      <c r="O1796">
        <v>0</v>
      </c>
    </row>
    <row r="1797" spans="1:15">
      <c r="A1797" t="s">
        <v>2112</v>
      </c>
      <c r="B1797" t="s">
        <v>293</v>
      </c>
      <c r="C1797" t="s">
        <v>317</v>
      </c>
      <c r="D1797">
        <v>69</v>
      </c>
      <c r="E1797">
        <v>156</v>
      </c>
      <c r="F1797">
        <v>0</v>
      </c>
      <c r="G1797">
        <v>0</v>
      </c>
      <c r="H1797">
        <v>0</v>
      </c>
      <c r="I1797">
        <v>0</v>
      </c>
      <c r="J1797">
        <v>0</v>
      </c>
      <c r="K1797">
        <v>0</v>
      </c>
      <c r="L1797">
        <v>0</v>
      </c>
      <c r="M1797">
        <v>0</v>
      </c>
      <c r="N1797">
        <v>0</v>
      </c>
      <c r="O1797">
        <v>0</v>
      </c>
    </row>
    <row r="1798" spans="1:15">
      <c r="A1798" t="s">
        <v>2113</v>
      </c>
      <c r="B1798" t="s">
        <v>293</v>
      </c>
      <c r="C1798" t="s">
        <v>317</v>
      </c>
      <c r="D1798">
        <v>70</v>
      </c>
      <c r="E1798">
        <v>156</v>
      </c>
      <c r="F1798">
        <v>0</v>
      </c>
      <c r="G1798">
        <v>0</v>
      </c>
      <c r="H1798">
        <v>0</v>
      </c>
      <c r="I1798">
        <v>0</v>
      </c>
      <c r="J1798">
        <v>0</v>
      </c>
      <c r="K1798">
        <v>0</v>
      </c>
      <c r="L1798">
        <v>0</v>
      </c>
      <c r="M1798">
        <v>0</v>
      </c>
      <c r="N1798">
        <v>0</v>
      </c>
      <c r="O1798">
        <v>0</v>
      </c>
    </row>
    <row r="1799" spans="1:15">
      <c r="A1799" t="s">
        <v>2114</v>
      </c>
      <c r="B1799" t="s">
        <v>293</v>
      </c>
      <c r="C1799" t="s">
        <v>317</v>
      </c>
      <c r="D1799">
        <v>71</v>
      </c>
      <c r="E1799">
        <v>156</v>
      </c>
      <c r="F1799">
        <v>0</v>
      </c>
      <c r="G1799">
        <v>0</v>
      </c>
      <c r="H1799">
        <v>0</v>
      </c>
      <c r="I1799">
        <v>0</v>
      </c>
      <c r="J1799">
        <v>0</v>
      </c>
      <c r="K1799">
        <v>0</v>
      </c>
      <c r="L1799">
        <v>0</v>
      </c>
      <c r="M1799">
        <v>0</v>
      </c>
      <c r="N1799">
        <v>0</v>
      </c>
      <c r="O1799">
        <v>0</v>
      </c>
    </row>
    <row r="1800" spans="1:15">
      <c r="A1800" t="s">
        <v>2115</v>
      </c>
      <c r="B1800" t="s">
        <v>293</v>
      </c>
      <c r="C1800" t="s">
        <v>317</v>
      </c>
      <c r="D1800">
        <v>72</v>
      </c>
      <c r="E1800">
        <v>156</v>
      </c>
      <c r="F1800">
        <v>0</v>
      </c>
      <c r="G1800">
        <v>0</v>
      </c>
      <c r="H1800">
        <v>0</v>
      </c>
      <c r="I1800">
        <v>0</v>
      </c>
      <c r="J1800">
        <v>0</v>
      </c>
      <c r="K1800">
        <v>0</v>
      </c>
      <c r="L1800">
        <v>0</v>
      </c>
      <c r="M1800">
        <v>0</v>
      </c>
      <c r="N1800">
        <v>0</v>
      </c>
      <c r="O1800">
        <v>0</v>
      </c>
    </row>
    <row r="1801" spans="1:15">
      <c r="A1801" t="s">
        <v>2116</v>
      </c>
      <c r="B1801" t="s">
        <v>293</v>
      </c>
      <c r="C1801" t="s">
        <v>317</v>
      </c>
      <c r="D1801">
        <v>73</v>
      </c>
      <c r="E1801">
        <v>156</v>
      </c>
      <c r="F1801">
        <v>0</v>
      </c>
      <c r="G1801">
        <v>0</v>
      </c>
      <c r="H1801">
        <v>0</v>
      </c>
      <c r="I1801">
        <v>0</v>
      </c>
      <c r="J1801">
        <v>0</v>
      </c>
      <c r="K1801">
        <v>0</v>
      </c>
      <c r="L1801">
        <v>0</v>
      </c>
      <c r="M1801">
        <v>0</v>
      </c>
      <c r="N1801">
        <v>0</v>
      </c>
      <c r="O1801">
        <v>0</v>
      </c>
    </row>
    <row r="1802" spans="1:15">
      <c r="A1802" t="s">
        <v>2117</v>
      </c>
      <c r="B1802" t="s">
        <v>293</v>
      </c>
      <c r="C1802" t="s">
        <v>317</v>
      </c>
      <c r="D1802">
        <v>74</v>
      </c>
      <c r="E1802">
        <v>156</v>
      </c>
      <c r="F1802">
        <v>0</v>
      </c>
      <c r="G1802">
        <v>0</v>
      </c>
      <c r="H1802">
        <v>0</v>
      </c>
      <c r="I1802">
        <v>0</v>
      </c>
      <c r="J1802">
        <v>0</v>
      </c>
      <c r="K1802">
        <v>0</v>
      </c>
      <c r="L1802">
        <v>0</v>
      </c>
      <c r="M1802">
        <v>0</v>
      </c>
      <c r="N1802">
        <v>0</v>
      </c>
      <c r="O1802">
        <v>0</v>
      </c>
    </row>
    <row r="1803" spans="1:15">
      <c r="A1803" t="s">
        <v>2118</v>
      </c>
      <c r="B1803" t="s">
        <v>293</v>
      </c>
      <c r="C1803" t="s">
        <v>317</v>
      </c>
      <c r="D1803">
        <v>75</v>
      </c>
      <c r="E1803">
        <v>156</v>
      </c>
      <c r="F1803">
        <v>0</v>
      </c>
      <c r="G1803">
        <v>0</v>
      </c>
      <c r="H1803">
        <v>0</v>
      </c>
      <c r="I1803">
        <v>0</v>
      </c>
      <c r="J1803">
        <v>0</v>
      </c>
      <c r="K1803">
        <v>0</v>
      </c>
      <c r="L1803">
        <v>0</v>
      </c>
      <c r="M1803">
        <v>0</v>
      </c>
      <c r="N1803">
        <v>0</v>
      </c>
      <c r="O1803">
        <v>0</v>
      </c>
    </row>
    <row r="1804" spans="1:15">
      <c r="A1804" t="s">
        <v>2119</v>
      </c>
      <c r="B1804" t="s">
        <v>293</v>
      </c>
      <c r="C1804" t="s">
        <v>317</v>
      </c>
      <c r="D1804">
        <v>76</v>
      </c>
      <c r="E1804">
        <v>156</v>
      </c>
      <c r="F1804">
        <v>0</v>
      </c>
      <c r="G1804">
        <v>0</v>
      </c>
      <c r="H1804">
        <v>0</v>
      </c>
      <c r="I1804">
        <v>0</v>
      </c>
      <c r="J1804">
        <v>0</v>
      </c>
      <c r="K1804">
        <v>0</v>
      </c>
      <c r="L1804">
        <v>0</v>
      </c>
      <c r="M1804">
        <v>0</v>
      </c>
      <c r="N1804">
        <v>0</v>
      </c>
      <c r="O1804">
        <v>0</v>
      </c>
    </row>
    <row r="1805" spans="1:15">
      <c r="A1805" t="s">
        <v>2120</v>
      </c>
      <c r="B1805" t="s">
        <v>293</v>
      </c>
      <c r="C1805" t="s">
        <v>317</v>
      </c>
      <c r="D1805">
        <v>77</v>
      </c>
      <c r="E1805">
        <v>156</v>
      </c>
      <c r="F1805">
        <v>0</v>
      </c>
      <c r="G1805">
        <v>0</v>
      </c>
      <c r="H1805">
        <v>0</v>
      </c>
      <c r="I1805">
        <v>0</v>
      </c>
      <c r="J1805">
        <v>0</v>
      </c>
      <c r="K1805">
        <v>0</v>
      </c>
      <c r="L1805">
        <v>0</v>
      </c>
      <c r="M1805">
        <v>0</v>
      </c>
      <c r="N1805">
        <v>0</v>
      </c>
      <c r="O1805">
        <v>0</v>
      </c>
    </row>
    <row r="1806" spans="1:15">
      <c r="A1806" t="s">
        <v>2121</v>
      </c>
      <c r="B1806" t="s">
        <v>293</v>
      </c>
      <c r="C1806" t="s">
        <v>317</v>
      </c>
      <c r="D1806">
        <v>78</v>
      </c>
      <c r="E1806">
        <v>156</v>
      </c>
      <c r="F1806">
        <v>0</v>
      </c>
      <c r="G1806">
        <v>0</v>
      </c>
      <c r="H1806">
        <v>0</v>
      </c>
      <c r="I1806">
        <v>0</v>
      </c>
      <c r="J1806">
        <v>0</v>
      </c>
      <c r="K1806">
        <v>0</v>
      </c>
      <c r="L1806">
        <v>0</v>
      </c>
      <c r="M1806">
        <v>0</v>
      </c>
      <c r="N1806">
        <v>0</v>
      </c>
      <c r="O1806">
        <v>0</v>
      </c>
    </row>
    <row r="1807" spans="1:15">
      <c r="A1807" t="s">
        <v>2122</v>
      </c>
      <c r="B1807" t="s">
        <v>293</v>
      </c>
      <c r="C1807" t="s">
        <v>317</v>
      </c>
      <c r="D1807">
        <v>79</v>
      </c>
      <c r="E1807">
        <v>156</v>
      </c>
      <c r="F1807">
        <v>0</v>
      </c>
      <c r="G1807">
        <v>0</v>
      </c>
      <c r="H1807">
        <v>0</v>
      </c>
      <c r="I1807">
        <v>0</v>
      </c>
      <c r="J1807">
        <v>0</v>
      </c>
      <c r="K1807">
        <v>0</v>
      </c>
      <c r="L1807">
        <v>0</v>
      </c>
      <c r="M1807">
        <v>0</v>
      </c>
      <c r="N1807">
        <v>0</v>
      </c>
      <c r="O1807">
        <v>0</v>
      </c>
    </row>
    <row r="1808" spans="1:15">
      <c r="A1808" t="s">
        <v>2123</v>
      </c>
      <c r="B1808" t="s">
        <v>293</v>
      </c>
      <c r="C1808" t="s">
        <v>317</v>
      </c>
      <c r="D1808">
        <v>80</v>
      </c>
      <c r="E1808">
        <v>156</v>
      </c>
      <c r="F1808">
        <v>0</v>
      </c>
      <c r="G1808">
        <v>0</v>
      </c>
      <c r="H1808">
        <v>0</v>
      </c>
      <c r="I1808">
        <v>0</v>
      </c>
      <c r="J1808">
        <v>0</v>
      </c>
      <c r="K1808">
        <v>0</v>
      </c>
      <c r="L1808">
        <v>0</v>
      </c>
      <c r="M1808">
        <v>0</v>
      </c>
      <c r="N1808">
        <v>0</v>
      </c>
      <c r="O1808">
        <v>0</v>
      </c>
    </row>
    <row r="1809" spans="1:15">
      <c r="A1809" t="s">
        <v>2124</v>
      </c>
      <c r="B1809" t="s">
        <v>293</v>
      </c>
      <c r="C1809" t="s">
        <v>317</v>
      </c>
      <c r="D1809">
        <v>81</v>
      </c>
      <c r="E1809">
        <v>156</v>
      </c>
      <c r="F1809">
        <v>0</v>
      </c>
      <c r="G1809">
        <v>0</v>
      </c>
      <c r="H1809">
        <v>0</v>
      </c>
      <c r="I1809">
        <v>0</v>
      </c>
      <c r="J1809">
        <v>0</v>
      </c>
      <c r="K1809">
        <v>0</v>
      </c>
      <c r="L1809">
        <v>0</v>
      </c>
      <c r="M1809">
        <v>0</v>
      </c>
      <c r="N1809">
        <v>0</v>
      </c>
      <c r="O1809">
        <v>0</v>
      </c>
    </row>
    <row r="1810" spans="1:15">
      <c r="A1810" t="s">
        <v>2125</v>
      </c>
      <c r="B1810" t="s">
        <v>293</v>
      </c>
      <c r="C1810" t="s">
        <v>317</v>
      </c>
      <c r="D1810">
        <v>82</v>
      </c>
      <c r="E1810">
        <v>156</v>
      </c>
      <c r="F1810">
        <v>0</v>
      </c>
      <c r="G1810">
        <v>0</v>
      </c>
      <c r="H1810">
        <v>0</v>
      </c>
      <c r="I1810">
        <v>0</v>
      </c>
      <c r="J1810">
        <v>0</v>
      </c>
      <c r="K1810">
        <v>0</v>
      </c>
      <c r="L1810">
        <v>0</v>
      </c>
      <c r="M1810">
        <v>0</v>
      </c>
      <c r="N1810">
        <v>0</v>
      </c>
      <c r="O1810">
        <v>0</v>
      </c>
    </row>
    <row r="1811" spans="1:15">
      <c r="A1811" t="s">
        <v>2126</v>
      </c>
      <c r="B1811" t="s">
        <v>293</v>
      </c>
      <c r="C1811" t="s">
        <v>317</v>
      </c>
      <c r="D1811">
        <v>83</v>
      </c>
      <c r="E1811">
        <v>156</v>
      </c>
      <c r="F1811">
        <v>0</v>
      </c>
      <c r="G1811">
        <v>0</v>
      </c>
      <c r="H1811">
        <v>0</v>
      </c>
      <c r="I1811">
        <v>0</v>
      </c>
      <c r="J1811">
        <v>0</v>
      </c>
      <c r="K1811">
        <v>0</v>
      </c>
      <c r="L1811">
        <v>0</v>
      </c>
      <c r="M1811">
        <v>0</v>
      </c>
      <c r="N1811">
        <v>0</v>
      </c>
      <c r="O1811">
        <v>0</v>
      </c>
    </row>
    <row r="1812" spans="1:15">
      <c r="A1812" t="s">
        <v>2127</v>
      </c>
      <c r="B1812" t="s">
        <v>293</v>
      </c>
      <c r="C1812" t="s">
        <v>317</v>
      </c>
      <c r="D1812">
        <v>84</v>
      </c>
      <c r="E1812">
        <v>156</v>
      </c>
      <c r="F1812">
        <v>0</v>
      </c>
      <c r="G1812">
        <v>0</v>
      </c>
      <c r="H1812">
        <v>0</v>
      </c>
      <c r="I1812">
        <v>0</v>
      </c>
      <c r="J1812">
        <v>0</v>
      </c>
      <c r="K1812">
        <v>0</v>
      </c>
      <c r="L1812">
        <v>0</v>
      </c>
      <c r="M1812">
        <v>0</v>
      </c>
      <c r="N1812">
        <v>0</v>
      </c>
      <c r="O1812">
        <v>0</v>
      </c>
    </row>
    <row r="1813" spans="1:15">
      <c r="A1813" t="s">
        <v>2128</v>
      </c>
      <c r="B1813" t="s">
        <v>293</v>
      </c>
      <c r="C1813" t="s">
        <v>317</v>
      </c>
      <c r="D1813">
        <v>85</v>
      </c>
      <c r="E1813">
        <v>156</v>
      </c>
      <c r="F1813">
        <v>0</v>
      </c>
      <c r="G1813">
        <v>0</v>
      </c>
      <c r="H1813">
        <v>0</v>
      </c>
      <c r="I1813">
        <v>0</v>
      </c>
      <c r="J1813">
        <v>0</v>
      </c>
      <c r="K1813">
        <v>0</v>
      </c>
      <c r="L1813">
        <v>0</v>
      </c>
      <c r="M1813">
        <v>0</v>
      </c>
      <c r="N1813">
        <v>0</v>
      </c>
      <c r="O1813">
        <v>0</v>
      </c>
    </row>
    <row r="1814" spans="1:15">
      <c r="A1814" t="s">
        <v>2129</v>
      </c>
      <c r="B1814" t="s">
        <v>293</v>
      </c>
      <c r="C1814" t="s">
        <v>404</v>
      </c>
      <c r="D1814">
        <v>0</v>
      </c>
      <c r="E1814">
        <v>156</v>
      </c>
      <c r="F1814">
        <v>0</v>
      </c>
      <c r="G1814">
        <v>0</v>
      </c>
      <c r="H1814">
        <v>0</v>
      </c>
      <c r="I1814">
        <v>0</v>
      </c>
      <c r="J1814">
        <v>0</v>
      </c>
      <c r="K1814">
        <v>0</v>
      </c>
      <c r="L1814">
        <v>0</v>
      </c>
      <c r="M1814">
        <v>0</v>
      </c>
      <c r="N1814">
        <v>0</v>
      </c>
      <c r="O1814">
        <v>0</v>
      </c>
    </row>
    <row r="1815" spans="1:15">
      <c r="A1815" t="s">
        <v>2130</v>
      </c>
      <c r="B1815" t="s">
        <v>293</v>
      </c>
      <c r="C1815" t="s">
        <v>404</v>
      </c>
      <c r="D1815">
        <v>1</v>
      </c>
      <c r="E1815">
        <v>156</v>
      </c>
      <c r="F1815">
        <v>0</v>
      </c>
      <c r="G1815">
        <v>0</v>
      </c>
      <c r="H1815">
        <v>0</v>
      </c>
      <c r="I1815">
        <v>0</v>
      </c>
      <c r="J1815">
        <v>0</v>
      </c>
      <c r="K1815">
        <v>0</v>
      </c>
      <c r="L1815">
        <v>0</v>
      </c>
      <c r="M1815">
        <v>0</v>
      </c>
      <c r="N1815">
        <v>0</v>
      </c>
      <c r="O1815">
        <v>0</v>
      </c>
    </row>
    <row r="1816" spans="1:15">
      <c r="A1816" t="s">
        <v>2131</v>
      </c>
      <c r="B1816" t="s">
        <v>293</v>
      </c>
      <c r="C1816" t="s">
        <v>404</v>
      </c>
      <c r="D1816">
        <v>2</v>
      </c>
      <c r="E1816">
        <v>156</v>
      </c>
      <c r="F1816">
        <v>0</v>
      </c>
      <c r="G1816">
        <v>0</v>
      </c>
      <c r="H1816">
        <v>0</v>
      </c>
      <c r="I1816">
        <v>0</v>
      </c>
      <c r="J1816">
        <v>0</v>
      </c>
      <c r="K1816">
        <v>0</v>
      </c>
      <c r="L1816">
        <v>0</v>
      </c>
      <c r="M1816">
        <v>0</v>
      </c>
      <c r="N1816">
        <v>0</v>
      </c>
      <c r="O1816">
        <v>0</v>
      </c>
    </row>
    <row r="1817" spans="1:15">
      <c r="A1817" t="s">
        <v>2132</v>
      </c>
      <c r="B1817" t="s">
        <v>293</v>
      </c>
      <c r="C1817" t="s">
        <v>404</v>
      </c>
      <c r="D1817">
        <v>3</v>
      </c>
      <c r="E1817">
        <v>156</v>
      </c>
      <c r="F1817">
        <v>0</v>
      </c>
      <c r="G1817">
        <v>0</v>
      </c>
      <c r="H1817">
        <v>0</v>
      </c>
      <c r="I1817">
        <v>0</v>
      </c>
      <c r="J1817">
        <v>0</v>
      </c>
      <c r="K1817">
        <v>0</v>
      </c>
      <c r="L1817">
        <v>0</v>
      </c>
      <c r="M1817">
        <v>0</v>
      </c>
      <c r="N1817">
        <v>0</v>
      </c>
      <c r="O1817">
        <v>0</v>
      </c>
    </row>
    <row r="1818" spans="1:15">
      <c r="A1818" t="s">
        <v>2133</v>
      </c>
      <c r="B1818" t="s">
        <v>293</v>
      </c>
      <c r="C1818" t="s">
        <v>404</v>
      </c>
      <c r="D1818">
        <v>4</v>
      </c>
      <c r="E1818">
        <v>156</v>
      </c>
      <c r="F1818">
        <v>0</v>
      </c>
      <c r="G1818">
        <v>0</v>
      </c>
      <c r="H1818">
        <v>0</v>
      </c>
      <c r="I1818">
        <v>0</v>
      </c>
      <c r="J1818">
        <v>0</v>
      </c>
      <c r="K1818">
        <v>0</v>
      </c>
      <c r="L1818">
        <v>0</v>
      </c>
      <c r="M1818">
        <v>0</v>
      </c>
      <c r="N1818">
        <v>0</v>
      </c>
      <c r="O1818">
        <v>0</v>
      </c>
    </row>
    <row r="1819" spans="1:15">
      <c r="A1819" t="s">
        <v>2134</v>
      </c>
      <c r="B1819" t="s">
        <v>293</v>
      </c>
      <c r="C1819" t="s">
        <v>404</v>
      </c>
      <c r="D1819">
        <v>5</v>
      </c>
      <c r="E1819">
        <v>156</v>
      </c>
      <c r="F1819">
        <v>0</v>
      </c>
      <c r="G1819">
        <v>0</v>
      </c>
      <c r="H1819">
        <v>0</v>
      </c>
      <c r="I1819">
        <v>0</v>
      </c>
      <c r="J1819">
        <v>0</v>
      </c>
      <c r="K1819">
        <v>0</v>
      </c>
      <c r="L1819">
        <v>0</v>
      </c>
      <c r="M1819">
        <v>0</v>
      </c>
      <c r="N1819">
        <v>0</v>
      </c>
      <c r="O1819">
        <v>0</v>
      </c>
    </row>
    <row r="1820" spans="1:15">
      <c r="A1820" t="s">
        <v>2135</v>
      </c>
      <c r="B1820" t="s">
        <v>293</v>
      </c>
      <c r="C1820" t="s">
        <v>404</v>
      </c>
      <c r="D1820">
        <v>6</v>
      </c>
      <c r="E1820">
        <v>156</v>
      </c>
      <c r="F1820">
        <v>0</v>
      </c>
      <c r="G1820">
        <v>0</v>
      </c>
      <c r="H1820">
        <v>0</v>
      </c>
      <c r="I1820">
        <v>0</v>
      </c>
      <c r="J1820">
        <v>0</v>
      </c>
      <c r="K1820">
        <v>0</v>
      </c>
      <c r="L1820">
        <v>0</v>
      </c>
      <c r="M1820">
        <v>0</v>
      </c>
      <c r="N1820">
        <v>0</v>
      </c>
      <c r="O1820">
        <v>0</v>
      </c>
    </row>
    <row r="1821" spans="1:15">
      <c r="A1821" t="s">
        <v>2136</v>
      </c>
      <c r="B1821" t="s">
        <v>293</v>
      </c>
      <c r="C1821" t="s">
        <v>404</v>
      </c>
      <c r="D1821">
        <v>7</v>
      </c>
      <c r="E1821">
        <v>156</v>
      </c>
      <c r="F1821">
        <v>0</v>
      </c>
      <c r="G1821">
        <v>0</v>
      </c>
      <c r="H1821">
        <v>0</v>
      </c>
      <c r="I1821">
        <v>0</v>
      </c>
      <c r="J1821">
        <v>0</v>
      </c>
      <c r="K1821">
        <v>0</v>
      </c>
      <c r="L1821">
        <v>0</v>
      </c>
      <c r="M1821">
        <v>0</v>
      </c>
      <c r="N1821">
        <v>0</v>
      </c>
      <c r="O1821">
        <v>0</v>
      </c>
    </row>
    <row r="1822" spans="1:15">
      <c r="A1822" t="s">
        <v>2137</v>
      </c>
      <c r="B1822" t="s">
        <v>293</v>
      </c>
      <c r="C1822" t="s">
        <v>404</v>
      </c>
      <c r="D1822">
        <v>8</v>
      </c>
      <c r="E1822">
        <v>156</v>
      </c>
      <c r="F1822">
        <v>0</v>
      </c>
      <c r="G1822">
        <v>0</v>
      </c>
      <c r="H1822">
        <v>0</v>
      </c>
      <c r="I1822">
        <v>0</v>
      </c>
      <c r="J1822">
        <v>0</v>
      </c>
      <c r="K1822">
        <v>0</v>
      </c>
      <c r="L1822">
        <v>0</v>
      </c>
      <c r="M1822">
        <v>0</v>
      </c>
      <c r="N1822">
        <v>0</v>
      </c>
      <c r="O1822">
        <v>0</v>
      </c>
    </row>
    <row r="1823" spans="1:15">
      <c r="A1823" t="s">
        <v>2138</v>
      </c>
      <c r="B1823" t="s">
        <v>293</v>
      </c>
      <c r="C1823" t="s">
        <v>404</v>
      </c>
      <c r="D1823">
        <v>9</v>
      </c>
      <c r="E1823">
        <v>156</v>
      </c>
      <c r="F1823">
        <v>0</v>
      </c>
      <c r="G1823">
        <v>0</v>
      </c>
      <c r="H1823">
        <v>0</v>
      </c>
      <c r="I1823">
        <v>0</v>
      </c>
      <c r="J1823">
        <v>0</v>
      </c>
      <c r="K1823">
        <v>0</v>
      </c>
      <c r="L1823">
        <v>0</v>
      </c>
      <c r="M1823">
        <v>0</v>
      </c>
      <c r="N1823">
        <v>0</v>
      </c>
      <c r="O1823">
        <v>0</v>
      </c>
    </row>
    <row r="1824" spans="1:15">
      <c r="A1824" t="s">
        <v>2139</v>
      </c>
      <c r="B1824" t="s">
        <v>293</v>
      </c>
      <c r="C1824" t="s">
        <v>404</v>
      </c>
      <c r="D1824">
        <v>10</v>
      </c>
      <c r="E1824">
        <v>156</v>
      </c>
      <c r="F1824">
        <v>0</v>
      </c>
      <c r="G1824">
        <v>0</v>
      </c>
      <c r="H1824">
        <v>0</v>
      </c>
      <c r="I1824">
        <v>0</v>
      </c>
      <c r="J1824">
        <v>0</v>
      </c>
      <c r="K1824">
        <v>0</v>
      </c>
      <c r="L1824">
        <v>0</v>
      </c>
      <c r="M1824">
        <v>0</v>
      </c>
      <c r="N1824">
        <v>0</v>
      </c>
      <c r="O1824">
        <v>0</v>
      </c>
    </row>
    <row r="1825" spans="1:15">
      <c r="A1825" t="s">
        <v>2140</v>
      </c>
      <c r="B1825" t="s">
        <v>293</v>
      </c>
      <c r="C1825" t="s">
        <v>404</v>
      </c>
      <c r="D1825">
        <v>11</v>
      </c>
      <c r="E1825">
        <v>156</v>
      </c>
      <c r="F1825">
        <v>0</v>
      </c>
      <c r="G1825">
        <v>0</v>
      </c>
      <c r="H1825">
        <v>0</v>
      </c>
      <c r="I1825">
        <v>0</v>
      </c>
      <c r="J1825">
        <v>0</v>
      </c>
      <c r="K1825">
        <v>0</v>
      </c>
      <c r="L1825">
        <v>0</v>
      </c>
      <c r="M1825">
        <v>0</v>
      </c>
      <c r="N1825">
        <v>0</v>
      </c>
      <c r="O1825">
        <v>0</v>
      </c>
    </row>
    <row r="1826" spans="1:15">
      <c r="A1826" t="s">
        <v>2141</v>
      </c>
      <c r="B1826" t="s">
        <v>293</v>
      </c>
      <c r="C1826" t="s">
        <v>404</v>
      </c>
      <c r="D1826">
        <v>12</v>
      </c>
      <c r="E1826">
        <v>156</v>
      </c>
      <c r="F1826">
        <v>0</v>
      </c>
      <c r="G1826">
        <v>0</v>
      </c>
      <c r="H1826">
        <v>0</v>
      </c>
      <c r="I1826">
        <v>0</v>
      </c>
      <c r="J1826">
        <v>0</v>
      </c>
      <c r="K1826">
        <v>0</v>
      </c>
      <c r="L1826">
        <v>0</v>
      </c>
      <c r="M1826">
        <v>0</v>
      </c>
      <c r="N1826">
        <v>0</v>
      </c>
      <c r="O1826">
        <v>0</v>
      </c>
    </row>
    <row r="1827" spans="1:15">
      <c r="A1827" t="s">
        <v>2142</v>
      </c>
      <c r="B1827" t="s">
        <v>293</v>
      </c>
      <c r="C1827" t="s">
        <v>404</v>
      </c>
      <c r="D1827">
        <v>13</v>
      </c>
      <c r="E1827">
        <v>156</v>
      </c>
      <c r="F1827">
        <v>0</v>
      </c>
      <c r="G1827">
        <v>0</v>
      </c>
      <c r="H1827">
        <v>0</v>
      </c>
      <c r="I1827">
        <v>0</v>
      </c>
      <c r="J1827">
        <v>0</v>
      </c>
      <c r="K1827">
        <v>0</v>
      </c>
      <c r="L1827">
        <v>0</v>
      </c>
      <c r="M1827">
        <v>0</v>
      </c>
      <c r="N1827">
        <v>0</v>
      </c>
      <c r="O1827">
        <v>0</v>
      </c>
    </row>
    <row r="1828" spans="1:15">
      <c r="A1828" t="s">
        <v>2143</v>
      </c>
      <c r="B1828" t="s">
        <v>293</v>
      </c>
      <c r="C1828" t="s">
        <v>404</v>
      </c>
      <c r="D1828">
        <v>14</v>
      </c>
      <c r="E1828">
        <v>156</v>
      </c>
      <c r="F1828">
        <v>0</v>
      </c>
      <c r="G1828">
        <v>0</v>
      </c>
      <c r="H1828">
        <v>0</v>
      </c>
      <c r="I1828">
        <v>0</v>
      </c>
      <c r="J1828">
        <v>0</v>
      </c>
      <c r="K1828">
        <v>0</v>
      </c>
      <c r="L1828">
        <v>0</v>
      </c>
      <c r="M1828">
        <v>0</v>
      </c>
      <c r="N1828">
        <v>0</v>
      </c>
      <c r="O1828">
        <v>0</v>
      </c>
    </row>
    <row r="1829" spans="1:15">
      <c r="A1829" t="s">
        <v>2144</v>
      </c>
      <c r="B1829" t="s">
        <v>293</v>
      </c>
      <c r="C1829" t="s">
        <v>404</v>
      </c>
      <c r="D1829">
        <v>15</v>
      </c>
      <c r="E1829">
        <v>156</v>
      </c>
      <c r="F1829">
        <v>0</v>
      </c>
      <c r="G1829">
        <v>0</v>
      </c>
      <c r="H1829">
        <v>0</v>
      </c>
      <c r="I1829">
        <v>0</v>
      </c>
      <c r="J1829">
        <v>0</v>
      </c>
      <c r="K1829">
        <v>0</v>
      </c>
      <c r="L1829">
        <v>0</v>
      </c>
      <c r="M1829">
        <v>0</v>
      </c>
      <c r="N1829">
        <v>0</v>
      </c>
      <c r="O1829">
        <v>0</v>
      </c>
    </row>
    <row r="1830" spans="1:15">
      <c r="A1830" t="s">
        <v>2145</v>
      </c>
      <c r="B1830" t="s">
        <v>293</v>
      </c>
      <c r="C1830" t="s">
        <v>404</v>
      </c>
      <c r="D1830">
        <v>16</v>
      </c>
      <c r="E1830">
        <v>156</v>
      </c>
      <c r="F1830">
        <v>0</v>
      </c>
      <c r="G1830">
        <v>0</v>
      </c>
      <c r="H1830">
        <v>0</v>
      </c>
      <c r="I1830">
        <v>0</v>
      </c>
      <c r="J1830">
        <v>0</v>
      </c>
      <c r="K1830">
        <v>0</v>
      </c>
      <c r="L1830">
        <v>0</v>
      </c>
      <c r="M1830">
        <v>0</v>
      </c>
      <c r="N1830">
        <v>0</v>
      </c>
      <c r="O1830">
        <v>0</v>
      </c>
    </row>
    <row r="1831" spans="1:15">
      <c r="A1831" t="s">
        <v>2146</v>
      </c>
      <c r="B1831" t="s">
        <v>293</v>
      </c>
      <c r="C1831" t="s">
        <v>404</v>
      </c>
      <c r="D1831">
        <v>17</v>
      </c>
      <c r="E1831">
        <v>156</v>
      </c>
      <c r="F1831">
        <v>0</v>
      </c>
      <c r="G1831">
        <v>0</v>
      </c>
      <c r="H1831">
        <v>0</v>
      </c>
      <c r="I1831">
        <v>0</v>
      </c>
      <c r="J1831">
        <v>0</v>
      </c>
      <c r="K1831">
        <v>0</v>
      </c>
      <c r="L1831">
        <v>0</v>
      </c>
      <c r="M1831">
        <v>0</v>
      </c>
      <c r="N1831">
        <v>0</v>
      </c>
      <c r="O1831">
        <v>0</v>
      </c>
    </row>
    <row r="1832" spans="1:15">
      <c r="A1832" t="s">
        <v>2147</v>
      </c>
      <c r="B1832" t="s">
        <v>293</v>
      </c>
      <c r="C1832" t="s">
        <v>404</v>
      </c>
      <c r="D1832">
        <v>18</v>
      </c>
      <c r="E1832">
        <v>156</v>
      </c>
      <c r="F1832">
        <v>0</v>
      </c>
      <c r="G1832">
        <v>0</v>
      </c>
      <c r="H1832">
        <v>0</v>
      </c>
      <c r="I1832">
        <v>0</v>
      </c>
      <c r="J1832">
        <v>0</v>
      </c>
      <c r="K1832">
        <v>0</v>
      </c>
      <c r="L1832">
        <v>0</v>
      </c>
      <c r="M1832">
        <v>0</v>
      </c>
      <c r="N1832">
        <v>0</v>
      </c>
      <c r="O1832">
        <v>0</v>
      </c>
    </row>
    <row r="1833" spans="1:15">
      <c r="A1833" t="s">
        <v>2148</v>
      </c>
      <c r="B1833" t="s">
        <v>293</v>
      </c>
      <c r="C1833" t="s">
        <v>404</v>
      </c>
      <c r="D1833">
        <v>19</v>
      </c>
      <c r="E1833">
        <v>156</v>
      </c>
      <c r="F1833">
        <v>0</v>
      </c>
      <c r="G1833">
        <v>0</v>
      </c>
      <c r="H1833">
        <v>0</v>
      </c>
      <c r="I1833">
        <v>0</v>
      </c>
      <c r="J1833">
        <v>0</v>
      </c>
      <c r="K1833">
        <v>0</v>
      </c>
      <c r="L1833">
        <v>0</v>
      </c>
      <c r="M1833">
        <v>0</v>
      </c>
      <c r="N1833">
        <v>0</v>
      </c>
      <c r="O1833">
        <v>0</v>
      </c>
    </row>
    <row r="1834" spans="1:15">
      <c r="A1834" t="s">
        <v>2149</v>
      </c>
      <c r="B1834" t="s">
        <v>293</v>
      </c>
      <c r="C1834" t="s">
        <v>404</v>
      </c>
      <c r="D1834">
        <v>20</v>
      </c>
      <c r="E1834">
        <v>156</v>
      </c>
      <c r="F1834">
        <v>0</v>
      </c>
      <c r="G1834">
        <v>0</v>
      </c>
      <c r="H1834">
        <v>0</v>
      </c>
      <c r="I1834">
        <v>0</v>
      </c>
      <c r="J1834">
        <v>0</v>
      </c>
      <c r="K1834">
        <v>0</v>
      </c>
      <c r="L1834">
        <v>0</v>
      </c>
      <c r="M1834">
        <v>0</v>
      </c>
      <c r="N1834">
        <v>0</v>
      </c>
      <c r="O1834">
        <v>0</v>
      </c>
    </row>
    <row r="1835" spans="1:15">
      <c r="A1835" t="s">
        <v>2150</v>
      </c>
      <c r="B1835" t="s">
        <v>293</v>
      </c>
      <c r="C1835" t="s">
        <v>404</v>
      </c>
      <c r="D1835">
        <v>21</v>
      </c>
      <c r="E1835">
        <v>156</v>
      </c>
      <c r="F1835">
        <v>0</v>
      </c>
      <c r="G1835">
        <v>0</v>
      </c>
      <c r="H1835">
        <v>0</v>
      </c>
      <c r="I1835">
        <v>0</v>
      </c>
      <c r="J1835">
        <v>0</v>
      </c>
      <c r="K1835">
        <v>0</v>
      </c>
      <c r="L1835">
        <v>0</v>
      </c>
      <c r="M1835">
        <v>0</v>
      </c>
      <c r="N1835">
        <v>0</v>
      </c>
      <c r="O1835">
        <v>0</v>
      </c>
    </row>
    <row r="1836" spans="1:15">
      <c r="A1836" t="s">
        <v>2151</v>
      </c>
      <c r="B1836" t="s">
        <v>293</v>
      </c>
      <c r="C1836" t="s">
        <v>404</v>
      </c>
      <c r="D1836">
        <v>22</v>
      </c>
      <c r="E1836">
        <v>156</v>
      </c>
      <c r="F1836">
        <v>0</v>
      </c>
      <c r="G1836">
        <v>0</v>
      </c>
      <c r="H1836">
        <v>0</v>
      </c>
      <c r="I1836">
        <v>0</v>
      </c>
      <c r="J1836">
        <v>0</v>
      </c>
      <c r="K1836">
        <v>0</v>
      </c>
      <c r="L1836">
        <v>0</v>
      </c>
      <c r="M1836">
        <v>0</v>
      </c>
      <c r="N1836">
        <v>0</v>
      </c>
      <c r="O1836">
        <v>0</v>
      </c>
    </row>
    <row r="1837" spans="1:15">
      <c r="A1837" t="s">
        <v>2152</v>
      </c>
      <c r="B1837" t="s">
        <v>293</v>
      </c>
      <c r="C1837" t="s">
        <v>404</v>
      </c>
      <c r="D1837">
        <v>23</v>
      </c>
      <c r="E1837">
        <v>156</v>
      </c>
      <c r="F1837">
        <v>0</v>
      </c>
      <c r="G1837">
        <v>0</v>
      </c>
      <c r="H1837">
        <v>0</v>
      </c>
      <c r="I1837">
        <v>0</v>
      </c>
      <c r="J1837">
        <v>0</v>
      </c>
      <c r="K1837">
        <v>0</v>
      </c>
      <c r="L1837">
        <v>0</v>
      </c>
      <c r="M1837">
        <v>0</v>
      </c>
      <c r="N1837">
        <v>0</v>
      </c>
      <c r="O1837">
        <v>0</v>
      </c>
    </row>
    <row r="1838" spans="1:15">
      <c r="A1838" t="s">
        <v>2153</v>
      </c>
      <c r="B1838" t="s">
        <v>293</v>
      </c>
      <c r="C1838" t="s">
        <v>404</v>
      </c>
      <c r="D1838">
        <v>24</v>
      </c>
      <c r="E1838">
        <v>156</v>
      </c>
      <c r="F1838">
        <v>0</v>
      </c>
      <c r="G1838">
        <v>0</v>
      </c>
      <c r="H1838">
        <v>0</v>
      </c>
      <c r="I1838">
        <v>0</v>
      </c>
      <c r="J1838">
        <v>0</v>
      </c>
      <c r="K1838">
        <v>0</v>
      </c>
      <c r="L1838">
        <v>0</v>
      </c>
      <c r="M1838">
        <v>0</v>
      </c>
      <c r="N1838">
        <v>0</v>
      </c>
      <c r="O1838">
        <v>0</v>
      </c>
    </row>
    <row r="1839" spans="1:15">
      <c r="A1839" t="s">
        <v>2154</v>
      </c>
      <c r="B1839" t="s">
        <v>293</v>
      </c>
      <c r="C1839" t="s">
        <v>404</v>
      </c>
      <c r="D1839">
        <v>25</v>
      </c>
      <c r="E1839">
        <v>156</v>
      </c>
      <c r="F1839">
        <v>0</v>
      </c>
      <c r="G1839">
        <v>0</v>
      </c>
      <c r="H1839">
        <v>0</v>
      </c>
      <c r="I1839">
        <v>0</v>
      </c>
      <c r="J1839">
        <v>0</v>
      </c>
      <c r="K1839">
        <v>0</v>
      </c>
      <c r="L1839">
        <v>0</v>
      </c>
      <c r="M1839">
        <v>0</v>
      </c>
      <c r="N1839">
        <v>0</v>
      </c>
      <c r="O1839">
        <v>0</v>
      </c>
    </row>
    <row r="1840" spans="1:15">
      <c r="A1840" t="s">
        <v>2155</v>
      </c>
      <c r="B1840" t="s">
        <v>293</v>
      </c>
      <c r="C1840" t="s">
        <v>404</v>
      </c>
      <c r="D1840">
        <v>26</v>
      </c>
      <c r="E1840">
        <v>156</v>
      </c>
      <c r="F1840">
        <v>0</v>
      </c>
      <c r="G1840">
        <v>0</v>
      </c>
      <c r="H1840">
        <v>0</v>
      </c>
      <c r="I1840">
        <v>0</v>
      </c>
      <c r="J1840">
        <v>0</v>
      </c>
      <c r="K1840">
        <v>0</v>
      </c>
      <c r="L1840">
        <v>0</v>
      </c>
      <c r="M1840">
        <v>0</v>
      </c>
      <c r="N1840">
        <v>0</v>
      </c>
      <c r="O1840">
        <v>0</v>
      </c>
    </row>
    <row r="1841" spans="1:15">
      <c r="A1841" t="s">
        <v>2156</v>
      </c>
      <c r="B1841" t="s">
        <v>293</v>
      </c>
      <c r="C1841" t="s">
        <v>404</v>
      </c>
      <c r="D1841">
        <v>27</v>
      </c>
      <c r="E1841">
        <v>156</v>
      </c>
      <c r="F1841">
        <v>0</v>
      </c>
      <c r="G1841">
        <v>0</v>
      </c>
      <c r="H1841">
        <v>0</v>
      </c>
      <c r="I1841">
        <v>0</v>
      </c>
      <c r="J1841">
        <v>0</v>
      </c>
      <c r="K1841">
        <v>0</v>
      </c>
      <c r="L1841">
        <v>0</v>
      </c>
      <c r="M1841">
        <v>0</v>
      </c>
      <c r="N1841">
        <v>0</v>
      </c>
      <c r="O1841">
        <v>0</v>
      </c>
    </row>
    <row r="1842" spans="1:15">
      <c r="A1842" t="s">
        <v>2157</v>
      </c>
      <c r="B1842" t="s">
        <v>293</v>
      </c>
      <c r="C1842" t="s">
        <v>404</v>
      </c>
      <c r="D1842">
        <v>28</v>
      </c>
      <c r="E1842">
        <v>156</v>
      </c>
      <c r="F1842">
        <v>0</v>
      </c>
      <c r="G1842">
        <v>0</v>
      </c>
      <c r="H1842">
        <v>0</v>
      </c>
      <c r="I1842">
        <v>0</v>
      </c>
      <c r="J1842">
        <v>0</v>
      </c>
      <c r="K1842">
        <v>0</v>
      </c>
      <c r="L1842">
        <v>0</v>
      </c>
      <c r="M1842">
        <v>0</v>
      </c>
      <c r="N1842">
        <v>0</v>
      </c>
      <c r="O1842">
        <v>0</v>
      </c>
    </row>
    <row r="1843" spans="1:15">
      <c r="A1843" t="s">
        <v>2158</v>
      </c>
      <c r="B1843" t="s">
        <v>293</v>
      </c>
      <c r="C1843" t="s">
        <v>404</v>
      </c>
      <c r="D1843">
        <v>29</v>
      </c>
      <c r="E1843">
        <v>156</v>
      </c>
      <c r="F1843">
        <v>0</v>
      </c>
      <c r="G1843">
        <v>0</v>
      </c>
      <c r="H1843">
        <v>0</v>
      </c>
      <c r="I1843">
        <v>0</v>
      </c>
      <c r="J1843">
        <v>0</v>
      </c>
      <c r="K1843">
        <v>0</v>
      </c>
      <c r="L1843">
        <v>0</v>
      </c>
      <c r="M1843">
        <v>0</v>
      </c>
      <c r="N1843">
        <v>0</v>
      </c>
      <c r="O1843">
        <v>0</v>
      </c>
    </row>
    <row r="1844" spans="1:15">
      <c r="A1844" t="s">
        <v>2159</v>
      </c>
      <c r="B1844" t="s">
        <v>293</v>
      </c>
      <c r="C1844" t="s">
        <v>404</v>
      </c>
      <c r="D1844">
        <v>30</v>
      </c>
      <c r="E1844">
        <v>156</v>
      </c>
      <c r="F1844">
        <v>0</v>
      </c>
      <c r="G1844">
        <v>0</v>
      </c>
      <c r="H1844">
        <v>0</v>
      </c>
      <c r="I1844">
        <v>0</v>
      </c>
      <c r="J1844">
        <v>0</v>
      </c>
      <c r="K1844">
        <v>0</v>
      </c>
      <c r="L1844">
        <v>0</v>
      </c>
      <c r="M1844">
        <v>0</v>
      </c>
      <c r="N1844">
        <v>0</v>
      </c>
      <c r="O1844">
        <v>0</v>
      </c>
    </row>
    <row r="1845" spans="1:15">
      <c r="A1845" t="s">
        <v>2160</v>
      </c>
      <c r="B1845" t="s">
        <v>293</v>
      </c>
      <c r="C1845" t="s">
        <v>404</v>
      </c>
      <c r="D1845">
        <v>31</v>
      </c>
      <c r="E1845">
        <v>156</v>
      </c>
      <c r="F1845">
        <v>0</v>
      </c>
      <c r="G1845">
        <v>0</v>
      </c>
      <c r="H1845">
        <v>0</v>
      </c>
      <c r="I1845">
        <v>0</v>
      </c>
      <c r="J1845">
        <v>0</v>
      </c>
      <c r="K1845">
        <v>0</v>
      </c>
      <c r="L1845">
        <v>0</v>
      </c>
      <c r="M1845">
        <v>0</v>
      </c>
      <c r="N1845">
        <v>0</v>
      </c>
      <c r="O1845">
        <v>0</v>
      </c>
    </row>
    <row r="1846" spans="1:15">
      <c r="A1846" t="s">
        <v>2161</v>
      </c>
      <c r="B1846" t="s">
        <v>293</v>
      </c>
      <c r="C1846" t="s">
        <v>404</v>
      </c>
      <c r="D1846">
        <v>32</v>
      </c>
      <c r="E1846">
        <v>156</v>
      </c>
      <c r="F1846">
        <v>0</v>
      </c>
      <c r="G1846">
        <v>0</v>
      </c>
      <c r="H1846">
        <v>0</v>
      </c>
      <c r="I1846">
        <v>0</v>
      </c>
      <c r="J1846">
        <v>0</v>
      </c>
      <c r="K1846">
        <v>0</v>
      </c>
      <c r="L1846">
        <v>0</v>
      </c>
      <c r="M1846">
        <v>0</v>
      </c>
      <c r="N1846">
        <v>0</v>
      </c>
      <c r="O1846">
        <v>0</v>
      </c>
    </row>
    <row r="1847" spans="1:15">
      <c r="A1847" t="s">
        <v>2162</v>
      </c>
      <c r="B1847" t="s">
        <v>293</v>
      </c>
      <c r="C1847" t="s">
        <v>404</v>
      </c>
      <c r="D1847">
        <v>33</v>
      </c>
      <c r="E1847">
        <v>156</v>
      </c>
      <c r="F1847">
        <v>0</v>
      </c>
      <c r="G1847">
        <v>0</v>
      </c>
      <c r="H1847">
        <v>0</v>
      </c>
      <c r="I1847">
        <v>0</v>
      </c>
      <c r="J1847">
        <v>0</v>
      </c>
      <c r="K1847">
        <v>0</v>
      </c>
      <c r="L1847">
        <v>0</v>
      </c>
      <c r="M1847">
        <v>0</v>
      </c>
      <c r="N1847">
        <v>0</v>
      </c>
      <c r="O1847">
        <v>0</v>
      </c>
    </row>
    <row r="1848" spans="1:15">
      <c r="A1848" t="s">
        <v>2163</v>
      </c>
      <c r="B1848" t="s">
        <v>293</v>
      </c>
      <c r="C1848" t="s">
        <v>404</v>
      </c>
      <c r="D1848">
        <v>34</v>
      </c>
      <c r="E1848">
        <v>156</v>
      </c>
      <c r="F1848">
        <v>0</v>
      </c>
      <c r="G1848">
        <v>0</v>
      </c>
      <c r="H1848">
        <v>0</v>
      </c>
      <c r="I1848">
        <v>0</v>
      </c>
      <c r="J1848">
        <v>0</v>
      </c>
      <c r="K1848">
        <v>0</v>
      </c>
      <c r="L1848">
        <v>0</v>
      </c>
      <c r="M1848">
        <v>0</v>
      </c>
      <c r="N1848">
        <v>0</v>
      </c>
      <c r="O1848">
        <v>0</v>
      </c>
    </row>
    <row r="1849" spans="1:15">
      <c r="A1849" t="s">
        <v>2164</v>
      </c>
      <c r="B1849" t="s">
        <v>293</v>
      </c>
      <c r="C1849" t="s">
        <v>404</v>
      </c>
      <c r="D1849">
        <v>35</v>
      </c>
      <c r="E1849">
        <v>156</v>
      </c>
      <c r="F1849">
        <v>0</v>
      </c>
      <c r="G1849">
        <v>0</v>
      </c>
      <c r="H1849">
        <v>0</v>
      </c>
      <c r="I1849">
        <v>0</v>
      </c>
      <c r="J1849">
        <v>0</v>
      </c>
      <c r="K1849">
        <v>0</v>
      </c>
      <c r="L1849">
        <v>0</v>
      </c>
      <c r="M1849">
        <v>0</v>
      </c>
      <c r="N1849">
        <v>0</v>
      </c>
      <c r="O1849">
        <v>0</v>
      </c>
    </row>
    <row r="1850" spans="1:15">
      <c r="A1850" t="s">
        <v>2165</v>
      </c>
      <c r="B1850" t="s">
        <v>293</v>
      </c>
      <c r="C1850" t="s">
        <v>404</v>
      </c>
      <c r="D1850">
        <v>36</v>
      </c>
      <c r="E1850">
        <v>156</v>
      </c>
      <c r="F1850">
        <v>0</v>
      </c>
      <c r="G1850">
        <v>0</v>
      </c>
      <c r="H1850">
        <v>0</v>
      </c>
      <c r="I1850">
        <v>0</v>
      </c>
      <c r="J1850">
        <v>0</v>
      </c>
      <c r="K1850">
        <v>0</v>
      </c>
      <c r="L1850">
        <v>0</v>
      </c>
      <c r="M1850">
        <v>0</v>
      </c>
      <c r="N1850">
        <v>0</v>
      </c>
      <c r="O1850">
        <v>0</v>
      </c>
    </row>
    <row r="1851" spans="1:15">
      <c r="A1851" t="s">
        <v>2166</v>
      </c>
      <c r="B1851" t="s">
        <v>293</v>
      </c>
      <c r="C1851" t="s">
        <v>404</v>
      </c>
      <c r="D1851">
        <v>37</v>
      </c>
      <c r="E1851">
        <v>156</v>
      </c>
      <c r="F1851">
        <v>0</v>
      </c>
      <c r="G1851">
        <v>0</v>
      </c>
      <c r="H1851">
        <v>0</v>
      </c>
      <c r="I1851">
        <v>0</v>
      </c>
      <c r="J1851">
        <v>0</v>
      </c>
      <c r="K1851">
        <v>0</v>
      </c>
      <c r="L1851">
        <v>0</v>
      </c>
      <c r="M1851">
        <v>0</v>
      </c>
      <c r="N1851">
        <v>0</v>
      </c>
      <c r="O1851">
        <v>0</v>
      </c>
    </row>
    <row r="1852" spans="1:15">
      <c r="A1852" t="s">
        <v>2167</v>
      </c>
      <c r="B1852" t="s">
        <v>293</v>
      </c>
      <c r="C1852" t="s">
        <v>404</v>
      </c>
      <c r="D1852">
        <v>38</v>
      </c>
      <c r="E1852">
        <v>156</v>
      </c>
      <c r="F1852">
        <v>0</v>
      </c>
      <c r="G1852">
        <v>0</v>
      </c>
      <c r="H1852">
        <v>0</v>
      </c>
      <c r="I1852">
        <v>0</v>
      </c>
      <c r="J1852">
        <v>0</v>
      </c>
      <c r="K1852">
        <v>0</v>
      </c>
      <c r="L1852">
        <v>0</v>
      </c>
      <c r="M1852">
        <v>0</v>
      </c>
      <c r="N1852">
        <v>0</v>
      </c>
      <c r="O1852">
        <v>0</v>
      </c>
    </row>
    <row r="1853" spans="1:15">
      <c r="A1853" t="s">
        <v>2168</v>
      </c>
      <c r="B1853" t="s">
        <v>293</v>
      </c>
      <c r="C1853" t="s">
        <v>404</v>
      </c>
      <c r="D1853">
        <v>39</v>
      </c>
      <c r="E1853">
        <v>156</v>
      </c>
      <c r="F1853">
        <v>0</v>
      </c>
      <c r="G1853">
        <v>0</v>
      </c>
      <c r="H1853">
        <v>0</v>
      </c>
      <c r="I1853">
        <v>0</v>
      </c>
      <c r="J1853">
        <v>0</v>
      </c>
      <c r="K1853">
        <v>0</v>
      </c>
      <c r="L1853">
        <v>0</v>
      </c>
      <c r="M1853">
        <v>0</v>
      </c>
      <c r="N1853">
        <v>0</v>
      </c>
      <c r="O1853">
        <v>0</v>
      </c>
    </row>
    <row r="1854" spans="1:15">
      <c r="A1854" t="s">
        <v>2169</v>
      </c>
      <c r="B1854" t="s">
        <v>293</v>
      </c>
      <c r="C1854" t="s">
        <v>404</v>
      </c>
      <c r="D1854">
        <v>40</v>
      </c>
      <c r="E1854">
        <v>156</v>
      </c>
      <c r="F1854">
        <v>0</v>
      </c>
      <c r="G1854">
        <v>0</v>
      </c>
      <c r="H1854">
        <v>0</v>
      </c>
      <c r="I1854">
        <v>0</v>
      </c>
      <c r="J1854">
        <v>0</v>
      </c>
      <c r="K1854">
        <v>0</v>
      </c>
      <c r="L1854">
        <v>0</v>
      </c>
      <c r="M1854">
        <v>0</v>
      </c>
      <c r="N1854">
        <v>0</v>
      </c>
      <c r="O1854">
        <v>0</v>
      </c>
    </row>
    <row r="1855" spans="1:15">
      <c r="A1855" t="s">
        <v>2170</v>
      </c>
      <c r="B1855" t="s">
        <v>293</v>
      </c>
      <c r="C1855" t="s">
        <v>404</v>
      </c>
      <c r="D1855">
        <v>41</v>
      </c>
      <c r="E1855">
        <v>156</v>
      </c>
      <c r="F1855">
        <v>0</v>
      </c>
      <c r="G1855">
        <v>0</v>
      </c>
      <c r="H1855">
        <v>0</v>
      </c>
      <c r="I1855">
        <v>0</v>
      </c>
      <c r="J1855">
        <v>0</v>
      </c>
      <c r="K1855">
        <v>0</v>
      </c>
      <c r="L1855">
        <v>0</v>
      </c>
      <c r="M1855">
        <v>0</v>
      </c>
      <c r="N1855">
        <v>0</v>
      </c>
      <c r="O1855">
        <v>0</v>
      </c>
    </row>
    <row r="1856" spans="1:15">
      <c r="A1856" t="s">
        <v>2171</v>
      </c>
      <c r="B1856" t="s">
        <v>293</v>
      </c>
      <c r="C1856" t="s">
        <v>404</v>
      </c>
      <c r="D1856">
        <v>42</v>
      </c>
      <c r="E1856">
        <v>156</v>
      </c>
      <c r="F1856">
        <v>0</v>
      </c>
      <c r="G1856">
        <v>0</v>
      </c>
      <c r="H1856">
        <v>0</v>
      </c>
      <c r="I1856">
        <v>0</v>
      </c>
      <c r="J1856">
        <v>0</v>
      </c>
      <c r="K1856">
        <v>0</v>
      </c>
      <c r="L1856">
        <v>0</v>
      </c>
      <c r="M1856">
        <v>0</v>
      </c>
      <c r="N1856">
        <v>0</v>
      </c>
      <c r="O1856">
        <v>0</v>
      </c>
    </row>
    <row r="1857" spans="1:15">
      <c r="A1857" t="s">
        <v>2172</v>
      </c>
      <c r="B1857" t="s">
        <v>293</v>
      </c>
      <c r="C1857" t="s">
        <v>404</v>
      </c>
      <c r="D1857">
        <v>43</v>
      </c>
      <c r="E1857">
        <v>156</v>
      </c>
      <c r="F1857">
        <v>0</v>
      </c>
      <c r="G1857">
        <v>0</v>
      </c>
      <c r="H1857">
        <v>0</v>
      </c>
      <c r="I1857">
        <v>0</v>
      </c>
      <c r="J1857">
        <v>0</v>
      </c>
      <c r="K1857">
        <v>0</v>
      </c>
      <c r="L1857">
        <v>0</v>
      </c>
      <c r="M1857">
        <v>0</v>
      </c>
      <c r="N1857">
        <v>0</v>
      </c>
      <c r="O1857">
        <v>0</v>
      </c>
    </row>
    <row r="1858" spans="1:15">
      <c r="A1858" t="s">
        <v>2173</v>
      </c>
      <c r="B1858" t="s">
        <v>293</v>
      </c>
      <c r="C1858" t="s">
        <v>404</v>
      </c>
      <c r="D1858">
        <v>44</v>
      </c>
      <c r="E1858">
        <v>156</v>
      </c>
      <c r="F1858">
        <v>0</v>
      </c>
      <c r="G1858">
        <v>0</v>
      </c>
      <c r="H1858">
        <v>0</v>
      </c>
      <c r="I1858">
        <v>0</v>
      </c>
      <c r="J1858">
        <v>0</v>
      </c>
      <c r="K1858">
        <v>0</v>
      </c>
      <c r="L1858">
        <v>0</v>
      </c>
      <c r="M1858">
        <v>0</v>
      </c>
      <c r="N1858">
        <v>0</v>
      </c>
      <c r="O1858">
        <v>0</v>
      </c>
    </row>
    <row r="1859" spans="1:15">
      <c r="A1859" t="s">
        <v>2174</v>
      </c>
      <c r="B1859" t="s">
        <v>293</v>
      </c>
      <c r="C1859" t="s">
        <v>404</v>
      </c>
      <c r="D1859">
        <v>45</v>
      </c>
      <c r="E1859">
        <v>156</v>
      </c>
      <c r="F1859">
        <v>0</v>
      </c>
      <c r="G1859">
        <v>0</v>
      </c>
      <c r="H1859">
        <v>0</v>
      </c>
      <c r="I1859">
        <v>0</v>
      </c>
      <c r="J1859">
        <v>0</v>
      </c>
      <c r="K1859">
        <v>0</v>
      </c>
      <c r="L1859">
        <v>0</v>
      </c>
      <c r="M1859">
        <v>0</v>
      </c>
      <c r="N1859">
        <v>0</v>
      </c>
      <c r="O1859">
        <v>0</v>
      </c>
    </row>
    <row r="1860" spans="1:15">
      <c r="A1860" t="s">
        <v>2175</v>
      </c>
      <c r="B1860" t="s">
        <v>293</v>
      </c>
      <c r="C1860" t="s">
        <v>404</v>
      </c>
      <c r="D1860">
        <v>46</v>
      </c>
      <c r="E1860">
        <v>156</v>
      </c>
      <c r="F1860">
        <v>0</v>
      </c>
      <c r="G1860">
        <v>0</v>
      </c>
      <c r="H1860">
        <v>0</v>
      </c>
      <c r="I1860">
        <v>0</v>
      </c>
      <c r="J1860">
        <v>0</v>
      </c>
      <c r="K1860">
        <v>0</v>
      </c>
      <c r="L1860">
        <v>0</v>
      </c>
      <c r="M1860">
        <v>0</v>
      </c>
      <c r="N1860">
        <v>0</v>
      </c>
      <c r="O1860">
        <v>0</v>
      </c>
    </row>
    <row r="1861" spans="1:15">
      <c r="A1861" t="s">
        <v>2176</v>
      </c>
      <c r="B1861" t="s">
        <v>293</v>
      </c>
      <c r="C1861" t="s">
        <v>404</v>
      </c>
      <c r="D1861">
        <v>47</v>
      </c>
      <c r="E1861">
        <v>156</v>
      </c>
      <c r="F1861">
        <v>0</v>
      </c>
      <c r="G1861">
        <v>0</v>
      </c>
      <c r="H1861">
        <v>0</v>
      </c>
      <c r="I1861">
        <v>0</v>
      </c>
      <c r="J1861">
        <v>0</v>
      </c>
      <c r="K1861">
        <v>0</v>
      </c>
      <c r="L1861">
        <v>0</v>
      </c>
      <c r="M1861">
        <v>0</v>
      </c>
      <c r="N1861">
        <v>0</v>
      </c>
      <c r="O1861">
        <v>0</v>
      </c>
    </row>
    <row r="1862" spans="1:15">
      <c r="A1862" t="s">
        <v>2177</v>
      </c>
      <c r="B1862" t="s">
        <v>293</v>
      </c>
      <c r="C1862" t="s">
        <v>404</v>
      </c>
      <c r="D1862">
        <v>48</v>
      </c>
      <c r="E1862">
        <v>156</v>
      </c>
      <c r="F1862">
        <v>0</v>
      </c>
      <c r="G1862">
        <v>0</v>
      </c>
      <c r="H1862">
        <v>0</v>
      </c>
      <c r="I1862">
        <v>0</v>
      </c>
      <c r="J1862">
        <v>0</v>
      </c>
      <c r="K1862">
        <v>0</v>
      </c>
      <c r="L1862">
        <v>0</v>
      </c>
      <c r="M1862">
        <v>0</v>
      </c>
      <c r="N1862">
        <v>0</v>
      </c>
      <c r="O1862">
        <v>0</v>
      </c>
    </row>
    <row r="1863" spans="1:15">
      <c r="A1863" t="s">
        <v>2178</v>
      </c>
      <c r="B1863" t="s">
        <v>293</v>
      </c>
      <c r="C1863" t="s">
        <v>404</v>
      </c>
      <c r="D1863">
        <v>49</v>
      </c>
      <c r="E1863">
        <v>156</v>
      </c>
      <c r="F1863">
        <v>0</v>
      </c>
      <c r="G1863">
        <v>0</v>
      </c>
      <c r="H1863">
        <v>0</v>
      </c>
      <c r="I1863">
        <v>0</v>
      </c>
      <c r="J1863">
        <v>0</v>
      </c>
      <c r="K1863">
        <v>0</v>
      </c>
      <c r="L1863">
        <v>0</v>
      </c>
      <c r="M1863">
        <v>0</v>
      </c>
      <c r="N1863">
        <v>0</v>
      </c>
      <c r="O1863">
        <v>0</v>
      </c>
    </row>
    <row r="1864" spans="1:15">
      <c r="A1864" t="s">
        <v>2179</v>
      </c>
      <c r="B1864" t="s">
        <v>293</v>
      </c>
      <c r="C1864" t="s">
        <v>404</v>
      </c>
      <c r="D1864">
        <v>50</v>
      </c>
      <c r="E1864">
        <v>156</v>
      </c>
      <c r="F1864">
        <v>0</v>
      </c>
      <c r="G1864">
        <v>0</v>
      </c>
      <c r="H1864">
        <v>0</v>
      </c>
      <c r="I1864">
        <v>0</v>
      </c>
      <c r="J1864">
        <v>0</v>
      </c>
      <c r="K1864">
        <v>0</v>
      </c>
      <c r="L1864">
        <v>0</v>
      </c>
      <c r="M1864">
        <v>0</v>
      </c>
      <c r="N1864">
        <v>0</v>
      </c>
      <c r="O1864">
        <v>0</v>
      </c>
    </row>
    <row r="1865" spans="1:15">
      <c r="A1865" t="s">
        <v>2180</v>
      </c>
      <c r="B1865" t="s">
        <v>293</v>
      </c>
      <c r="C1865" t="s">
        <v>404</v>
      </c>
      <c r="D1865">
        <v>51</v>
      </c>
      <c r="E1865">
        <v>156</v>
      </c>
      <c r="F1865">
        <v>0</v>
      </c>
      <c r="G1865">
        <v>0</v>
      </c>
      <c r="H1865">
        <v>0</v>
      </c>
      <c r="I1865">
        <v>0</v>
      </c>
      <c r="J1865">
        <v>0</v>
      </c>
      <c r="K1865">
        <v>0</v>
      </c>
      <c r="L1865">
        <v>0</v>
      </c>
      <c r="M1865">
        <v>0</v>
      </c>
      <c r="N1865">
        <v>0</v>
      </c>
      <c r="O1865">
        <v>0</v>
      </c>
    </row>
    <row r="1866" spans="1:15">
      <c r="A1866" t="s">
        <v>2181</v>
      </c>
      <c r="B1866" t="s">
        <v>293</v>
      </c>
      <c r="C1866" t="s">
        <v>404</v>
      </c>
      <c r="D1866">
        <v>52</v>
      </c>
      <c r="E1866">
        <v>156</v>
      </c>
      <c r="F1866">
        <v>0</v>
      </c>
      <c r="G1866">
        <v>0</v>
      </c>
      <c r="H1866">
        <v>0</v>
      </c>
      <c r="I1866">
        <v>0</v>
      </c>
      <c r="J1866">
        <v>0</v>
      </c>
      <c r="K1866">
        <v>0</v>
      </c>
      <c r="L1866">
        <v>0</v>
      </c>
      <c r="M1866">
        <v>0</v>
      </c>
      <c r="N1866">
        <v>0</v>
      </c>
      <c r="O1866">
        <v>0</v>
      </c>
    </row>
    <row r="1867" spans="1:15">
      <c r="A1867" t="s">
        <v>2182</v>
      </c>
      <c r="B1867" t="s">
        <v>293</v>
      </c>
      <c r="C1867" t="s">
        <v>404</v>
      </c>
      <c r="D1867">
        <v>53</v>
      </c>
      <c r="E1867">
        <v>156</v>
      </c>
      <c r="F1867">
        <v>0</v>
      </c>
      <c r="G1867">
        <v>0</v>
      </c>
      <c r="H1867">
        <v>0</v>
      </c>
      <c r="I1867">
        <v>0</v>
      </c>
      <c r="J1867">
        <v>0</v>
      </c>
      <c r="K1867">
        <v>0</v>
      </c>
      <c r="L1867">
        <v>0</v>
      </c>
      <c r="M1867">
        <v>0</v>
      </c>
      <c r="N1867">
        <v>0</v>
      </c>
      <c r="O1867">
        <v>0</v>
      </c>
    </row>
    <row r="1868" spans="1:15">
      <c r="A1868" t="s">
        <v>2183</v>
      </c>
      <c r="B1868" t="s">
        <v>293</v>
      </c>
      <c r="C1868" t="s">
        <v>404</v>
      </c>
      <c r="D1868">
        <v>54</v>
      </c>
      <c r="E1868">
        <v>156</v>
      </c>
      <c r="F1868">
        <v>0</v>
      </c>
      <c r="G1868">
        <v>0</v>
      </c>
      <c r="H1868">
        <v>0</v>
      </c>
      <c r="I1868">
        <v>0</v>
      </c>
      <c r="J1868">
        <v>0</v>
      </c>
      <c r="K1868">
        <v>0</v>
      </c>
      <c r="L1868">
        <v>0</v>
      </c>
      <c r="M1868">
        <v>0</v>
      </c>
      <c r="N1868">
        <v>0</v>
      </c>
      <c r="O1868">
        <v>0</v>
      </c>
    </row>
    <row r="1869" spans="1:15">
      <c r="A1869" t="s">
        <v>2184</v>
      </c>
      <c r="B1869" t="s">
        <v>293</v>
      </c>
      <c r="C1869" t="s">
        <v>404</v>
      </c>
      <c r="D1869">
        <v>55</v>
      </c>
      <c r="E1869">
        <v>156</v>
      </c>
      <c r="F1869">
        <v>0</v>
      </c>
      <c r="G1869">
        <v>0</v>
      </c>
      <c r="H1869">
        <v>0</v>
      </c>
      <c r="I1869">
        <v>0</v>
      </c>
      <c r="J1869">
        <v>0</v>
      </c>
      <c r="K1869">
        <v>0</v>
      </c>
      <c r="L1869">
        <v>0</v>
      </c>
      <c r="M1869">
        <v>0</v>
      </c>
      <c r="N1869">
        <v>0</v>
      </c>
      <c r="O1869">
        <v>0</v>
      </c>
    </row>
    <row r="1870" spans="1:15">
      <c r="A1870" t="s">
        <v>2185</v>
      </c>
      <c r="B1870" t="s">
        <v>293</v>
      </c>
      <c r="C1870" t="s">
        <v>404</v>
      </c>
      <c r="D1870">
        <v>56</v>
      </c>
      <c r="E1870">
        <v>156</v>
      </c>
      <c r="F1870">
        <v>0</v>
      </c>
      <c r="G1870">
        <v>0</v>
      </c>
      <c r="H1870">
        <v>0</v>
      </c>
      <c r="I1870">
        <v>0</v>
      </c>
      <c r="J1870">
        <v>0</v>
      </c>
      <c r="K1870">
        <v>0</v>
      </c>
      <c r="L1870">
        <v>0</v>
      </c>
      <c r="M1870">
        <v>0</v>
      </c>
      <c r="N1870">
        <v>0</v>
      </c>
      <c r="O1870">
        <v>0</v>
      </c>
    </row>
    <row r="1871" spans="1:15">
      <c r="A1871" t="s">
        <v>2186</v>
      </c>
      <c r="B1871" t="s">
        <v>293</v>
      </c>
      <c r="C1871" t="s">
        <v>404</v>
      </c>
      <c r="D1871">
        <v>57</v>
      </c>
      <c r="E1871">
        <v>156</v>
      </c>
      <c r="F1871">
        <v>0</v>
      </c>
      <c r="G1871">
        <v>0</v>
      </c>
      <c r="H1871">
        <v>0</v>
      </c>
      <c r="I1871">
        <v>0</v>
      </c>
      <c r="J1871">
        <v>0</v>
      </c>
      <c r="K1871">
        <v>0</v>
      </c>
      <c r="L1871">
        <v>0</v>
      </c>
      <c r="M1871">
        <v>0</v>
      </c>
      <c r="N1871">
        <v>0</v>
      </c>
      <c r="O1871">
        <v>0</v>
      </c>
    </row>
    <row r="1872" spans="1:15">
      <c r="A1872" t="s">
        <v>2187</v>
      </c>
      <c r="B1872" t="s">
        <v>293</v>
      </c>
      <c r="C1872" t="s">
        <v>404</v>
      </c>
      <c r="D1872">
        <v>58</v>
      </c>
      <c r="E1872">
        <v>156</v>
      </c>
      <c r="F1872">
        <v>0</v>
      </c>
      <c r="G1872">
        <v>0</v>
      </c>
      <c r="H1872">
        <v>0</v>
      </c>
      <c r="I1872">
        <v>0</v>
      </c>
      <c r="J1872">
        <v>0</v>
      </c>
      <c r="K1872">
        <v>0</v>
      </c>
      <c r="L1872">
        <v>0</v>
      </c>
      <c r="M1872">
        <v>0</v>
      </c>
      <c r="N1872">
        <v>0</v>
      </c>
      <c r="O1872">
        <v>0</v>
      </c>
    </row>
    <row r="1873" spans="1:15">
      <c r="A1873" t="s">
        <v>2188</v>
      </c>
      <c r="B1873" t="s">
        <v>293</v>
      </c>
      <c r="C1873" t="s">
        <v>404</v>
      </c>
      <c r="D1873">
        <v>59</v>
      </c>
      <c r="E1873">
        <v>156</v>
      </c>
      <c r="F1873">
        <v>0</v>
      </c>
      <c r="G1873">
        <v>0</v>
      </c>
      <c r="H1873">
        <v>0</v>
      </c>
      <c r="I1873">
        <v>0</v>
      </c>
      <c r="J1873">
        <v>0</v>
      </c>
      <c r="K1873">
        <v>0</v>
      </c>
      <c r="L1873">
        <v>0</v>
      </c>
      <c r="M1873">
        <v>0</v>
      </c>
      <c r="N1873">
        <v>0</v>
      </c>
      <c r="O1873">
        <v>0</v>
      </c>
    </row>
    <row r="1874" spans="1:15">
      <c r="A1874" t="s">
        <v>2189</v>
      </c>
      <c r="B1874" t="s">
        <v>293</v>
      </c>
      <c r="C1874" t="s">
        <v>404</v>
      </c>
      <c r="D1874">
        <v>60</v>
      </c>
      <c r="E1874">
        <v>156</v>
      </c>
      <c r="F1874">
        <v>0</v>
      </c>
      <c r="G1874">
        <v>0</v>
      </c>
      <c r="H1874">
        <v>0</v>
      </c>
      <c r="I1874">
        <v>0</v>
      </c>
      <c r="J1874">
        <v>0</v>
      </c>
      <c r="K1874">
        <v>0</v>
      </c>
      <c r="L1874">
        <v>0</v>
      </c>
      <c r="M1874">
        <v>0</v>
      </c>
      <c r="N1874">
        <v>0</v>
      </c>
      <c r="O1874">
        <v>0</v>
      </c>
    </row>
    <row r="1875" spans="1:15">
      <c r="A1875" t="s">
        <v>2190</v>
      </c>
      <c r="B1875" t="s">
        <v>293</v>
      </c>
      <c r="C1875" t="s">
        <v>404</v>
      </c>
      <c r="D1875">
        <v>61</v>
      </c>
      <c r="E1875">
        <v>156</v>
      </c>
      <c r="F1875">
        <v>0</v>
      </c>
      <c r="G1875">
        <v>0</v>
      </c>
      <c r="H1875">
        <v>0</v>
      </c>
      <c r="I1875">
        <v>0</v>
      </c>
      <c r="J1875">
        <v>0</v>
      </c>
      <c r="K1875">
        <v>0</v>
      </c>
      <c r="L1875">
        <v>0</v>
      </c>
      <c r="M1875">
        <v>0</v>
      </c>
      <c r="N1875">
        <v>0</v>
      </c>
      <c r="O1875">
        <v>0</v>
      </c>
    </row>
    <row r="1876" spans="1:15">
      <c r="A1876" t="s">
        <v>2191</v>
      </c>
      <c r="B1876" t="s">
        <v>293</v>
      </c>
      <c r="C1876" t="s">
        <v>404</v>
      </c>
      <c r="D1876">
        <v>62</v>
      </c>
      <c r="E1876">
        <v>156</v>
      </c>
      <c r="F1876">
        <v>0</v>
      </c>
      <c r="G1876">
        <v>0</v>
      </c>
      <c r="H1876">
        <v>0</v>
      </c>
      <c r="I1876">
        <v>0</v>
      </c>
      <c r="J1876">
        <v>0</v>
      </c>
      <c r="K1876">
        <v>0</v>
      </c>
      <c r="L1876">
        <v>0</v>
      </c>
      <c r="M1876">
        <v>0</v>
      </c>
      <c r="N1876">
        <v>0</v>
      </c>
      <c r="O1876">
        <v>0</v>
      </c>
    </row>
    <row r="1877" spans="1:15">
      <c r="A1877" t="s">
        <v>2192</v>
      </c>
      <c r="B1877" t="s">
        <v>293</v>
      </c>
      <c r="C1877" t="s">
        <v>404</v>
      </c>
      <c r="D1877">
        <v>63</v>
      </c>
      <c r="E1877">
        <v>156</v>
      </c>
      <c r="F1877">
        <v>0</v>
      </c>
      <c r="G1877">
        <v>0</v>
      </c>
      <c r="H1877">
        <v>0</v>
      </c>
      <c r="I1877">
        <v>0</v>
      </c>
      <c r="J1877">
        <v>0</v>
      </c>
      <c r="K1877">
        <v>0</v>
      </c>
      <c r="L1877">
        <v>0</v>
      </c>
      <c r="M1877">
        <v>0</v>
      </c>
      <c r="N1877">
        <v>0</v>
      </c>
      <c r="O1877">
        <v>0</v>
      </c>
    </row>
    <row r="1878" spans="1:15">
      <c r="A1878" t="s">
        <v>2193</v>
      </c>
      <c r="B1878" t="s">
        <v>293</v>
      </c>
      <c r="C1878" t="s">
        <v>404</v>
      </c>
      <c r="D1878">
        <v>64</v>
      </c>
      <c r="E1878">
        <v>156</v>
      </c>
      <c r="F1878">
        <v>0</v>
      </c>
      <c r="G1878">
        <v>0</v>
      </c>
      <c r="H1878">
        <v>0</v>
      </c>
      <c r="I1878">
        <v>0</v>
      </c>
      <c r="J1878">
        <v>0</v>
      </c>
      <c r="K1878">
        <v>0</v>
      </c>
      <c r="L1878">
        <v>0</v>
      </c>
      <c r="M1878">
        <v>0</v>
      </c>
      <c r="N1878">
        <v>0</v>
      </c>
      <c r="O1878">
        <v>0</v>
      </c>
    </row>
    <row r="1879" spans="1:15">
      <c r="A1879" t="s">
        <v>2194</v>
      </c>
      <c r="B1879" t="s">
        <v>293</v>
      </c>
      <c r="C1879" t="s">
        <v>404</v>
      </c>
      <c r="D1879">
        <v>65</v>
      </c>
      <c r="E1879">
        <v>156</v>
      </c>
      <c r="F1879">
        <v>0</v>
      </c>
      <c r="G1879">
        <v>0</v>
      </c>
      <c r="H1879">
        <v>0</v>
      </c>
      <c r="I1879">
        <v>0</v>
      </c>
      <c r="J1879">
        <v>0</v>
      </c>
      <c r="K1879">
        <v>0</v>
      </c>
      <c r="L1879">
        <v>0</v>
      </c>
      <c r="M1879">
        <v>0</v>
      </c>
      <c r="N1879">
        <v>0</v>
      </c>
      <c r="O1879">
        <v>0</v>
      </c>
    </row>
    <row r="1880" spans="1:15">
      <c r="A1880" t="s">
        <v>2195</v>
      </c>
      <c r="B1880" t="s">
        <v>293</v>
      </c>
      <c r="C1880" t="s">
        <v>404</v>
      </c>
      <c r="D1880">
        <v>66</v>
      </c>
      <c r="E1880">
        <v>156</v>
      </c>
      <c r="F1880">
        <v>0</v>
      </c>
      <c r="G1880">
        <v>0</v>
      </c>
      <c r="H1880">
        <v>0</v>
      </c>
      <c r="I1880">
        <v>0</v>
      </c>
      <c r="J1880">
        <v>0</v>
      </c>
      <c r="K1880">
        <v>0</v>
      </c>
      <c r="L1880">
        <v>0</v>
      </c>
      <c r="M1880">
        <v>0</v>
      </c>
      <c r="N1880">
        <v>0</v>
      </c>
      <c r="O1880">
        <v>0</v>
      </c>
    </row>
    <row r="1881" spans="1:15">
      <c r="A1881" t="s">
        <v>2196</v>
      </c>
      <c r="B1881" t="s">
        <v>293</v>
      </c>
      <c r="C1881" t="s">
        <v>404</v>
      </c>
      <c r="D1881">
        <v>67</v>
      </c>
      <c r="E1881">
        <v>156</v>
      </c>
      <c r="F1881">
        <v>0</v>
      </c>
      <c r="G1881">
        <v>0</v>
      </c>
      <c r="H1881">
        <v>0</v>
      </c>
      <c r="I1881">
        <v>0</v>
      </c>
      <c r="J1881">
        <v>0</v>
      </c>
      <c r="K1881">
        <v>0</v>
      </c>
      <c r="L1881">
        <v>0</v>
      </c>
      <c r="M1881">
        <v>0</v>
      </c>
      <c r="N1881">
        <v>0</v>
      </c>
      <c r="O1881">
        <v>0</v>
      </c>
    </row>
    <row r="1882" spans="1:15">
      <c r="A1882" t="s">
        <v>2197</v>
      </c>
      <c r="B1882" t="s">
        <v>293</v>
      </c>
      <c r="C1882" t="s">
        <v>404</v>
      </c>
      <c r="D1882">
        <v>68</v>
      </c>
      <c r="E1882">
        <v>156</v>
      </c>
      <c r="F1882">
        <v>0</v>
      </c>
      <c r="G1882">
        <v>0</v>
      </c>
      <c r="H1882">
        <v>0</v>
      </c>
      <c r="I1882">
        <v>0</v>
      </c>
      <c r="J1882">
        <v>0</v>
      </c>
      <c r="K1882">
        <v>0</v>
      </c>
      <c r="L1882">
        <v>0</v>
      </c>
      <c r="M1882">
        <v>0</v>
      </c>
      <c r="N1882">
        <v>0</v>
      </c>
      <c r="O1882">
        <v>0</v>
      </c>
    </row>
    <row r="1883" spans="1:15">
      <c r="A1883" t="s">
        <v>2198</v>
      </c>
      <c r="B1883" t="s">
        <v>293</v>
      </c>
      <c r="C1883" t="s">
        <v>404</v>
      </c>
      <c r="D1883">
        <v>69</v>
      </c>
      <c r="E1883">
        <v>156</v>
      </c>
      <c r="F1883">
        <v>0</v>
      </c>
      <c r="G1883">
        <v>0</v>
      </c>
      <c r="H1883">
        <v>0</v>
      </c>
      <c r="I1883">
        <v>0</v>
      </c>
      <c r="J1883">
        <v>0</v>
      </c>
      <c r="K1883">
        <v>0</v>
      </c>
      <c r="L1883">
        <v>0</v>
      </c>
      <c r="M1883">
        <v>0</v>
      </c>
      <c r="N1883">
        <v>0</v>
      </c>
      <c r="O1883">
        <v>0</v>
      </c>
    </row>
    <row r="1884" spans="1:15">
      <c r="A1884" t="s">
        <v>2199</v>
      </c>
      <c r="B1884" t="s">
        <v>293</v>
      </c>
      <c r="C1884" t="s">
        <v>404</v>
      </c>
      <c r="D1884">
        <v>70</v>
      </c>
      <c r="E1884">
        <v>156</v>
      </c>
      <c r="F1884">
        <v>0</v>
      </c>
      <c r="G1884">
        <v>0</v>
      </c>
      <c r="H1884">
        <v>0</v>
      </c>
      <c r="I1884">
        <v>0</v>
      </c>
      <c r="J1884">
        <v>0</v>
      </c>
      <c r="K1884">
        <v>0</v>
      </c>
      <c r="L1884">
        <v>0</v>
      </c>
      <c r="M1884">
        <v>0</v>
      </c>
      <c r="N1884">
        <v>0</v>
      </c>
      <c r="O1884">
        <v>0</v>
      </c>
    </row>
    <row r="1885" spans="1:15">
      <c r="A1885" t="s">
        <v>2200</v>
      </c>
      <c r="B1885" t="s">
        <v>293</v>
      </c>
      <c r="C1885" t="s">
        <v>404</v>
      </c>
      <c r="D1885">
        <v>71</v>
      </c>
      <c r="E1885">
        <v>156</v>
      </c>
      <c r="F1885">
        <v>0</v>
      </c>
      <c r="G1885">
        <v>0</v>
      </c>
      <c r="H1885">
        <v>0</v>
      </c>
      <c r="I1885">
        <v>0</v>
      </c>
      <c r="J1885">
        <v>0</v>
      </c>
      <c r="K1885">
        <v>0</v>
      </c>
      <c r="L1885">
        <v>0</v>
      </c>
      <c r="M1885">
        <v>0</v>
      </c>
      <c r="N1885">
        <v>0</v>
      </c>
      <c r="O1885">
        <v>0</v>
      </c>
    </row>
    <row r="1886" spans="1:15">
      <c r="A1886" t="s">
        <v>2201</v>
      </c>
      <c r="B1886" t="s">
        <v>293</v>
      </c>
      <c r="C1886" t="s">
        <v>404</v>
      </c>
      <c r="D1886">
        <v>72</v>
      </c>
      <c r="E1886">
        <v>156</v>
      </c>
      <c r="F1886">
        <v>0</v>
      </c>
      <c r="G1886">
        <v>0</v>
      </c>
      <c r="H1886">
        <v>0</v>
      </c>
      <c r="I1886">
        <v>0</v>
      </c>
      <c r="J1886">
        <v>0</v>
      </c>
      <c r="K1886">
        <v>0</v>
      </c>
      <c r="L1886">
        <v>0</v>
      </c>
      <c r="M1886">
        <v>0</v>
      </c>
      <c r="N1886">
        <v>0</v>
      </c>
      <c r="O1886">
        <v>0</v>
      </c>
    </row>
    <row r="1887" spans="1:15">
      <c r="A1887" t="s">
        <v>2202</v>
      </c>
      <c r="B1887" t="s">
        <v>293</v>
      </c>
      <c r="C1887" t="s">
        <v>404</v>
      </c>
      <c r="D1887">
        <v>73</v>
      </c>
      <c r="E1887">
        <v>156</v>
      </c>
      <c r="F1887">
        <v>0</v>
      </c>
      <c r="G1887">
        <v>0</v>
      </c>
      <c r="H1887">
        <v>0</v>
      </c>
      <c r="I1887">
        <v>0</v>
      </c>
      <c r="J1887">
        <v>0</v>
      </c>
      <c r="K1887">
        <v>0</v>
      </c>
      <c r="L1887">
        <v>0</v>
      </c>
      <c r="M1887">
        <v>0</v>
      </c>
      <c r="N1887">
        <v>0</v>
      </c>
      <c r="O1887">
        <v>0</v>
      </c>
    </row>
    <row r="1888" spans="1:15">
      <c r="A1888" t="s">
        <v>2203</v>
      </c>
      <c r="B1888" t="s">
        <v>293</v>
      </c>
      <c r="C1888" t="s">
        <v>404</v>
      </c>
      <c r="D1888">
        <v>74</v>
      </c>
      <c r="E1888">
        <v>156</v>
      </c>
      <c r="F1888">
        <v>0</v>
      </c>
      <c r="G1888">
        <v>0</v>
      </c>
      <c r="H1888">
        <v>0</v>
      </c>
      <c r="I1888">
        <v>0</v>
      </c>
      <c r="J1888">
        <v>0</v>
      </c>
      <c r="K1888">
        <v>0</v>
      </c>
      <c r="L1888">
        <v>0</v>
      </c>
      <c r="M1888">
        <v>0</v>
      </c>
      <c r="N1888">
        <v>0</v>
      </c>
      <c r="O1888">
        <v>0</v>
      </c>
    </row>
    <row r="1889" spans="1:15">
      <c r="A1889" t="s">
        <v>2204</v>
      </c>
      <c r="B1889" t="s">
        <v>293</v>
      </c>
      <c r="C1889" t="s">
        <v>404</v>
      </c>
      <c r="D1889">
        <v>75</v>
      </c>
      <c r="E1889">
        <v>156</v>
      </c>
      <c r="F1889">
        <v>0</v>
      </c>
      <c r="G1889">
        <v>0</v>
      </c>
      <c r="H1889">
        <v>0</v>
      </c>
      <c r="I1889">
        <v>0</v>
      </c>
      <c r="J1889">
        <v>0</v>
      </c>
      <c r="K1889">
        <v>0</v>
      </c>
      <c r="L1889">
        <v>0</v>
      </c>
      <c r="M1889">
        <v>0</v>
      </c>
      <c r="N1889">
        <v>0</v>
      </c>
      <c r="O1889">
        <v>0</v>
      </c>
    </row>
    <row r="1890" spans="1:15">
      <c r="A1890" t="s">
        <v>2205</v>
      </c>
      <c r="B1890" t="s">
        <v>293</v>
      </c>
      <c r="C1890" t="s">
        <v>404</v>
      </c>
      <c r="D1890">
        <v>76</v>
      </c>
      <c r="E1890">
        <v>156</v>
      </c>
      <c r="F1890">
        <v>0</v>
      </c>
      <c r="G1890">
        <v>0</v>
      </c>
      <c r="H1890">
        <v>0</v>
      </c>
      <c r="I1890">
        <v>0</v>
      </c>
      <c r="J1890">
        <v>0</v>
      </c>
      <c r="K1890">
        <v>0</v>
      </c>
      <c r="L1890">
        <v>0</v>
      </c>
      <c r="M1890">
        <v>0</v>
      </c>
      <c r="N1890">
        <v>0</v>
      </c>
      <c r="O1890">
        <v>0</v>
      </c>
    </row>
    <row r="1891" spans="1:15">
      <c r="A1891" t="s">
        <v>2206</v>
      </c>
      <c r="B1891" t="s">
        <v>293</v>
      </c>
      <c r="C1891" t="s">
        <v>404</v>
      </c>
      <c r="D1891">
        <v>77</v>
      </c>
      <c r="E1891">
        <v>156</v>
      </c>
      <c r="F1891">
        <v>0</v>
      </c>
      <c r="G1891">
        <v>0</v>
      </c>
      <c r="H1891">
        <v>0</v>
      </c>
      <c r="I1891">
        <v>0</v>
      </c>
      <c r="J1891">
        <v>0</v>
      </c>
      <c r="K1891">
        <v>0</v>
      </c>
      <c r="L1891">
        <v>0</v>
      </c>
      <c r="M1891">
        <v>0</v>
      </c>
      <c r="N1891">
        <v>0</v>
      </c>
      <c r="O1891">
        <v>0</v>
      </c>
    </row>
    <row r="1892" spans="1:15">
      <c r="A1892" t="s">
        <v>2207</v>
      </c>
      <c r="B1892" t="s">
        <v>293</v>
      </c>
      <c r="C1892" t="s">
        <v>404</v>
      </c>
      <c r="D1892">
        <v>78</v>
      </c>
      <c r="E1892">
        <v>156</v>
      </c>
      <c r="F1892">
        <v>0</v>
      </c>
      <c r="G1892">
        <v>0</v>
      </c>
      <c r="H1892">
        <v>0</v>
      </c>
      <c r="I1892">
        <v>0</v>
      </c>
      <c r="J1892">
        <v>0</v>
      </c>
      <c r="K1892">
        <v>0</v>
      </c>
      <c r="L1892">
        <v>0</v>
      </c>
      <c r="M1892">
        <v>0</v>
      </c>
      <c r="N1892">
        <v>0</v>
      </c>
      <c r="O1892">
        <v>0</v>
      </c>
    </row>
    <row r="1893" spans="1:15">
      <c r="A1893" t="s">
        <v>2208</v>
      </c>
      <c r="B1893" t="s">
        <v>293</v>
      </c>
      <c r="C1893" t="s">
        <v>404</v>
      </c>
      <c r="D1893">
        <v>79</v>
      </c>
      <c r="E1893">
        <v>156</v>
      </c>
      <c r="F1893">
        <v>0</v>
      </c>
      <c r="G1893">
        <v>0</v>
      </c>
      <c r="H1893">
        <v>0</v>
      </c>
      <c r="I1893">
        <v>0</v>
      </c>
      <c r="J1893">
        <v>0</v>
      </c>
      <c r="K1893">
        <v>0</v>
      </c>
      <c r="L1893">
        <v>0</v>
      </c>
      <c r="M1893">
        <v>0</v>
      </c>
      <c r="N1893">
        <v>0</v>
      </c>
      <c r="O1893">
        <v>0</v>
      </c>
    </row>
    <row r="1894" spans="1:15">
      <c r="A1894" t="s">
        <v>2209</v>
      </c>
      <c r="B1894" t="s">
        <v>293</v>
      </c>
      <c r="C1894" t="s">
        <v>404</v>
      </c>
      <c r="D1894">
        <v>80</v>
      </c>
      <c r="E1894">
        <v>156</v>
      </c>
      <c r="F1894">
        <v>0</v>
      </c>
      <c r="G1894">
        <v>0</v>
      </c>
      <c r="H1894">
        <v>0</v>
      </c>
      <c r="I1894">
        <v>0</v>
      </c>
      <c r="J1894">
        <v>0</v>
      </c>
      <c r="K1894">
        <v>0</v>
      </c>
      <c r="L1894">
        <v>0</v>
      </c>
      <c r="M1894">
        <v>0</v>
      </c>
      <c r="N1894">
        <v>0</v>
      </c>
      <c r="O1894">
        <v>0</v>
      </c>
    </row>
    <row r="1895" spans="1:15">
      <c r="A1895" t="s">
        <v>2210</v>
      </c>
      <c r="B1895" t="s">
        <v>293</v>
      </c>
      <c r="C1895" t="s">
        <v>404</v>
      </c>
      <c r="D1895">
        <v>81</v>
      </c>
      <c r="E1895">
        <v>156</v>
      </c>
      <c r="F1895">
        <v>0</v>
      </c>
      <c r="G1895">
        <v>0</v>
      </c>
      <c r="H1895">
        <v>0</v>
      </c>
      <c r="I1895">
        <v>0</v>
      </c>
      <c r="J1895">
        <v>0</v>
      </c>
      <c r="K1895">
        <v>0</v>
      </c>
      <c r="L1895">
        <v>0</v>
      </c>
      <c r="M1895">
        <v>0</v>
      </c>
      <c r="N1895">
        <v>0</v>
      </c>
      <c r="O1895">
        <v>0</v>
      </c>
    </row>
    <row r="1896" spans="1:15">
      <c r="A1896" t="s">
        <v>2211</v>
      </c>
      <c r="B1896" t="s">
        <v>293</v>
      </c>
      <c r="C1896" t="s">
        <v>404</v>
      </c>
      <c r="D1896">
        <v>82</v>
      </c>
      <c r="E1896">
        <v>156</v>
      </c>
      <c r="F1896">
        <v>0</v>
      </c>
      <c r="G1896">
        <v>0</v>
      </c>
      <c r="H1896">
        <v>0</v>
      </c>
      <c r="I1896">
        <v>0</v>
      </c>
      <c r="J1896">
        <v>0</v>
      </c>
      <c r="K1896">
        <v>0</v>
      </c>
      <c r="L1896">
        <v>0</v>
      </c>
      <c r="M1896">
        <v>0</v>
      </c>
      <c r="N1896">
        <v>0</v>
      </c>
      <c r="O1896">
        <v>0</v>
      </c>
    </row>
    <row r="1897" spans="1:15">
      <c r="A1897" t="s">
        <v>2212</v>
      </c>
      <c r="B1897" t="s">
        <v>293</v>
      </c>
      <c r="C1897" t="s">
        <v>404</v>
      </c>
      <c r="D1897">
        <v>83</v>
      </c>
      <c r="E1897">
        <v>156</v>
      </c>
      <c r="F1897">
        <v>0</v>
      </c>
      <c r="G1897">
        <v>0</v>
      </c>
      <c r="H1897">
        <v>0</v>
      </c>
      <c r="I1897">
        <v>0</v>
      </c>
      <c r="J1897">
        <v>0</v>
      </c>
      <c r="K1897">
        <v>0</v>
      </c>
      <c r="L1897">
        <v>0</v>
      </c>
      <c r="M1897">
        <v>0</v>
      </c>
      <c r="N1897">
        <v>0</v>
      </c>
      <c r="O1897">
        <v>0</v>
      </c>
    </row>
    <row r="1898" spans="1:15">
      <c r="A1898" t="s">
        <v>2213</v>
      </c>
      <c r="B1898" t="s">
        <v>293</v>
      </c>
      <c r="C1898" t="s">
        <v>404</v>
      </c>
      <c r="D1898">
        <v>84</v>
      </c>
      <c r="E1898">
        <v>156</v>
      </c>
      <c r="F1898">
        <v>0</v>
      </c>
      <c r="G1898">
        <v>0</v>
      </c>
      <c r="H1898">
        <v>0</v>
      </c>
      <c r="I1898">
        <v>0</v>
      </c>
      <c r="J1898">
        <v>0</v>
      </c>
      <c r="K1898">
        <v>0</v>
      </c>
      <c r="L1898">
        <v>0</v>
      </c>
      <c r="M1898">
        <v>0</v>
      </c>
      <c r="N1898">
        <v>0</v>
      </c>
      <c r="O1898">
        <v>0</v>
      </c>
    </row>
    <row r="1899" spans="1:15">
      <c r="A1899" t="s">
        <v>2214</v>
      </c>
      <c r="B1899" t="s">
        <v>293</v>
      </c>
      <c r="C1899" t="s">
        <v>404</v>
      </c>
      <c r="D1899">
        <v>85</v>
      </c>
      <c r="E1899">
        <v>156</v>
      </c>
      <c r="F1899">
        <v>0</v>
      </c>
      <c r="G1899">
        <v>0</v>
      </c>
      <c r="H1899">
        <v>0</v>
      </c>
      <c r="I1899">
        <v>0</v>
      </c>
      <c r="J1899">
        <v>0</v>
      </c>
      <c r="K1899">
        <v>0</v>
      </c>
      <c r="L1899">
        <v>0</v>
      </c>
      <c r="M1899">
        <v>0</v>
      </c>
      <c r="N1899">
        <v>0</v>
      </c>
      <c r="O1899">
        <v>0</v>
      </c>
    </row>
    <row r="1900" spans="1:15">
      <c r="A1900" t="s">
        <v>2215</v>
      </c>
      <c r="B1900" t="s">
        <v>2216</v>
      </c>
      <c r="C1900" t="s">
        <v>317</v>
      </c>
      <c r="D1900">
        <v>0</v>
      </c>
      <c r="E1900">
        <v>156</v>
      </c>
      <c r="F1900">
        <v>0</v>
      </c>
      <c r="G1900">
        <v>0</v>
      </c>
      <c r="H1900">
        <v>0</v>
      </c>
      <c r="I1900">
        <v>0</v>
      </c>
      <c r="J1900">
        <v>0</v>
      </c>
      <c r="K1900">
        <v>0</v>
      </c>
      <c r="L1900">
        <v>0</v>
      </c>
      <c r="M1900">
        <v>0</v>
      </c>
      <c r="N1900">
        <v>0</v>
      </c>
      <c r="O1900">
        <v>0</v>
      </c>
    </row>
    <row r="1901" spans="1:15">
      <c r="A1901" t="s">
        <v>2217</v>
      </c>
      <c r="B1901" t="s">
        <v>2216</v>
      </c>
      <c r="C1901" t="s">
        <v>317</v>
      </c>
      <c r="D1901">
        <v>1</v>
      </c>
      <c r="E1901">
        <v>156</v>
      </c>
      <c r="F1901">
        <v>0</v>
      </c>
      <c r="G1901">
        <v>0</v>
      </c>
      <c r="H1901">
        <v>0</v>
      </c>
      <c r="I1901">
        <v>0</v>
      </c>
      <c r="J1901">
        <v>0</v>
      </c>
      <c r="K1901">
        <v>0</v>
      </c>
      <c r="L1901">
        <v>0</v>
      </c>
      <c r="M1901">
        <v>0</v>
      </c>
      <c r="N1901">
        <v>0</v>
      </c>
      <c r="O1901">
        <v>0</v>
      </c>
    </row>
    <row r="1902" spans="1:15">
      <c r="A1902" t="s">
        <v>2218</v>
      </c>
      <c r="B1902" t="s">
        <v>2216</v>
      </c>
      <c r="C1902" t="s">
        <v>317</v>
      </c>
      <c r="D1902">
        <v>2</v>
      </c>
      <c r="E1902">
        <v>156</v>
      </c>
      <c r="F1902">
        <v>0</v>
      </c>
      <c r="G1902">
        <v>0</v>
      </c>
      <c r="H1902">
        <v>0</v>
      </c>
      <c r="I1902">
        <v>0</v>
      </c>
      <c r="J1902">
        <v>0</v>
      </c>
      <c r="K1902">
        <v>0</v>
      </c>
      <c r="L1902">
        <v>0</v>
      </c>
      <c r="M1902">
        <v>0</v>
      </c>
      <c r="N1902">
        <v>0</v>
      </c>
      <c r="O1902">
        <v>0</v>
      </c>
    </row>
    <row r="1903" spans="1:15">
      <c r="A1903" t="s">
        <v>2219</v>
      </c>
      <c r="B1903" t="s">
        <v>2216</v>
      </c>
      <c r="C1903" t="s">
        <v>317</v>
      </c>
      <c r="D1903">
        <v>3</v>
      </c>
      <c r="E1903">
        <v>156</v>
      </c>
      <c r="F1903">
        <v>0</v>
      </c>
      <c r="G1903">
        <v>0</v>
      </c>
      <c r="H1903">
        <v>0</v>
      </c>
      <c r="I1903">
        <v>0</v>
      </c>
      <c r="J1903">
        <v>0</v>
      </c>
      <c r="K1903">
        <v>0</v>
      </c>
      <c r="L1903">
        <v>0</v>
      </c>
      <c r="M1903">
        <v>0</v>
      </c>
      <c r="N1903">
        <v>0</v>
      </c>
      <c r="O1903">
        <v>0</v>
      </c>
    </row>
    <row r="1904" spans="1:15">
      <c r="A1904" t="s">
        <v>2220</v>
      </c>
      <c r="B1904" t="s">
        <v>2216</v>
      </c>
      <c r="C1904" t="s">
        <v>317</v>
      </c>
      <c r="D1904">
        <v>4</v>
      </c>
      <c r="E1904">
        <v>156</v>
      </c>
      <c r="F1904">
        <v>0</v>
      </c>
      <c r="G1904">
        <v>0</v>
      </c>
      <c r="H1904">
        <v>0</v>
      </c>
      <c r="I1904">
        <v>0</v>
      </c>
      <c r="J1904">
        <v>0</v>
      </c>
      <c r="K1904">
        <v>0</v>
      </c>
      <c r="L1904">
        <v>0</v>
      </c>
      <c r="M1904">
        <v>0</v>
      </c>
      <c r="N1904">
        <v>0</v>
      </c>
      <c r="O1904">
        <v>0</v>
      </c>
    </row>
    <row r="1905" spans="1:15">
      <c r="A1905" t="s">
        <v>2221</v>
      </c>
      <c r="B1905" t="s">
        <v>2216</v>
      </c>
      <c r="C1905" t="s">
        <v>317</v>
      </c>
      <c r="D1905">
        <v>5</v>
      </c>
      <c r="E1905">
        <v>156</v>
      </c>
      <c r="F1905">
        <v>0</v>
      </c>
      <c r="G1905">
        <v>0</v>
      </c>
      <c r="H1905">
        <v>0</v>
      </c>
      <c r="I1905">
        <v>0</v>
      </c>
      <c r="J1905">
        <v>0</v>
      </c>
      <c r="K1905">
        <v>0</v>
      </c>
      <c r="L1905">
        <v>0</v>
      </c>
      <c r="M1905">
        <v>0</v>
      </c>
      <c r="N1905">
        <v>0</v>
      </c>
      <c r="O1905">
        <v>0</v>
      </c>
    </row>
    <row r="1906" spans="1:15">
      <c r="A1906" t="s">
        <v>2222</v>
      </c>
      <c r="B1906" t="s">
        <v>2216</v>
      </c>
      <c r="C1906" t="s">
        <v>317</v>
      </c>
      <c r="D1906">
        <v>6</v>
      </c>
      <c r="E1906">
        <v>156</v>
      </c>
      <c r="F1906">
        <v>0</v>
      </c>
      <c r="G1906">
        <v>0</v>
      </c>
      <c r="H1906">
        <v>0</v>
      </c>
      <c r="I1906">
        <v>0</v>
      </c>
      <c r="J1906">
        <v>0</v>
      </c>
      <c r="K1906">
        <v>0</v>
      </c>
      <c r="L1906">
        <v>0</v>
      </c>
      <c r="M1906">
        <v>0</v>
      </c>
      <c r="N1906">
        <v>0</v>
      </c>
      <c r="O1906">
        <v>0</v>
      </c>
    </row>
    <row r="1907" spans="1:15">
      <c r="A1907" t="s">
        <v>2223</v>
      </c>
      <c r="B1907" t="s">
        <v>2216</v>
      </c>
      <c r="C1907" t="s">
        <v>317</v>
      </c>
      <c r="D1907">
        <v>7</v>
      </c>
      <c r="E1907">
        <v>156</v>
      </c>
      <c r="F1907">
        <v>0</v>
      </c>
      <c r="G1907">
        <v>0</v>
      </c>
      <c r="H1907">
        <v>0</v>
      </c>
      <c r="I1907">
        <v>0</v>
      </c>
      <c r="J1907">
        <v>0</v>
      </c>
      <c r="K1907">
        <v>0</v>
      </c>
      <c r="L1907">
        <v>0</v>
      </c>
      <c r="M1907">
        <v>0</v>
      </c>
      <c r="N1907">
        <v>0</v>
      </c>
      <c r="O1907">
        <v>0</v>
      </c>
    </row>
    <row r="1908" spans="1:15">
      <c r="A1908" t="s">
        <v>2224</v>
      </c>
      <c r="B1908" t="s">
        <v>2216</v>
      </c>
      <c r="C1908" t="s">
        <v>317</v>
      </c>
      <c r="D1908">
        <v>8</v>
      </c>
      <c r="E1908">
        <v>156</v>
      </c>
      <c r="F1908">
        <v>0</v>
      </c>
      <c r="G1908">
        <v>0</v>
      </c>
      <c r="H1908">
        <v>0</v>
      </c>
      <c r="I1908">
        <v>0</v>
      </c>
      <c r="J1908">
        <v>0</v>
      </c>
      <c r="K1908">
        <v>0</v>
      </c>
      <c r="L1908">
        <v>0</v>
      </c>
      <c r="M1908">
        <v>0</v>
      </c>
      <c r="N1908">
        <v>0</v>
      </c>
      <c r="O1908">
        <v>0</v>
      </c>
    </row>
    <row r="1909" spans="1:15">
      <c r="A1909" t="s">
        <v>2225</v>
      </c>
      <c r="B1909" t="s">
        <v>2216</v>
      </c>
      <c r="C1909" t="s">
        <v>317</v>
      </c>
      <c r="D1909">
        <v>9</v>
      </c>
      <c r="E1909">
        <v>156</v>
      </c>
      <c r="F1909">
        <v>0</v>
      </c>
      <c r="G1909">
        <v>0</v>
      </c>
      <c r="H1909">
        <v>0</v>
      </c>
      <c r="I1909">
        <v>0</v>
      </c>
      <c r="J1909">
        <v>0</v>
      </c>
      <c r="K1909">
        <v>0</v>
      </c>
      <c r="L1909">
        <v>0</v>
      </c>
      <c r="M1909">
        <v>0</v>
      </c>
      <c r="N1909">
        <v>0</v>
      </c>
      <c r="O1909">
        <v>0</v>
      </c>
    </row>
    <row r="1910" spans="1:15">
      <c r="A1910" t="s">
        <v>2226</v>
      </c>
      <c r="B1910" t="s">
        <v>2216</v>
      </c>
      <c r="C1910" t="s">
        <v>317</v>
      </c>
      <c r="D1910">
        <v>10</v>
      </c>
      <c r="E1910">
        <v>156</v>
      </c>
      <c r="F1910">
        <v>0</v>
      </c>
      <c r="G1910">
        <v>0</v>
      </c>
      <c r="H1910">
        <v>0</v>
      </c>
      <c r="I1910">
        <v>0</v>
      </c>
      <c r="J1910">
        <v>0</v>
      </c>
      <c r="K1910">
        <v>0</v>
      </c>
      <c r="L1910">
        <v>0</v>
      </c>
      <c r="M1910">
        <v>0</v>
      </c>
      <c r="N1910">
        <v>0</v>
      </c>
      <c r="O1910">
        <v>0</v>
      </c>
    </row>
    <row r="1911" spans="1:15">
      <c r="A1911" t="s">
        <v>2227</v>
      </c>
      <c r="B1911" t="s">
        <v>2216</v>
      </c>
      <c r="C1911" t="s">
        <v>317</v>
      </c>
      <c r="D1911">
        <v>11</v>
      </c>
      <c r="E1911">
        <v>156</v>
      </c>
      <c r="F1911">
        <v>0</v>
      </c>
      <c r="G1911">
        <v>0</v>
      </c>
      <c r="H1911">
        <v>0</v>
      </c>
      <c r="I1911">
        <v>0</v>
      </c>
      <c r="J1911">
        <v>0</v>
      </c>
      <c r="K1911">
        <v>0</v>
      </c>
      <c r="L1911">
        <v>0</v>
      </c>
      <c r="M1911">
        <v>0</v>
      </c>
      <c r="N1911">
        <v>0</v>
      </c>
      <c r="O1911">
        <v>0</v>
      </c>
    </row>
    <row r="1912" spans="1:15">
      <c r="A1912" t="s">
        <v>2228</v>
      </c>
      <c r="B1912" t="s">
        <v>2216</v>
      </c>
      <c r="C1912" t="s">
        <v>317</v>
      </c>
      <c r="D1912">
        <v>12</v>
      </c>
      <c r="E1912">
        <v>156</v>
      </c>
      <c r="F1912">
        <v>0</v>
      </c>
      <c r="G1912">
        <v>0</v>
      </c>
      <c r="H1912">
        <v>0</v>
      </c>
      <c r="I1912">
        <v>0</v>
      </c>
      <c r="J1912">
        <v>0</v>
      </c>
      <c r="K1912">
        <v>0</v>
      </c>
      <c r="L1912">
        <v>0</v>
      </c>
      <c r="M1912">
        <v>0</v>
      </c>
      <c r="N1912">
        <v>0</v>
      </c>
      <c r="O1912">
        <v>0</v>
      </c>
    </row>
    <row r="1913" spans="1:15">
      <c r="A1913" t="s">
        <v>2229</v>
      </c>
      <c r="B1913" t="s">
        <v>2216</v>
      </c>
      <c r="C1913" t="s">
        <v>317</v>
      </c>
      <c r="D1913">
        <v>13</v>
      </c>
      <c r="E1913">
        <v>156</v>
      </c>
      <c r="F1913">
        <v>0</v>
      </c>
      <c r="G1913">
        <v>0</v>
      </c>
      <c r="H1913">
        <v>0</v>
      </c>
      <c r="I1913">
        <v>0</v>
      </c>
      <c r="J1913">
        <v>0</v>
      </c>
      <c r="K1913">
        <v>0</v>
      </c>
      <c r="L1913">
        <v>0</v>
      </c>
      <c r="M1913">
        <v>0</v>
      </c>
      <c r="N1913">
        <v>0</v>
      </c>
      <c r="O1913">
        <v>0</v>
      </c>
    </row>
    <row r="1914" spans="1:15">
      <c r="A1914" t="s">
        <v>2230</v>
      </c>
      <c r="B1914" t="s">
        <v>2216</v>
      </c>
      <c r="C1914" t="s">
        <v>317</v>
      </c>
      <c r="D1914">
        <v>14</v>
      </c>
      <c r="E1914">
        <v>156</v>
      </c>
      <c r="F1914">
        <v>0</v>
      </c>
      <c r="G1914">
        <v>0</v>
      </c>
      <c r="H1914">
        <v>0</v>
      </c>
      <c r="I1914">
        <v>0</v>
      </c>
      <c r="J1914">
        <v>0</v>
      </c>
      <c r="K1914">
        <v>0</v>
      </c>
      <c r="L1914">
        <v>0</v>
      </c>
      <c r="M1914">
        <v>0</v>
      </c>
      <c r="N1914">
        <v>0</v>
      </c>
      <c r="O1914">
        <v>0</v>
      </c>
    </row>
    <row r="1915" spans="1:15">
      <c r="A1915" t="s">
        <v>2231</v>
      </c>
      <c r="B1915" t="s">
        <v>2216</v>
      </c>
      <c r="C1915" t="s">
        <v>317</v>
      </c>
      <c r="D1915">
        <v>15</v>
      </c>
      <c r="E1915">
        <v>156</v>
      </c>
      <c r="F1915">
        <v>0</v>
      </c>
      <c r="G1915">
        <v>0</v>
      </c>
      <c r="H1915">
        <v>0</v>
      </c>
      <c r="I1915">
        <v>0</v>
      </c>
      <c r="J1915">
        <v>0</v>
      </c>
      <c r="K1915">
        <v>0</v>
      </c>
      <c r="L1915">
        <v>0</v>
      </c>
      <c r="M1915">
        <v>0</v>
      </c>
      <c r="N1915">
        <v>0</v>
      </c>
      <c r="O1915">
        <v>0</v>
      </c>
    </row>
    <row r="1916" spans="1:15">
      <c r="A1916" t="s">
        <v>2232</v>
      </c>
      <c r="B1916" t="s">
        <v>2216</v>
      </c>
      <c r="C1916" t="s">
        <v>317</v>
      </c>
      <c r="D1916">
        <v>16</v>
      </c>
      <c r="E1916">
        <v>156</v>
      </c>
      <c r="F1916">
        <v>0</v>
      </c>
      <c r="G1916">
        <v>0</v>
      </c>
      <c r="H1916">
        <v>0</v>
      </c>
      <c r="I1916">
        <v>0</v>
      </c>
      <c r="J1916">
        <v>0</v>
      </c>
      <c r="K1916">
        <v>0</v>
      </c>
      <c r="L1916">
        <v>0</v>
      </c>
      <c r="M1916">
        <v>0</v>
      </c>
      <c r="N1916">
        <v>0</v>
      </c>
      <c r="O1916">
        <v>0</v>
      </c>
    </row>
    <row r="1917" spans="1:15">
      <c r="A1917" t="s">
        <v>2233</v>
      </c>
      <c r="B1917" t="s">
        <v>2216</v>
      </c>
      <c r="C1917" t="s">
        <v>317</v>
      </c>
      <c r="D1917">
        <v>17</v>
      </c>
      <c r="E1917">
        <v>156</v>
      </c>
      <c r="F1917">
        <v>0</v>
      </c>
      <c r="G1917">
        <v>0</v>
      </c>
      <c r="H1917">
        <v>0</v>
      </c>
      <c r="I1917">
        <v>0</v>
      </c>
      <c r="J1917">
        <v>0</v>
      </c>
      <c r="K1917">
        <v>0</v>
      </c>
      <c r="L1917">
        <v>0</v>
      </c>
      <c r="M1917">
        <v>0</v>
      </c>
      <c r="N1917">
        <v>0</v>
      </c>
      <c r="O1917">
        <v>0</v>
      </c>
    </row>
    <row r="1918" spans="1:15">
      <c r="A1918" t="s">
        <v>2234</v>
      </c>
      <c r="B1918" t="s">
        <v>2216</v>
      </c>
      <c r="C1918" t="s">
        <v>317</v>
      </c>
      <c r="D1918">
        <v>18</v>
      </c>
      <c r="E1918">
        <v>156</v>
      </c>
      <c r="F1918">
        <v>0</v>
      </c>
      <c r="G1918">
        <v>0</v>
      </c>
      <c r="H1918">
        <v>0</v>
      </c>
      <c r="I1918">
        <v>0</v>
      </c>
      <c r="J1918">
        <v>0</v>
      </c>
      <c r="K1918">
        <v>0</v>
      </c>
      <c r="L1918">
        <v>0</v>
      </c>
      <c r="M1918">
        <v>0</v>
      </c>
      <c r="N1918">
        <v>0</v>
      </c>
      <c r="O1918">
        <v>0</v>
      </c>
    </row>
    <row r="1919" spans="1:15">
      <c r="A1919" t="s">
        <v>2235</v>
      </c>
      <c r="B1919" t="s">
        <v>2216</v>
      </c>
      <c r="C1919" t="s">
        <v>317</v>
      </c>
      <c r="D1919">
        <v>19</v>
      </c>
      <c r="E1919">
        <v>156</v>
      </c>
      <c r="F1919">
        <v>0</v>
      </c>
      <c r="G1919">
        <v>0</v>
      </c>
      <c r="H1919">
        <v>0</v>
      </c>
      <c r="I1919">
        <v>0</v>
      </c>
      <c r="J1919">
        <v>0</v>
      </c>
      <c r="K1919">
        <v>0</v>
      </c>
      <c r="L1919">
        <v>0</v>
      </c>
      <c r="M1919">
        <v>0</v>
      </c>
      <c r="N1919">
        <v>0</v>
      </c>
      <c r="O1919">
        <v>0</v>
      </c>
    </row>
    <row r="1920" spans="1:15">
      <c r="A1920" t="s">
        <v>2236</v>
      </c>
      <c r="B1920" t="s">
        <v>2216</v>
      </c>
      <c r="C1920" t="s">
        <v>317</v>
      </c>
      <c r="D1920">
        <v>20</v>
      </c>
      <c r="E1920">
        <v>156</v>
      </c>
      <c r="F1920">
        <v>0</v>
      </c>
      <c r="G1920">
        <v>0</v>
      </c>
      <c r="H1920">
        <v>0</v>
      </c>
      <c r="I1920">
        <v>0</v>
      </c>
      <c r="J1920">
        <v>0</v>
      </c>
      <c r="K1920">
        <v>0</v>
      </c>
      <c r="L1920">
        <v>0</v>
      </c>
      <c r="M1920">
        <v>0</v>
      </c>
      <c r="N1920">
        <v>0</v>
      </c>
      <c r="O1920">
        <v>0</v>
      </c>
    </row>
    <row r="1921" spans="1:15">
      <c r="A1921" t="s">
        <v>2237</v>
      </c>
      <c r="B1921" t="s">
        <v>2216</v>
      </c>
      <c r="C1921" t="s">
        <v>317</v>
      </c>
      <c r="D1921">
        <v>21</v>
      </c>
      <c r="E1921">
        <v>156</v>
      </c>
      <c r="F1921">
        <v>0</v>
      </c>
      <c r="G1921">
        <v>0</v>
      </c>
      <c r="H1921">
        <v>0</v>
      </c>
      <c r="I1921">
        <v>0</v>
      </c>
      <c r="J1921">
        <v>0</v>
      </c>
      <c r="K1921">
        <v>0</v>
      </c>
      <c r="L1921">
        <v>0</v>
      </c>
      <c r="M1921">
        <v>0</v>
      </c>
      <c r="N1921">
        <v>0</v>
      </c>
      <c r="O1921">
        <v>0</v>
      </c>
    </row>
    <row r="1922" spans="1:15">
      <c r="A1922" t="s">
        <v>2238</v>
      </c>
      <c r="B1922" t="s">
        <v>2216</v>
      </c>
      <c r="C1922" t="s">
        <v>317</v>
      </c>
      <c r="D1922">
        <v>22</v>
      </c>
      <c r="E1922">
        <v>156</v>
      </c>
      <c r="F1922">
        <v>0</v>
      </c>
      <c r="G1922">
        <v>0</v>
      </c>
      <c r="H1922">
        <v>0</v>
      </c>
      <c r="I1922">
        <v>0</v>
      </c>
      <c r="J1922">
        <v>0</v>
      </c>
      <c r="K1922">
        <v>0</v>
      </c>
      <c r="L1922">
        <v>0</v>
      </c>
      <c r="M1922">
        <v>0</v>
      </c>
      <c r="N1922">
        <v>0</v>
      </c>
      <c r="O1922">
        <v>0</v>
      </c>
    </row>
    <row r="1923" spans="1:15">
      <c r="A1923" t="s">
        <v>2239</v>
      </c>
      <c r="B1923" t="s">
        <v>2216</v>
      </c>
      <c r="C1923" t="s">
        <v>317</v>
      </c>
      <c r="D1923">
        <v>23</v>
      </c>
      <c r="E1923">
        <v>156</v>
      </c>
      <c r="F1923">
        <v>0</v>
      </c>
      <c r="G1923">
        <v>0</v>
      </c>
      <c r="H1923">
        <v>0</v>
      </c>
      <c r="I1923">
        <v>0</v>
      </c>
      <c r="J1923">
        <v>0</v>
      </c>
      <c r="K1923">
        <v>0</v>
      </c>
      <c r="L1923">
        <v>0</v>
      </c>
      <c r="M1923">
        <v>0</v>
      </c>
      <c r="N1923">
        <v>0</v>
      </c>
      <c r="O1923">
        <v>0</v>
      </c>
    </row>
    <row r="1924" spans="1:15">
      <c r="A1924" t="s">
        <v>2240</v>
      </c>
      <c r="B1924" t="s">
        <v>2216</v>
      </c>
      <c r="C1924" t="s">
        <v>317</v>
      </c>
      <c r="D1924">
        <v>24</v>
      </c>
      <c r="E1924">
        <v>156</v>
      </c>
      <c r="F1924">
        <v>0</v>
      </c>
      <c r="G1924">
        <v>0</v>
      </c>
      <c r="H1924">
        <v>0</v>
      </c>
      <c r="I1924">
        <v>0</v>
      </c>
      <c r="J1924">
        <v>0</v>
      </c>
      <c r="K1924">
        <v>0</v>
      </c>
      <c r="L1924">
        <v>0</v>
      </c>
      <c r="M1924">
        <v>0</v>
      </c>
      <c r="N1924">
        <v>0</v>
      </c>
      <c r="O1924">
        <v>0</v>
      </c>
    </row>
    <row r="1925" spans="1:15">
      <c r="A1925" t="s">
        <v>2241</v>
      </c>
      <c r="B1925" t="s">
        <v>2216</v>
      </c>
      <c r="C1925" t="s">
        <v>317</v>
      </c>
      <c r="D1925">
        <v>25</v>
      </c>
      <c r="E1925">
        <v>156</v>
      </c>
      <c r="F1925">
        <v>0</v>
      </c>
      <c r="G1925">
        <v>0</v>
      </c>
      <c r="H1925">
        <v>0</v>
      </c>
      <c r="I1925">
        <v>0</v>
      </c>
      <c r="J1925">
        <v>0</v>
      </c>
      <c r="K1925">
        <v>0</v>
      </c>
      <c r="L1925">
        <v>0</v>
      </c>
      <c r="M1925">
        <v>0</v>
      </c>
      <c r="N1925">
        <v>0</v>
      </c>
      <c r="O1925">
        <v>0</v>
      </c>
    </row>
    <row r="1926" spans="1:15">
      <c r="A1926" t="s">
        <v>2242</v>
      </c>
      <c r="B1926" t="s">
        <v>2216</v>
      </c>
      <c r="C1926" t="s">
        <v>317</v>
      </c>
      <c r="D1926">
        <v>26</v>
      </c>
      <c r="E1926">
        <v>156</v>
      </c>
      <c r="F1926">
        <v>0</v>
      </c>
      <c r="G1926">
        <v>0</v>
      </c>
      <c r="H1926">
        <v>0</v>
      </c>
      <c r="I1926">
        <v>0</v>
      </c>
      <c r="J1926">
        <v>0</v>
      </c>
      <c r="K1926">
        <v>0</v>
      </c>
      <c r="L1926">
        <v>0</v>
      </c>
      <c r="M1926">
        <v>0</v>
      </c>
      <c r="N1926">
        <v>0</v>
      </c>
      <c r="O1926">
        <v>0</v>
      </c>
    </row>
    <row r="1927" spans="1:15">
      <c r="A1927" t="s">
        <v>2243</v>
      </c>
      <c r="B1927" t="s">
        <v>2216</v>
      </c>
      <c r="C1927" t="s">
        <v>317</v>
      </c>
      <c r="D1927">
        <v>27</v>
      </c>
      <c r="E1927">
        <v>156</v>
      </c>
      <c r="F1927">
        <v>0</v>
      </c>
      <c r="G1927">
        <v>0</v>
      </c>
      <c r="H1927">
        <v>0</v>
      </c>
      <c r="I1927">
        <v>0</v>
      </c>
      <c r="J1927">
        <v>0</v>
      </c>
      <c r="K1927">
        <v>0</v>
      </c>
      <c r="L1927">
        <v>0</v>
      </c>
      <c r="M1927">
        <v>0</v>
      </c>
      <c r="N1927">
        <v>0</v>
      </c>
      <c r="O1927">
        <v>0</v>
      </c>
    </row>
    <row r="1928" spans="1:15">
      <c r="A1928" t="s">
        <v>2244</v>
      </c>
      <c r="B1928" t="s">
        <v>2216</v>
      </c>
      <c r="C1928" t="s">
        <v>317</v>
      </c>
      <c r="D1928">
        <v>28</v>
      </c>
      <c r="E1928">
        <v>156</v>
      </c>
      <c r="F1928">
        <v>0</v>
      </c>
      <c r="G1928">
        <v>0</v>
      </c>
      <c r="H1928">
        <v>0</v>
      </c>
      <c r="I1928">
        <v>0</v>
      </c>
      <c r="J1928">
        <v>0</v>
      </c>
      <c r="K1928">
        <v>0</v>
      </c>
      <c r="L1928">
        <v>0</v>
      </c>
      <c r="M1928">
        <v>0</v>
      </c>
      <c r="N1928">
        <v>0</v>
      </c>
      <c r="O1928">
        <v>0</v>
      </c>
    </row>
    <row r="1929" spans="1:15">
      <c r="A1929" t="s">
        <v>2245</v>
      </c>
      <c r="B1929" t="s">
        <v>2216</v>
      </c>
      <c r="C1929" t="s">
        <v>317</v>
      </c>
      <c r="D1929">
        <v>29</v>
      </c>
      <c r="E1929">
        <v>156</v>
      </c>
      <c r="F1929">
        <v>0</v>
      </c>
      <c r="G1929">
        <v>0</v>
      </c>
      <c r="H1929">
        <v>0</v>
      </c>
      <c r="I1929">
        <v>0</v>
      </c>
      <c r="J1929">
        <v>0</v>
      </c>
      <c r="K1929">
        <v>0</v>
      </c>
      <c r="L1929">
        <v>0</v>
      </c>
      <c r="M1929">
        <v>0</v>
      </c>
      <c r="N1929">
        <v>0</v>
      </c>
      <c r="O1929">
        <v>0</v>
      </c>
    </row>
    <row r="1930" spans="1:15">
      <c r="A1930" t="s">
        <v>2246</v>
      </c>
      <c r="B1930" t="s">
        <v>2216</v>
      </c>
      <c r="C1930" t="s">
        <v>317</v>
      </c>
      <c r="D1930">
        <v>30</v>
      </c>
      <c r="E1930">
        <v>156</v>
      </c>
      <c r="F1930">
        <v>0</v>
      </c>
      <c r="G1930">
        <v>0</v>
      </c>
      <c r="H1930">
        <v>0</v>
      </c>
      <c r="I1930">
        <v>0</v>
      </c>
      <c r="J1930">
        <v>0</v>
      </c>
      <c r="K1930">
        <v>0</v>
      </c>
      <c r="L1930">
        <v>0</v>
      </c>
      <c r="M1930">
        <v>0</v>
      </c>
      <c r="N1930">
        <v>0</v>
      </c>
      <c r="O1930">
        <v>0</v>
      </c>
    </row>
    <row r="1931" spans="1:15">
      <c r="A1931" t="s">
        <v>2247</v>
      </c>
      <c r="B1931" t="s">
        <v>2216</v>
      </c>
      <c r="C1931" t="s">
        <v>317</v>
      </c>
      <c r="D1931">
        <v>31</v>
      </c>
      <c r="E1931">
        <v>156</v>
      </c>
      <c r="F1931">
        <v>0</v>
      </c>
      <c r="G1931">
        <v>0</v>
      </c>
      <c r="H1931">
        <v>0</v>
      </c>
      <c r="I1931">
        <v>0</v>
      </c>
      <c r="J1931">
        <v>0</v>
      </c>
      <c r="K1931">
        <v>0</v>
      </c>
      <c r="L1931">
        <v>0</v>
      </c>
      <c r="M1931">
        <v>0</v>
      </c>
      <c r="N1931">
        <v>0</v>
      </c>
      <c r="O1931">
        <v>0</v>
      </c>
    </row>
    <row r="1932" spans="1:15">
      <c r="A1932" t="s">
        <v>2248</v>
      </c>
      <c r="B1932" t="s">
        <v>2216</v>
      </c>
      <c r="C1932" t="s">
        <v>317</v>
      </c>
      <c r="D1932">
        <v>32</v>
      </c>
      <c r="E1932">
        <v>156</v>
      </c>
      <c r="F1932">
        <v>0</v>
      </c>
      <c r="G1932">
        <v>0</v>
      </c>
      <c r="H1932">
        <v>0</v>
      </c>
      <c r="I1932">
        <v>0</v>
      </c>
      <c r="J1932">
        <v>0</v>
      </c>
      <c r="K1932">
        <v>0</v>
      </c>
      <c r="L1932">
        <v>0</v>
      </c>
      <c r="M1932">
        <v>0</v>
      </c>
      <c r="N1932">
        <v>0</v>
      </c>
      <c r="O1932">
        <v>0</v>
      </c>
    </row>
    <row r="1933" spans="1:15">
      <c r="A1933" t="s">
        <v>2249</v>
      </c>
      <c r="B1933" t="s">
        <v>2216</v>
      </c>
      <c r="C1933" t="s">
        <v>317</v>
      </c>
      <c r="D1933">
        <v>33</v>
      </c>
      <c r="E1933">
        <v>156</v>
      </c>
      <c r="F1933">
        <v>0</v>
      </c>
      <c r="G1933">
        <v>0</v>
      </c>
      <c r="H1933">
        <v>0</v>
      </c>
      <c r="I1933">
        <v>0</v>
      </c>
      <c r="J1933">
        <v>0</v>
      </c>
      <c r="K1933">
        <v>0</v>
      </c>
      <c r="L1933">
        <v>0</v>
      </c>
      <c r="M1933">
        <v>0</v>
      </c>
      <c r="N1933">
        <v>0</v>
      </c>
      <c r="O1933">
        <v>0</v>
      </c>
    </row>
    <row r="1934" spans="1:15">
      <c r="A1934" t="s">
        <v>2250</v>
      </c>
      <c r="B1934" t="s">
        <v>2216</v>
      </c>
      <c r="C1934" t="s">
        <v>317</v>
      </c>
      <c r="D1934">
        <v>34</v>
      </c>
      <c r="E1934">
        <v>156</v>
      </c>
      <c r="F1934">
        <v>0</v>
      </c>
      <c r="G1934">
        <v>0</v>
      </c>
      <c r="H1934">
        <v>0</v>
      </c>
      <c r="I1934">
        <v>0</v>
      </c>
      <c r="J1934">
        <v>0</v>
      </c>
      <c r="K1934">
        <v>0</v>
      </c>
      <c r="L1934">
        <v>0</v>
      </c>
      <c r="M1934">
        <v>0</v>
      </c>
      <c r="N1934">
        <v>0</v>
      </c>
      <c r="O1934">
        <v>0</v>
      </c>
    </row>
    <row r="1935" spans="1:15">
      <c r="A1935" t="s">
        <v>2251</v>
      </c>
      <c r="B1935" t="s">
        <v>2216</v>
      </c>
      <c r="C1935" t="s">
        <v>317</v>
      </c>
      <c r="D1935">
        <v>35</v>
      </c>
      <c r="E1935">
        <v>156</v>
      </c>
      <c r="F1935">
        <v>0</v>
      </c>
      <c r="G1935">
        <v>0</v>
      </c>
      <c r="H1935">
        <v>0</v>
      </c>
      <c r="I1935">
        <v>0</v>
      </c>
      <c r="J1935">
        <v>0</v>
      </c>
      <c r="K1935">
        <v>0</v>
      </c>
      <c r="L1935">
        <v>0</v>
      </c>
      <c r="M1935">
        <v>0</v>
      </c>
      <c r="N1935">
        <v>0</v>
      </c>
      <c r="O1935">
        <v>0</v>
      </c>
    </row>
    <row r="1936" spans="1:15">
      <c r="A1936" t="s">
        <v>2252</v>
      </c>
      <c r="B1936" t="s">
        <v>2216</v>
      </c>
      <c r="C1936" t="s">
        <v>317</v>
      </c>
      <c r="D1936">
        <v>36</v>
      </c>
      <c r="E1936">
        <v>156</v>
      </c>
      <c r="F1936">
        <v>0</v>
      </c>
      <c r="G1936">
        <v>0</v>
      </c>
      <c r="H1936">
        <v>0</v>
      </c>
      <c r="I1936">
        <v>0</v>
      </c>
      <c r="J1936">
        <v>0</v>
      </c>
      <c r="K1936">
        <v>0</v>
      </c>
      <c r="L1936">
        <v>0</v>
      </c>
      <c r="M1936">
        <v>0</v>
      </c>
      <c r="N1936">
        <v>0</v>
      </c>
      <c r="O1936">
        <v>0</v>
      </c>
    </row>
    <row r="1937" spans="1:15">
      <c r="A1937" t="s">
        <v>2253</v>
      </c>
      <c r="B1937" t="s">
        <v>2216</v>
      </c>
      <c r="C1937" t="s">
        <v>317</v>
      </c>
      <c r="D1937">
        <v>37</v>
      </c>
      <c r="E1937">
        <v>156</v>
      </c>
      <c r="F1937">
        <v>0</v>
      </c>
      <c r="G1937">
        <v>0</v>
      </c>
      <c r="H1937">
        <v>0</v>
      </c>
      <c r="I1937">
        <v>0</v>
      </c>
      <c r="J1937">
        <v>0</v>
      </c>
      <c r="K1937">
        <v>0</v>
      </c>
      <c r="L1937">
        <v>0</v>
      </c>
      <c r="M1937">
        <v>0</v>
      </c>
      <c r="N1937">
        <v>0</v>
      </c>
      <c r="O1937">
        <v>0</v>
      </c>
    </row>
    <row r="1938" spans="1:15">
      <c r="A1938" t="s">
        <v>2254</v>
      </c>
      <c r="B1938" t="s">
        <v>2216</v>
      </c>
      <c r="C1938" t="s">
        <v>317</v>
      </c>
      <c r="D1938">
        <v>38</v>
      </c>
      <c r="E1938">
        <v>156</v>
      </c>
      <c r="F1938">
        <v>0</v>
      </c>
      <c r="G1938">
        <v>0</v>
      </c>
      <c r="H1938">
        <v>0</v>
      </c>
      <c r="I1938">
        <v>0</v>
      </c>
      <c r="J1938">
        <v>0</v>
      </c>
      <c r="K1938">
        <v>0</v>
      </c>
      <c r="L1938">
        <v>0</v>
      </c>
      <c r="M1938">
        <v>0</v>
      </c>
      <c r="N1938">
        <v>0</v>
      </c>
      <c r="O1938">
        <v>0</v>
      </c>
    </row>
    <row r="1939" spans="1:15">
      <c r="A1939" t="s">
        <v>2255</v>
      </c>
      <c r="B1939" t="s">
        <v>2216</v>
      </c>
      <c r="C1939" t="s">
        <v>317</v>
      </c>
      <c r="D1939">
        <v>39</v>
      </c>
      <c r="E1939">
        <v>156</v>
      </c>
      <c r="F1939">
        <v>0</v>
      </c>
      <c r="G1939">
        <v>0</v>
      </c>
      <c r="H1939">
        <v>0</v>
      </c>
      <c r="I1939">
        <v>0</v>
      </c>
      <c r="J1939">
        <v>0</v>
      </c>
      <c r="K1939">
        <v>0</v>
      </c>
      <c r="L1939">
        <v>0</v>
      </c>
      <c r="M1939">
        <v>0</v>
      </c>
      <c r="N1939">
        <v>0</v>
      </c>
      <c r="O1939">
        <v>0</v>
      </c>
    </row>
    <row r="1940" spans="1:15">
      <c r="A1940" t="s">
        <v>2256</v>
      </c>
      <c r="B1940" t="s">
        <v>2216</v>
      </c>
      <c r="C1940" t="s">
        <v>317</v>
      </c>
      <c r="D1940">
        <v>40</v>
      </c>
      <c r="E1940">
        <v>156</v>
      </c>
      <c r="F1940">
        <v>0</v>
      </c>
      <c r="G1940">
        <v>0</v>
      </c>
      <c r="H1940">
        <v>0</v>
      </c>
      <c r="I1940">
        <v>0</v>
      </c>
      <c r="J1940">
        <v>0</v>
      </c>
      <c r="K1940">
        <v>0</v>
      </c>
      <c r="L1940">
        <v>0</v>
      </c>
      <c r="M1940">
        <v>0</v>
      </c>
      <c r="N1940">
        <v>0</v>
      </c>
      <c r="O1940">
        <v>0</v>
      </c>
    </row>
    <row r="1941" spans="1:15">
      <c r="A1941" t="s">
        <v>2257</v>
      </c>
      <c r="B1941" t="s">
        <v>2216</v>
      </c>
      <c r="C1941" t="s">
        <v>317</v>
      </c>
      <c r="D1941">
        <v>41</v>
      </c>
      <c r="E1941">
        <v>156</v>
      </c>
      <c r="F1941">
        <v>0</v>
      </c>
      <c r="G1941">
        <v>0</v>
      </c>
      <c r="H1941">
        <v>0</v>
      </c>
      <c r="I1941">
        <v>0</v>
      </c>
      <c r="J1941">
        <v>0</v>
      </c>
      <c r="K1941">
        <v>0</v>
      </c>
      <c r="L1941">
        <v>0</v>
      </c>
      <c r="M1941">
        <v>0</v>
      </c>
      <c r="N1941">
        <v>0</v>
      </c>
      <c r="O1941">
        <v>0</v>
      </c>
    </row>
    <row r="1942" spans="1:15">
      <c r="A1942" t="s">
        <v>2258</v>
      </c>
      <c r="B1942" t="s">
        <v>2216</v>
      </c>
      <c r="C1942" t="s">
        <v>317</v>
      </c>
      <c r="D1942">
        <v>42</v>
      </c>
      <c r="E1942">
        <v>156</v>
      </c>
      <c r="F1942">
        <v>0</v>
      </c>
      <c r="G1942">
        <v>0</v>
      </c>
      <c r="H1942">
        <v>0</v>
      </c>
      <c r="I1942">
        <v>0</v>
      </c>
      <c r="J1942">
        <v>0</v>
      </c>
      <c r="K1942">
        <v>0</v>
      </c>
      <c r="L1942">
        <v>0</v>
      </c>
      <c r="M1942">
        <v>0</v>
      </c>
      <c r="N1942">
        <v>0</v>
      </c>
      <c r="O1942">
        <v>0</v>
      </c>
    </row>
    <row r="1943" spans="1:15">
      <c r="A1943" t="s">
        <v>2259</v>
      </c>
      <c r="B1943" t="s">
        <v>2216</v>
      </c>
      <c r="C1943" t="s">
        <v>317</v>
      </c>
      <c r="D1943">
        <v>43</v>
      </c>
      <c r="E1943">
        <v>156</v>
      </c>
      <c r="F1943">
        <v>0</v>
      </c>
      <c r="G1943">
        <v>0</v>
      </c>
      <c r="H1943">
        <v>0</v>
      </c>
      <c r="I1943">
        <v>0</v>
      </c>
      <c r="J1943">
        <v>0</v>
      </c>
      <c r="K1943">
        <v>0</v>
      </c>
      <c r="L1943">
        <v>0</v>
      </c>
      <c r="M1943">
        <v>0</v>
      </c>
      <c r="N1943">
        <v>0</v>
      </c>
      <c r="O1943">
        <v>0</v>
      </c>
    </row>
    <row r="1944" spans="1:15">
      <c r="A1944" t="s">
        <v>2260</v>
      </c>
      <c r="B1944" t="s">
        <v>2216</v>
      </c>
      <c r="C1944" t="s">
        <v>317</v>
      </c>
      <c r="D1944">
        <v>44</v>
      </c>
      <c r="E1944">
        <v>156</v>
      </c>
      <c r="F1944">
        <v>0</v>
      </c>
      <c r="G1944">
        <v>0</v>
      </c>
      <c r="H1944">
        <v>0</v>
      </c>
      <c r="I1944">
        <v>0</v>
      </c>
      <c r="J1944">
        <v>0</v>
      </c>
      <c r="K1944">
        <v>0</v>
      </c>
      <c r="L1944">
        <v>0</v>
      </c>
      <c r="M1944">
        <v>0</v>
      </c>
      <c r="N1944">
        <v>0</v>
      </c>
      <c r="O1944">
        <v>0</v>
      </c>
    </row>
    <row r="1945" spans="1:15">
      <c r="A1945" t="s">
        <v>2261</v>
      </c>
      <c r="B1945" t="s">
        <v>2216</v>
      </c>
      <c r="C1945" t="s">
        <v>317</v>
      </c>
      <c r="D1945">
        <v>45</v>
      </c>
      <c r="E1945">
        <v>156</v>
      </c>
      <c r="F1945">
        <v>0</v>
      </c>
      <c r="G1945">
        <v>0</v>
      </c>
      <c r="H1945">
        <v>0</v>
      </c>
      <c r="I1945">
        <v>0</v>
      </c>
      <c r="J1945">
        <v>0</v>
      </c>
      <c r="K1945">
        <v>0</v>
      </c>
      <c r="L1945">
        <v>0</v>
      </c>
      <c r="M1945">
        <v>0</v>
      </c>
      <c r="N1945">
        <v>0</v>
      </c>
      <c r="O1945">
        <v>0</v>
      </c>
    </row>
    <row r="1946" spans="1:15">
      <c r="A1946" t="s">
        <v>2262</v>
      </c>
      <c r="B1946" t="s">
        <v>2216</v>
      </c>
      <c r="C1946" t="s">
        <v>317</v>
      </c>
      <c r="D1946">
        <v>46</v>
      </c>
      <c r="E1946">
        <v>156</v>
      </c>
      <c r="F1946">
        <v>0</v>
      </c>
      <c r="G1946">
        <v>0</v>
      </c>
      <c r="H1946">
        <v>0</v>
      </c>
      <c r="I1946">
        <v>0</v>
      </c>
      <c r="J1946">
        <v>0</v>
      </c>
      <c r="K1946">
        <v>0</v>
      </c>
      <c r="L1946">
        <v>0</v>
      </c>
      <c r="M1946">
        <v>0</v>
      </c>
      <c r="N1946">
        <v>0</v>
      </c>
      <c r="O1946">
        <v>0</v>
      </c>
    </row>
    <row r="1947" spans="1:15">
      <c r="A1947" t="s">
        <v>2263</v>
      </c>
      <c r="B1947" t="s">
        <v>2216</v>
      </c>
      <c r="C1947" t="s">
        <v>317</v>
      </c>
      <c r="D1947">
        <v>47</v>
      </c>
      <c r="E1947">
        <v>156</v>
      </c>
      <c r="F1947">
        <v>0</v>
      </c>
      <c r="G1947">
        <v>0</v>
      </c>
      <c r="H1947">
        <v>0</v>
      </c>
      <c r="I1947">
        <v>0</v>
      </c>
      <c r="J1947">
        <v>0</v>
      </c>
      <c r="K1947">
        <v>0</v>
      </c>
      <c r="L1947">
        <v>0</v>
      </c>
      <c r="M1947">
        <v>0</v>
      </c>
      <c r="N1947">
        <v>0</v>
      </c>
      <c r="O1947">
        <v>0</v>
      </c>
    </row>
    <row r="1948" spans="1:15">
      <c r="A1948" t="s">
        <v>2264</v>
      </c>
      <c r="B1948" t="s">
        <v>2216</v>
      </c>
      <c r="C1948" t="s">
        <v>317</v>
      </c>
      <c r="D1948">
        <v>48</v>
      </c>
      <c r="E1948">
        <v>156</v>
      </c>
      <c r="F1948">
        <v>0</v>
      </c>
      <c r="G1948">
        <v>0</v>
      </c>
      <c r="H1948">
        <v>0</v>
      </c>
      <c r="I1948">
        <v>0</v>
      </c>
      <c r="J1948">
        <v>0</v>
      </c>
      <c r="K1948">
        <v>0</v>
      </c>
      <c r="L1948">
        <v>0</v>
      </c>
      <c r="M1948">
        <v>0</v>
      </c>
      <c r="N1948">
        <v>0</v>
      </c>
      <c r="O1948">
        <v>0</v>
      </c>
    </row>
    <row r="1949" spans="1:15">
      <c r="A1949" t="s">
        <v>2265</v>
      </c>
      <c r="B1949" t="s">
        <v>2216</v>
      </c>
      <c r="C1949" t="s">
        <v>317</v>
      </c>
      <c r="D1949">
        <v>49</v>
      </c>
      <c r="E1949">
        <v>156</v>
      </c>
      <c r="F1949">
        <v>0</v>
      </c>
      <c r="G1949">
        <v>0</v>
      </c>
      <c r="H1949">
        <v>0</v>
      </c>
      <c r="I1949">
        <v>0</v>
      </c>
      <c r="J1949">
        <v>0</v>
      </c>
      <c r="K1949">
        <v>0</v>
      </c>
      <c r="L1949">
        <v>0</v>
      </c>
      <c r="M1949">
        <v>0</v>
      </c>
      <c r="N1949">
        <v>0</v>
      </c>
      <c r="O1949">
        <v>0</v>
      </c>
    </row>
    <row r="1950" spans="1:15">
      <c r="A1950" t="s">
        <v>2266</v>
      </c>
      <c r="B1950" t="s">
        <v>2216</v>
      </c>
      <c r="C1950" t="s">
        <v>317</v>
      </c>
      <c r="D1950">
        <v>50</v>
      </c>
      <c r="E1950">
        <v>156</v>
      </c>
      <c r="F1950">
        <v>0</v>
      </c>
      <c r="G1950">
        <v>0</v>
      </c>
      <c r="H1950">
        <v>0</v>
      </c>
      <c r="I1950">
        <v>0</v>
      </c>
      <c r="J1950">
        <v>0</v>
      </c>
      <c r="K1950">
        <v>0</v>
      </c>
      <c r="L1950">
        <v>0</v>
      </c>
      <c r="M1950">
        <v>0</v>
      </c>
      <c r="N1950">
        <v>0</v>
      </c>
      <c r="O1950">
        <v>0</v>
      </c>
    </row>
    <row r="1951" spans="1:15">
      <c r="A1951" t="s">
        <v>2267</v>
      </c>
      <c r="B1951" t="s">
        <v>2216</v>
      </c>
      <c r="C1951" t="s">
        <v>317</v>
      </c>
      <c r="D1951">
        <v>51</v>
      </c>
      <c r="E1951">
        <v>156</v>
      </c>
      <c r="F1951">
        <v>0</v>
      </c>
      <c r="G1951">
        <v>0</v>
      </c>
      <c r="H1951">
        <v>0</v>
      </c>
      <c r="I1951">
        <v>0</v>
      </c>
      <c r="J1951">
        <v>0</v>
      </c>
      <c r="K1951">
        <v>0</v>
      </c>
      <c r="L1951">
        <v>0</v>
      </c>
      <c r="M1951">
        <v>0</v>
      </c>
      <c r="N1951">
        <v>0</v>
      </c>
      <c r="O1951">
        <v>0</v>
      </c>
    </row>
    <row r="1952" spans="1:15">
      <c r="A1952" t="s">
        <v>2268</v>
      </c>
      <c r="B1952" t="s">
        <v>2216</v>
      </c>
      <c r="C1952" t="s">
        <v>317</v>
      </c>
      <c r="D1952">
        <v>52</v>
      </c>
      <c r="E1952">
        <v>156</v>
      </c>
      <c r="F1952">
        <v>0</v>
      </c>
      <c r="G1952">
        <v>0</v>
      </c>
      <c r="H1952">
        <v>0</v>
      </c>
      <c r="I1952">
        <v>0</v>
      </c>
      <c r="J1952">
        <v>0</v>
      </c>
      <c r="K1952">
        <v>0</v>
      </c>
      <c r="L1952">
        <v>0</v>
      </c>
      <c r="M1952">
        <v>0</v>
      </c>
      <c r="N1952">
        <v>0</v>
      </c>
      <c r="O1952">
        <v>0</v>
      </c>
    </row>
    <row r="1953" spans="1:15">
      <c r="A1953" t="s">
        <v>2269</v>
      </c>
      <c r="B1953" t="s">
        <v>2216</v>
      </c>
      <c r="C1953" t="s">
        <v>317</v>
      </c>
      <c r="D1953">
        <v>53</v>
      </c>
      <c r="E1953">
        <v>156</v>
      </c>
      <c r="F1953">
        <v>0</v>
      </c>
      <c r="G1953">
        <v>0</v>
      </c>
      <c r="H1953">
        <v>0</v>
      </c>
      <c r="I1953">
        <v>0</v>
      </c>
      <c r="J1953">
        <v>0</v>
      </c>
      <c r="K1953">
        <v>0</v>
      </c>
      <c r="L1953">
        <v>0</v>
      </c>
      <c r="M1953">
        <v>0</v>
      </c>
      <c r="N1953">
        <v>0</v>
      </c>
      <c r="O1953">
        <v>0</v>
      </c>
    </row>
    <row r="1954" spans="1:15">
      <c r="A1954" t="s">
        <v>2270</v>
      </c>
      <c r="B1954" t="s">
        <v>2216</v>
      </c>
      <c r="C1954" t="s">
        <v>317</v>
      </c>
      <c r="D1954">
        <v>54</v>
      </c>
      <c r="E1954">
        <v>156</v>
      </c>
      <c r="F1954">
        <v>0</v>
      </c>
      <c r="G1954">
        <v>0</v>
      </c>
      <c r="H1954">
        <v>0</v>
      </c>
      <c r="I1954">
        <v>0</v>
      </c>
      <c r="J1954">
        <v>0</v>
      </c>
      <c r="K1954">
        <v>0</v>
      </c>
      <c r="L1954">
        <v>0</v>
      </c>
      <c r="M1954">
        <v>0</v>
      </c>
      <c r="N1954">
        <v>0</v>
      </c>
      <c r="O1954">
        <v>0</v>
      </c>
    </row>
    <row r="1955" spans="1:15">
      <c r="A1955" t="s">
        <v>2271</v>
      </c>
      <c r="B1955" t="s">
        <v>2216</v>
      </c>
      <c r="C1955" t="s">
        <v>317</v>
      </c>
      <c r="D1955">
        <v>55</v>
      </c>
      <c r="E1955">
        <v>156</v>
      </c>
      <c r="F1955">
        <v>0</v>
      </c>
      <c r="G1955">
        <v>0</v>
      </c>
      <c r="H1955">
        <v>0</v>
      </c>
      <c r="I1955">
        <v>0</v>
      </c>
      <c r="J1955">
        <v>0</v>
      </c>
      <c r="K1955">
        <v>0</v>
      </c>
      <c r="L1955">
        <v>0</v>
      </c>
      <c r="M1955">
        <v>0</v>
      </c>
      <c r="N1955">
        <v>0</v>
      </c>
      <c r="O1955">
        <v>0</v>
      </c>
    </row>
    <row r="1956" spans="1:15">
      <c r="A1956" t="s">
        <v>2272</v>
      </c>
      <c r="B1956" t="s">
        <v>2216</v>
      </c>
      <c r="C1956" t="s">
        <v>317</v>
      </c>
      <c r="D1956">
        <v>56</v>
      </c>
      <c r="E1956">
        <v>156</v>
      </c>
      <c r="F1956">
        <v>0</v>
      </c>
      <c r="G1956">
        <v>0</v>
      </c>
      <c r="H1956">
        <v>0</v>
      </c>
      <c r="I1956">
        <v>0</v>
      </c>
      <c r="J1956">
        <v>0</v>
      </c>
      <c r="K1956">
        <v>0</v>
      </c>
      <c r="L1956">
        <v>0</v>
      </c>
      <c r="M1956">
        <v>0</v>
      </c>
      <c r="N1956">
        <v>0</v>
      </c>
      <c r="O1956">
        <v>0</v>
      </c>
    </row>
    <row r="1957" spans="1:15">
      <c r="A1957" t="s">
        <v>2273</v>
      </c>
      <c r="B1957" t="s">
        <v>2216</v>
      </c>
      <c r="C1957" t="s">
        <v>317</v>
      </c>
      <c r="D1957">
        <v>57</v>
      </c>
      <c r="E1957">
        <v>156</v>
      </c>
      <c r="F1957">
        <v>0</v>
      </c>
      <c r="G1957">
        <v>0</v>
      </c>
      <c r="H1957">
        <v>0</v>
      </c>
      <c r="I1957">
        <v>0</v>
      </c>
      <c r="J1957">
        <v>0</v>
      </c>
      <c r="K1957">
        <v>0</v>
      </c>
      <c r="L1957">
        <v>0</v>
      </c>
      <c r="M1957">
        <v>0</v>
      </c>
      <c r="N1957">
        <v>0</v>
      </c>
      <c r="O1957">
        <v>0</v>
      </c>
    </row>
    <row r="1958" spans="1:15">
      <c r="A1958" t="s">
        <v>2274</v>
      </c>
      <c r="B1958" t="s">
        <v>2216</v>
      </c>
      <c r="C1958" t="s">
        <v>317</v>
      </c>
      <c r="D1958">
        <v>58</v>
      </c>
      <c r="E1958">
        <v>156</v>
      </c>
      <c r="F1958">
        <v>0</v>
      </c>
      <c r="G1958">
        <v>0</v>
      </c>
      <c r="H1958">
        <v>0</v>
      </c>
      <c r="I1958">
        <v>0</v>
      </c>
      <c r="J1958">
        <v>0</v>
      </c>
      <c r="K1958">
        <v>0</v>
      </c>
      <c r="L1958">
        <v>0</v>
      </c>
      <c r="M1958">
        <v>0</v>
      </c>
      <c r="N1958">
        <v>0</v>
      </c>
      <c r="O1958">
        <v>0</v>
      </c>
    </row>
    <row r="1959" spans="1:15">
      <c r="A1959" t="s">
        <v>2275</v>
      </c>
      <c r="B1959" t="s">
        <v>2216</v>
      </c>
      <c r="C1959" t="s">
        <v>317</v>
      </c>
      <c r="D1959">
        <v>59</v>
      </c>
      <c r="E1959">
        <v>156</v>
      </c>
      <c r="F1959">
        <v>0</v>
      </c>
      <c r="G1959">
        <v>0</v>
      </c>
      <c r="H1959">
        <v>0</v>
      </c>
      <c r="I1959">
        <v>0</v>
      </c>
      <c r="J1959">
        <v>0</v>
      </c>
      <c r="K1959">
        <v>0</v>
      </c>
      <c r="L1959">
        <v>0</v>
      </c>
      <c r="M1959">
        <v>0</v>
      </c>
      <c r="N1959">
        <v>0</v>
      </c>
      <c r="O1959">
        <v>0</v>
      </c>
    </row>
    <row r="1960" spans="1:15">
      <c r="A1960" t="s">
        <v>2276</v>
      </c>
      <c r="B1960" t="s">
        <v>2216</v>
      </c>
      <c r="C1960" t="s">
        <v>317</v>
      </c>
      <c r="D1960">
        <v>60</v>
      </c>
      <c r="E1960">
        <v>156</v>
      </c>
      <c r="F1960">
        <v>0</v>
      </c>
      <c r="G1960">
        <v>0</v>
      </c>
      <c r="H1960">
        <v>0</v>
      </c>
      <c r="I1960">
        <v>0</v>
      </c>
      <c r="J1960">
        <v>0</v>
      </c>
      <c r="K1960">
        <v>0</v>
      </c>
      <c r="L1960">
        <v>0</v>
      </c>
      <c r="M1960">
        <v>0</v>
      </c>
      <c r="N1960">
        <v>0</v>
      </c>
      <c r="O1960">
        <v>0</v>
      </c>
    </row>
    <row r="1961" spans="1:15">
      <c r="A1961" t="s">
        <v>2277</v>
      </c>
      <c r="B1961" t="s">
        <v>2216</v>
      </c>
      <c r="C1961" t="s">
        <v>317</v>
      </c>
      <c r="D1961">
        <v>61</v>
      </c>
      <c r="E1961">
        <v>156</v>
      </c>
      <c r="F1961">
        <v>0</v>
      </c>
      <c r="G1961">
        <v>0</v>
      </c>
      <c r="H1961">
        <v>0</v>
      </c>
      <c r="I1961">
        <v>0</v>
      </c>
      <c r="J1961">
        <v>0</v>
      </c>
      <c r="K1961">
        <v>0</v>
      </c>
      <c r="L1961">
        <v>0</v>
      </c>
      <c r="M1961">
        <v>0</v>
      </c>
      <c r="N1961">
        <v>0</v>
      </c>
      <c r="O1961">
        <v>0</v>
      </c>
    </row>
    <row r="1962" spans="1:15">
      <c r="A1962" t="s">
        <v>2278</v>
      </c>
      <c r="B1962" t="s">
        <v>2216</v>
      </c>
      <c r="C1962" t="s">
        <v>317</v>
      </c>
      <c r="D1962">
        <v>62</v>
      </c>
      <c r="E1962">
        <v>156</v>
      </c>
      <c r="F1962">
        <v>0</v>
      </c>
      <c r="G1962">
        <v>0</v>
      </c>
      <c r="H1962">
        <v>0</v>
      </c>
      <c r="I1962">
        <v>0</v>
      </c>
      <c r="J1962">
        <v>0</v>
      </c>
      <c r="K1962">
        <v>0</v>
      </c>
      <c r="L1962">
        <v>0</v>
      </c>
      <c r="M1962">
        <v>0</v>
      </c>
      <c r="N1962">
        <v>0</v>
      </c>
      <c r="O1962">
        <v>0</v>
      </c>
    </row>
    <row r="1963" spans="1:15">
      <c r="A1963" t="s">
        <v>2279</v>
      </c>
      <c r="B1963" t="s">
        <v>2216</v>
      </c>
      <c r="C1963" t="s">
        <v>317</v>
      </c>
      <c r="D1963">
        <v>63</v>
      </c>
      <c r="E1963">
        <v>156</v>
      </c>
      <c r="F1963">
        <v>0</v>
      </c>
      <c r="G1963">
        <v>0</v>
      </c>
      <c r="H1963">
        <v>0</v>
      </c>
      <c r="I1963">
        <v>0</v>
      </c>
      <c r="J1963">
        <v>0</v>
      </c>
      <c r="K1963">
        <v>0</v>
      </c>
      <c r="L1963">
        <v>0</v>
      </c>
      <c r="M1963">
        <v>0</v>
      </c>
      <c r="N1963">
        <v>0</v>
      </c>
      <c r="O1963">
        <v>0</v>
      </c>
    </row>
    <row r="1964" spans="1:15">
      <c r="A1964" t="s">
        <v>2280</v>
      </c>
      <c r="B1964" t="s">
        <v>2216</v>
      </c>
      <c r="C1964" t="s">
        <v>317</v>
      </c>
      <c r="D1964">
        <v>64</v>
      </c>
      <c r="E1964">
        <v>156</v>
      </c>
      <c r="F1964">
        <v>0</v>
      </c>
      <c r="G1964">
        <v>0</v>
      </c>
      <c r="H1964">
        <v>0</v>
      </c>
      <c r="I1964">
        <v>0</v>
      </c>
      <c r="J1964">
        <v>0</v>
      </c>
      <c r="K1964">
        <v>0</v>
      </c>
      <c r="L1964">
        <v>0</v>
      </c>
      <c r="M1964">
        <v>0</v>
      </c>
      <c r="N1964">
        <v>0</v>
      </c>
      <c r="O1964">
        <v>0</v>
      </c>
    </row>
    <row r="1965" spans="1:15">
      <c r="A1965" t="s">
        <v>2281</v>
      </c>
      <c r="B1965" t="s">
        <v>2216</v>
      </c>
      <c r="C1965" t="s">
        <v>317</v>
      </c>
      <c r="D1965">
        <v>65</v>
      </c>
      <c r="E1965">
        <v>156</v>
      </c>
      <c r="F1965">
        <v>0</v>
      </c>
      <c r="G1965">
        <v>0</v>
      </c>
      <c r="H1965">
        <v>0</v>
      </c>
      <c r="I1965">
        <v>0</v>
      </c>
      <c r="J1965">
        <v>0</v>
      </c>
      <c r="K1965">
        <v>0</v>
      </c>
      <c r="L1965">
        <v>0</v>
      </c>
      <c r="M1965">
        <v>0</v>
      </c>
      <c r="N1965">
        <v>0</v>
      </c>
      <c r="O1965">
        <v>0</v>
      </c>
    </row>
    <row r="1966" spans="1:15">
      <c r="A1966" t="s">
        <v>2282</v>
      </c>
      <c r="B1966" t="s">
        <v>2216</v>
      </c>
      <c r="C1966" t="s">
        <v>317</v>
      </c>
      <c r="D1966">
        <v>66</v>
      </c>
      <c r="E1966">
        <v>156</v>
      </c>
      <c r="F1966">
        <v>0</v>
      </c>
      <c r="G1966">
        <v>0</v>
      </c>
      <c r="H1966">
        <v>0</v>
      </c>
      <c r="I1966">
        <v>0</v>
      </c>
      <c r="J1966">
        <v>0</v>
      </c>
      <c r="K1966">
        <v>0</v>
      </c>
      <c r="L1966">
        <v>0</v>
      </c>
      <c r="M1966">
        <v>0</v>
      </c>
      <c r="N1966">
        <v>0</v>
      </c>
      <c r="O1966">
        <v>0</v>
      </c>
    </row>
    <row r="1967" spans="1:15">
      <c r="A1967" t="s">
        <v>2283</v>
      </c>
      <c r="B1967" t="s">
        <v>2216</v>
      </c>
      <c r="C1967" t="s">
        <v>317</v>
      </c>
      <c r="D1967">
        <v>67</v>
      </c>
      <c r="E1967">
        <v>156</v>
      </c>
      <c r="F1967">
        <v>0</v>
      </c>
      <c r="G1967">
        <v>0</v>
      </c>
      <c r="H1967">
        <v>0</v>
      </c>
      <c r="I1967">
        <v>0</v>
      </c>
      <c r="J1967">
        <v>0</v>
      </c>
      <c r="K1967">
        <v>0</v>
      </c>
      <c r="L1967">
        <v>0</v>
      </c>
      <c r="M1967">
        <v>0</v>
      </c>
      <c r="N1967">
        <v>0</v>
      </c>
      <c r="O1967">
        <v>0</v>
      </c>
    </row>
    <row r="1968" spans="1:15">
      <c r="A1968" t="s">
        <v>2284</v>
      </c>
      <c r="B1968" t="s">
        <v>2216</v>
      </c>
      <c r="C1968" t="s">
        <v>317</v>
      </c>
      <c r="D1968">
        <v>68</v>
      </c>
      <c r="E1968">
        <v>156</v>
      </c>
      <c r="F1968">
        <v>0</v>
      </c>
      <c r="G1968">
        <v>0</v>
      </c>
      <c r="H1968">
        <v>0</v>
      </c>
      <c r="I1968">
        <v>0</v>
      </c>
      <c r="J1968">
        <v>0</v>
      </c>
      <c r="K1968">
        <v>0</v>
      </c>
      <c r="L1968">
        <v>0</v>
      </c>
      <c r="M1968">
        <v>0</v>
      </c>
      <c r="N1968">
        <v>0</v>
      </c>
      <c r="O1968">
        <v>0</v>
      </c>
    </row>
    <row r="1969" spans="1:15">
      <c r="A1969" t="s">
        <v>2285</v>
      </c>
      <c r="B1969" t="s">
        <v>2216</v>
      </c>
      <c r="C1969" t="s">
        <v>317</v>
      </c>
      <c r="D1969">
        <v>69</v>
      </c>
      <c r="E1969">
        <v>156</v>
      </c>
      <c r="F1969">
        <v>0</v>
      </c>
      <c r="G1969">
        <v>0</v>
      </c>
      <c r="H1969">
        <v>0</v>
      </c>
      <c r="I1969">
        <v>0</v>
      </c>
      <c r="J1969">
        <v>0</v>
      </c>
      <c r="K1969">
        <v>0</v>
      </c>
      <c r="L1969">
        <v>0</v>
      </c>
      <c r="M1969">
        <v>0</v>
      </c>
      <c r="N1969">
        <v>0</v>
      </c>
      <c r="O1969">
        <v>0</v>
      </c>
    </row>
    <row r="1970" spans="1:15">
      <c r="A1970" t="s">
        <v>2286</v>
      </c>
      <c r="B1970" t="s">
        <v>2216</v>
      </c>
      <c r="C1970" t="s">
        <v>317</v>
      </c>
      <c r="D1970">
        <v>70</v>
      </c>
      <c r="E1970">
        <v>156</v>
      </c>
      <c r="F1970">
        <v>0</v>
      </c>
      <c r="G1970">
        <v>0</v>
      </c>
      <c r="H1970">
        <v>0</v>
      </c>
      <c r="I1970">
        <v>0</v>
      </c>
      <c r="J1970">
        <v>0</v>
      </c>
      <c r="K1970">
        <v>0</v>
      </c>
      <c r="L1970">
        <v>0</v>
      </c>
      <c r="M1970">
        <v>0</v>
      </c>
      <c r="N1970">
        <v>0</v>
      </c>
      <c r="O1970">
        <v>0</v>
      </c>
    </row>
    <row r="1971" spans="1:15">
      <c r="A1971" t="s">
        <v>2287</v>
      </c>
      <c r="B1971" t="s">
        <v>2216</v>
      </c>
      <c r="C1971" t="s">
        <v>317</v>
      </c>
      <c r="D1971">
        <v>71</v>
      </c>
      <c r="E1971">
        <v>156</v>
      </c>
      <c r="F1971">
        <v>0</v>
      </c>
      <c r="G1971">
        <v>0</v>
      </c>
      <c r="H1971">
        <v>0</v>
      </c>
      <c r="I1971">
        <v>0</v>
      </c>
      <c r="J1971">
        <v>0</v>
      </c>
      <c r="K1971">
        <v>0</v>
      </c>
      <c r="L1971">
        <v>0</v>
      </c>
      <c r="M1971">
        <v>0</v>
      </c>
      <c r="N1971">
        <v>0</v>
      </c>
      <c r="O1971">
        <v>0</v>
      </c>
    </row>
    <row r="1972" spans="1:15">
      <c r="A1972" t="s">
        <v>2288</v>
      </c>
      <c r="B1972" t="s">
        <v>2216</v>
      </c>
      <c r="C1972" t="s">
        <v>317</v>
      </c>
      <c r="D1972">
        <v>72</v>
      </c>
      <c r="E1972">
        <v>156</v>
      </c>
      <c r="F1972">
        <v>0</v>
      </c>
      <c r="G1972">
        <v>0</v>
      </c>
      <c r="H1972">
        <v>0</v>
      </c>
      <c r="I1972">
        <v>0</v>
      </c>
      <c r="J1972">
        <v>0</v>
      </c>
      <c r="K1972">
        <v>0</v>
      </c>
      <c r="L1972">
        <v>0</v>
      </c>
      <c r="M1972">
        <v>0</v>
      </c>
      <c r="N1972">
        <v>0</v>
      </c>
      <c r="O1972">
        <v>0</v>
      </c>
    </row>
    <row r="1973" spans="1:15">
      <c r="A1973" t="s">
        <v>2289</v>
      </c>
      <c r="B1973" t="s">
        <v>2216</v>
      </c>
      <c r="C1973" t="s">
        <v>317</v>
      </c>
      <c r="D1973">
        <v>73</v>
      </c>
      <c r="E1973">
        <v>156</v>
      </c>
      <c r="F1973">
        <v>0</v>
      </c>
      <c r="G1973">
        <v>0</v>
      </c>
      <c r="H1973">
        <v>0</v>
      </c>
      <c r="I1973">
        <v>0</v>
      </c>
      <c r="J1973">
        <v>0</v>
      </c>
      <c r="K1973">
        <v>0</v>
      </c>
      <c r="L1973">
        <v>0</v>
      </c>
      <c r="M1973">
        <v>0</v>
      </c>
      <c r="N1973">
        <v>0</v>
      </c>
      <c r="O1973">
        <v>0</v>
      </c>
    </row>
    <row r="1974" spans="1:15">
      <c r="A1974" t="s">
        <v>2290</v>
      </c>
      <c r="B1974" t="s">
        <v>2216</v>
      </c>
      <c r="C1974" t="s">
        <v>317</v>
      </c>
      <c r="D1974">
        <v>74</v>
      </c>
      <c r="E1974">
        <v>156</v>
      </c>
      <c r="F1974">
        <v>0</v>
      </c>
      <c r="G1974">
        <v>0</v>
      </c>
      <c r="H1974">
        <v>0</v>
      </c>
      <c r="I1974">
        <v>0</v>
      </c>
      <c r="J1974">
        <v>0</v>
      </c>
      <c r="K1974">
        <v>0</v>
      </c>
      <c r="L1974">
        <v>0</v>
      </c>
      <c r="M1974">
        <v>0</v>
      </c>
      <c r="N1974">
        <v>0</v>
      </c>
      <c r="O1974">
        <v>0</v>
      </c>
    </row>
    <row r="1975" spans="1:15">
      <c r="A1975" t="s">
        <v>2291</v>
      </c>
      <c r="B1975" t="s">
        <v>2216</v>
      </c>
      <c r="C1975" t="s">
        <v>317</v>
      </c>
      <c r="D1975">
        <v>75</v>
      </c>
      <c r="E1975">
        <v>156</v>
      </c>
      <c r="F1975">
        <v>0</v>
      </c>
      <c r="G1975">
        <v>0</v>
      </c>
      <c r="H1975">
        <v>0</v>
      </c>
      <c r="I1975">
        <v>0</v>
      </c>
      <c r="J1975">
        <v>0</v>
      </c>
      <c r="K1975">
        <v>0</v>
      </c>
      <c r="L1975">
        <v>0</v>
      </c>
      <c r="M1975">
        <v>0</v>
      </c>
      <c r="N1975">
        <v>0</v>
      </c>
      <c r="O1975">
        <v>0</v>
      </c>
    </row>
    <row r="1976" spans="1:15">
      <c r="A1976" t="s">
        <v>2292</v>
      </c>
      <c r="B1976" t="s">
        <v>2216</v>
      </c>
      <c r="C1976" t="s">
        <v>317</v>
      </c>
      <c r="D1976">
        <v>76</v>
      </c>
      <c r="E1976">
        <v>156</v>
      </c>
      <c r="F1976">
        <v>0</v>
      </c>
      <c r="G1976">
        <v>0</v>
      </c>
      <c r="H1976">
        <v>0</v>
      </c>
      <c r="I1976">
        <v>0</v>
      </c>
      <c r="J1976">
        <v>0</v>
      </c>
      <c r="K1976">
        <v>0</v>
      </c>
      <c r="L1976">
        <v>0</v>
      </c>
      <c r="M1976">
        <v>0</v>
      </c>
      <c r="N1976">
        <v>0</v>
      </c>
      <c r="O1976">
        <v>0</v>
      </c>
    </row>
    <row r="1977" spans="1:15">
      <c r="A1977" t="s">
        <v>2293</v>
      </c>
      <c r="B1977" t="s">
        <v>2216</v>
      </c>
      <c r="C1977" t="s">
        <v>317</v>
      </c>
      <c r="D1977">
        <v>77</v>
      </c>
      <c r="E1977">
        <v>156</v>
      </c>
      <c r="F1977">
        <v>0</v>
      </c>
      <c r="G1977">
        <v>0</v>
      </c>
      <c r="H1977">
        <v>0</v>
      </c>
      <c r="I1977">
        <v>0</v>
      </c>
      <c r="J1977">
        <v>0</v>
      </c>
      <c r="K1977">
        <v>0</v>
      </c>
      <c r="L1977">
        <v>0</v>
      </c>
      <c r="M1977">
        <v>0</v>
      </c>
      <c r="N1977">
        <v>0</v>
      </c>
      <c r="O1977">
        <v>0</v>
      </c>
    </row>
    <row r="1978" spans="1:15">
      <c r="A1978" t="s">
        <v>2294</v>
      </c>
      <c r="B1978" t="s">
        <v>2216</v>
      </c>
      <c r="C1978" t="s">
        <v>317</v>
      </c>
      <c r="D1978">
        <v>78</v>
      </c>
      <c r="E1978">
        <v>156</v>
      </c>
      <c r="F1978">
        <v>0</v>
      </c>
      <c r="G1978">
        <v>0</v>
      </c>
      <c r="H1978">
        <v>0</v>
      </c>
      <c r="I1978">
        <v>0</v>
      </c>
      <c r="J1978">
        <v>0</v>
      </c>
      <c r="K1978">
        <v>0</v>
      </c>
      <c r="L1978">
        <v>0</v>
      </c>
      <c r="M1978">
        <v>0</v>
      </c>
      <c r="N1978">
        <v>0</v>
      </c>
      <c r="O1978">
        <v>0</v>
      </c>
    </row>
    <row r="1979" spans="1:15">
      <c r="A1979" t="s">
        <v>2295</v>
      </c>
      <c r="B1979" t="s">
        <v>2216</v>
      </c>
      <c r="C1979" t="s">
        <v>317</v>
      </c>
      <c r="D1979">
        <v>79</v>
      </c>
      <c r="E1979">
        <v>156</v>
      </c>
      <c r="F1979">
        <v>0</v>
      </c>
      <c r="G1979">
        <v>0</v>
      </c>
      <c r="H1979">
        <v>0</v>
      </c>
      <c r="I1979">
        <v>0</v>
      </c>
      <c r="J1979">
        <v>0</v>
      </c>
      <c r="K1979">
        <v>0</v>
      </c>
      <c r="L1979">
        <v>0</v>
      </c>
      <c r="M1979">
        <v>0</v>
      </c>
      <c r="N1979">
        <v>0</v>
      </c>
      <c r="O1979">
        <v>0</v>
      </c>
    </row>
    <row r="1980" spans="1:15">
      <c r="A1980" t="s">
        <v>2296</v>
      </c>
      <c r="B1980" t="s">
        <v>2216</v>
      </c>
      <c r="C1980" t="s">
        <v>317</v>
      </c>
      <c r="D1980">
        <v>80</v>
      </c>
      <c r="E1980">
        <v>156</v>
      </c>
      <c r="F1980">
        <v>0</v>
      </c>
      <c r="G1980">
        <v>0</v>
      </c>
      <c r="H1980">
        <v>0</v>
      </c>
      <c r="I1980">
        <v>0</v>
      </c>
      <c r="J1980">
        <v>0</v>
      </c>
      <c r="K1980">
        <v>0</v>
      </c>
      <c r="L1980">
        <v>0</v>
      </c>
      <c r="M1980">
        <v>0</v>
      </c>
      <c r="N1980">
        <v>0</v>
      </c>
      <c r="O1980">
        <v>0</v>
      </c>
    </row>
    <row r="1981" spans="1:15">
      <c r="A1981" t="s">
        <v>2297</v>
      </c>
      <c r="B1981" t="s">
        <v>2216</v>
      </c>
      <c r="C1981" t="s">
        <v>317</v>
      </c>
      <c r="D1981">
        <v>81</v>
      </c>
      <c r="E1981">
        <v>156</v>
      </c>
      <c r="F1981">
        <v>0</v>
      </c>
      <c r="G1981">
        <v>0</v>
      </c>
      <c r="H1981">
        <v>0</v>
      </c>
      <c r="I1981">
        <v>0</v>
      </c>
      <c r="J1981">
        <v>0</v>
      </c>
      <c r="K1981">
        <v>0</v>
      </c>
      <c r="L1981">
        <v>0</v>
      </c>
      <c r="M1981">
        <v>0</v>
      </c>
      <c r="N1981">
        <v>0</v>
      </c>
      <c r="O1981">
        <v>0</v>
      </c>
    </row>
    <row r="1982" spans="1:15">
      <c r="A1982" t="s">
        <v>2298</v>
      </c>
      <c r="B1982" t="s">
        <v>2216</v>
      </c>
      <c r="C1982" t="s">
        <v>317</v>
      </c>
      <c r="D1982">
        <v>82</v>
      </c>
      <c r="E1982">
        <v>156</v>
      </c>
      <c r="F1982">
        <v>0</v>
      </c>
      <c r="G1982">
        <v>0</v>
      </c>
      <c r="H1982">
        <v>0</v>
      </c>
      <c r="I1982">
        <v>0</v>
      </c>
      <c r="J1982">
        <v>0</v>
      </c>
      <c r="K1982">
        <v>0</v>
      </c>
      <c r="L1982">
        <v>0</v>
      </c>
      <c r="M1982">
        <v>0</v>
      </c>
      <c r="N1982">
        <v>0</v>
      </c>
      <c r="O1982">
        <v>0</v>
      </c>
    </row>
    <row r="1983" spans="1:15">
      <c r="A1983" t="s">
        <v>2299</v>
      </c>
      <c r="B1983" t="s">
        <v>2216</v>
      </c>
      <c r="C1983" t="s">
        <v>317</v>
      </c>
      <c r="D1983">
        <v>83</v>
      </c>
      <c r="E1983">
        <v>156</v>
      </c>
      <c r="F1983">
        <v>0</v>
      </c>
      <c r="G1983">
        <v>0</v>
      </c>
      <c r="H1983">
        <v>0</v>
      </c>
      <c r="I1983">
        <v>0</v>
      </c>
      <c r="J1983">
        <v>0</v>
      </c>
      <c r="K1983">
        <v>0</v>
      </c>
      <c r="L1983">
        <v>0</v>
      </c>
      <c r="M1983">
        <v>0</v>
      </c>
      <c r="N1983">
        <v>0</v>
      </c>
      <c r="O1983">
        <v>0</v>
      </c>
    </row>
    <row r="1984" spans="1:15">
      <c r="A1984" t="s">
        <v>2300</v>
      </c>
      <c r="B1984" t="s">
        <v>2216</v>
      </c>
      <c r="C1984" t="s">
        <v>317</v>
      </c>
      <c r="D1984">
        <v>84</v>
      </c>
      <c r="E1984">
        <v>156</v>
      </c>
      <c r="F1984">
        <v>0</v>
      </c>
      <c r="G1984">
        <v>0</v>
      </c>
      <c r="H1984">
        <v>0</v>
      </c>
      <c r="I1984">
        <v>0</v>
      </c>
      <c r="J1984">
        <v>0</v>
      </c>
      <c r="K1984">
        <v>0</v>
      </c>
      <c r="L1984">
        <v>0</v>
      </c>
      <c r="M1984">
        <v>0</v>
      </c>
      <c r="N1984">
        <v>0</v>
      </c>
      <c r="O1984">
        <v>0</v>
      </c>
    </row>
    <row r="1985" spans="1:15">
      <c r="A1985" t="s">
        <v>2301</v>
      </c>
      <c r="B1985" t="s">
        <v>2216</v>
      </c>
      <c r="C1985" t="s">
        <v>317</v>
      </c>
      <c r="D1985">
        <v>85</v>
      </c>
      <c r="E1985">
        <v>156</v>
      </c>
      <c r="F1985">
        <v>0</v>
      </c>
      <c r="G1985">
        <v>0</v>
      </c>
      <c r="H1985">
        <v>0</v>
      </c>
      <c r="I1985">
        <v>0</v>
      </c>
      <c r="J1985">
        <v>0</v>
      </c>
      <c r="K1985">
        <v>0</v>
      </c>
      <c r="L1985">
        <v>0</v>
      </c>
      <c r="M1985">
        <v>0</v>
      </c>
      <c r="N1985">
        <v>0</v>
      </c>
      <c r="O1985">
        <v>0</v>
      </c>
    </row>
    <row r="1986" spans="1:15">
      <c r="A1986" t="s">
        <v>2302</v>
      </c>
      <c r="B1986" t="s">
        <v>2216</v>
      </c>
      <c r="C1986" t="s">
        <v>404</v>
      </c>
      <c r="D1986">
        <v>0</v>
      </c>
      <c r="E1986">
        <v>156</v>
      </c>
      <c r="F1986">
        <v>0</v>
      </c>
      <c r="G1986">
        <v>0</v>
      </c>
      <c r="H1986">
        <v>0</v>
      </c>
      <c r="I1986">
        <v>0</v>
      </c>
      <c r="J1986">
        <v>0</v>
      </c>
      <c r="K1986">
        <v>0</v>
      </c>
      <c r="L1986">
        <v>0</v>
      </c>
      <c r="M1986">
        <v>0</v>
      </c>
      <c r="N1986">
        <v>0</v>
      </c>
      <c r="O1986">
        <v>0</v>
      </c>
    </row>
    <row r="1987" spans="1:15">
      <c r="A1987" t="s">
        <v>2303</v>
      </c>
      <c r="B1987" t="s">
        <v>2216</v>
      </c>
      <c r="C1987" t="s">
        <v>404</v>
      </c>
      <c r="D1987">
        <v>1</v>
      </c>
      <c r="E1987">
        <v>156</v>
      </c>
      <c r="F1987">
        <v>0</v>
      </c>
      <c r="G1987">
        <v>0</v>
      </c>
      <c r="H1987">
        <v>0</v>
      </c>
      <c r="I1987">
        <v>0</v>
      </c>
      <c r="J1987">
        <v>0</v>
      </c>
      <c r="K1987">
        <v>0</v>
      </c>
      <c r="L1987">
        <v>0</v>
      </c>
      <c r="M1987">
        <v>0</v>
      </c>
      <c r="N1987">
        <v>0</v>
      </c>
      <c r="O1987">
        <v>0</v>
      </c>
    </row>
    <row r="1988" spans="1:15">
      <c r="A1988" t="s">
        <v>2304</v>
      </c>
      <c r="B1988" t="s">
        <v>2216</v>
      </c>
      <c r="C1988" t="s">
        <v>404</v>
      </c>
      <c r="D1988">
        <v>2</v>
      </c>
      <c r="E1988">
        <v>156</v>
      </c>
      <c r="F1988">
        <v>0</v>
      </c>
      <c r="G1988">
        <v>0</v>
      </c>
      <c r="H1988">
        <v>0</v>
      </c>
      <c r="I1988">
        <v>0</v>
      </c>
      <c r="J1988">
        <v>0</v>
      </c>
      <c r="K1988">
        <v>0</v>
      </c>
      <c r="L1988">
        <v>0</v>
      </c>
      <c r="M1988">
        <v>0</v>
      </c>
      <c r="N1988">
        <v>0</v>
      </c>
      <c r="O1988">
        <v>0</v>
      </c>
    </row>
    <row r="1989" spans="1:15">
      <c r="A1989" t="s">
        <v>2305</v>
      </c>
      <c r="B1989" t="s">
        <v>2216</v>
      </c>
      <c r="C1989" t="s">
        <v>404</v>
      </c>
      <c r="D1989">
        <v>3</v>
      </c>
      <c r="E1989">
        <v>156</v>
      </c>
      <c r="F1989">
        <v>0</v>
      </c>
      <c r="G1989">
        <v>0</v>
      </c>
      <c r="H1989">
        <v>0</v>
      </c>
      <c r="I1989">
        <v>0</v>
      </c>
      <c r="J1989">
        <v>0</v>
      </c>
      <c r="K1989">
        <v>0</v>
      </c>
      <c r="L1989">
        <v>0</v>
      </c>
      <c r="M1989">
        <v>0</v>
      </c>
      <c r="N1989">
        <v>0</v>
      </c>
      <c r="O1989">
        <v>0</v>
      </c>
    </row>
    <row r="1990" spans="1:15">
      <c r="A1990" t="s">
        <v>2306</v>
      </c>
      <c r="B1990" t="s">
        <v>2216</v>
      </c>
      <c r="C1990" t="s">
        <v>404</v>
      </c>
      <c r="D1990">
        <v>4</v>
      </c>
      <c r="E1990">
        <v>156</v>
      </c>
      <c r="F1990">
        <v>0</v>
      </c>
      <c r="G1990">
        <v>0</v>
      </c>
      <c r="H1990">
        <v>0</v>
      </c>
      <c r="I1990">
        <v>0</v>
      </c>
      <c r="J1990">
        <v>0</v>
      </c>
      <c r="K1990">
        <v>0</v>
      </c>
      <c r="L1990">
        <v>0</v>
      </c>
      <c r="M1990">
        <v>0</v>
      </c>
      <c r="N1990">
        <v>0</v>
      </c>
      <c r="O1990">
        <v>0</v>
      </c>
    </row>
    <row r="1991" spans="1:15">
      <c r="A1991" t="s">
        <v>2307</v>
      </c>
      <c r="B1991" t="s">
        <v>2216</v>
      </c>
      <c r="C1991" t="s">
        <v>404</v>
      </c>
      <c r="D1991">
        <v>5</v>
      </c>
      <c r="E1991">
        <v>156</v>
      </c>
      <c r="F1991">
        <v>0</v>
      </c>
      <c r="G1991">
        <v>0</v>
      </c>
      <c r="H1991">
        <v>0</v>
      </c>
      <c r="I1991">
        <v>0</v>
      </c>
      <c r="J1991">
        <v>0</v>
      </c>
      <c r="K1991">
        <v>0</v>
      </c>
      <c r="L1991">
        <v>0</v>
      </c>
      <c r="M1991">
        <v>0</v>
      </c>
      <c r="N1991">
        <v>0</v>
      </c>
      <c r="O1991">
        <v>0</v>
      </c>
    </row>
    <row r="1992" spans="1:15">
      <c r="A1992" t="s">
        <v>2308</v>
      </c>
      <c r="B1992" t="s">
        <v>2216</v>
      </c>
      <c r="C1992" t="s">
        <v>404</v>
      </c>
      <c r="D1992">
        <v>6</v>
      </c>
      <c r="E1992">
        <v>156</v>
      </c>
      <c r="F1992">
        <v>0</v>
      </c>
      <c r="G1992">
        <v>0</v>
      </c>
      <c r="H1992">
        <v>0</v>
      </c>
      <c r="I1992">
        <v>0</v>
      </c>
      <c r="J1992">
        <v>0</v>
      </c>
      <c r="K1992">
        <v>0</v>
      </c>
      <c r="L1992">
        <v>0</v>
      </c>
      <c r="M1992">
        <v>0</v>
      </c>
      <c r="N1992">
        <v>0</v>
      </c>
      <c r="O1992">
        <v>0</v>
      </c>
    </row>
    <row r="1993" spans="1:15">
      <c r="A1993" t="s">
        <v>2309</v>
      </c>
      <c r="B1993" t="s">
        <v>2216</v>
      </c>
      <c r="C1993" t="s">
        <v>404</v>
      </c>
      <c r="D1993">
        <v>7</v>
      </c>
      <c r="E1993">
        <v>156</v>
      </c>
      <c r="F1993">
        <v>0</v>
      </c>
      <c r="G1993">
        <v>0</v>
      </c>
      <c r="H1993">
        <v>0</v>
      </c>
      <c r="I1993">
        <v>0</v>
      </c>
      <c r="J1993">
        <v>0</v>
      </c>
      <c r="K1993">
        <v>0</v>
      </c>
      <c r="L1993">
        <v>0</v>
      </c>
      <c r="M1993">
        <v>0</v>
      </c>
      <c r="N1993">
        <v>0</v>
      </c>
      <c r="O1993">
        <v>0</v>
      </c>
    </row>
    <row r="1994" spans="1:15">
      <c r="A1994" t="s">
        <v>2310</v>
      </c>
      <c r="B1994" t="s">
        <v>2216</v>
      </c>
      <c r="C1994" t="s">
        <v>404</v>
      </c>
      <c r="D1994">
        <v>8</v>
      </c>
      <c r="E1994">
        <v>156</v>
      </c>
      <c r="F1994">
        <v>0</v>
      </c>
      <c r="G1994">
        <v>0</v>
      </c>
      <c r="H1994">
        <v>0</v>
      </c>
      <c r="I1994">
        <v>0</v>
      </c>
      <c r="J1994">
        <v>0</v>
      </c>
      <c r="K1994">
        <v>0</v>
      </c>
      <c r="L1994">
        <v>0</v>
      </c>
      <c r="M1994">
        <v>0</v>
      </c>
      <c r="N1994">
        <v>0</v>
      </c>
      <c r="O1994">
        <v>0</v>
      </c>
    </row>
    <row r="1995" spans="1:15">
      <c r="A1995" t="s">
        <v>2311</v>
      </c>
      <c r="B1995" t="s">
        <v>2216</v>
      </c>
      <c r="C1995" t="s">
        <v>404</v>
      </c>
      <c r="D1995">
        <v>9</v>
      </c>
      <c r="E1995">
        <v>156</v>
      </c>
      <c r="F1995">
        <v>0</v>
      </c>
      <c r="G1995">
        <v>0</v>
      </c>
      <c r="H1995">
        <v>0</v>
      </c>
      <c r="I1995">
        <v>0</v>
      </c>
      <c r="J1995">
        <v>0</v>
      </c>
      <c r="K1995">
        <v>0</v>
      </c>
      <c r="L1995">
        <v>0</v>
      </c>
      <c r="M1995">
        <v>0</v>
      </c>
      <c r="N1995">
        <v>0</v>
      </c>
      <c r="O1995">
        <v>0</v>
      </c>
    </row>
    <row r="1996" spans="1:15">
      <c r="A1996" t="s">
        <v>2312</v>
      </c>
      <c r="B1996" t="s">
        <v>2216</v>
      </c>
      <c r="C1996" t="s">
        <v>404</v>
      </c>
      <c r="D1996">
        <v>10</v>
      </c>
      <c r="E1996">
        <v>156</v>
      </c>
      <c r="F1996">
        <v>0</v>
      </c>
      <c r="G1996">
        <v>0</v>
      </c>
      <c r="H1996">
        <v>0</v>
      </c>
      <c r="I1996">
        <v>0</v>
      </c>
      <c r="J1996">
        <v>0</v>
      </c>
      <c r="K1996">
        <v>0</v>
      </c>
      <c r="L1996">
        <v>0</v>
      </c>
      <c r="M1996">
        <v>0</v>
      </c>
      <c r="N1996">
        <v>0</v>
      </c>
      <c r="O1996">
        <v>0</v>
      </c>
    </row>
    <row r="1997" spans="1:15">
      <c r="A1997" t="s">
        <v>2313</v>
      </c>
      <c r="B1997" t="s">
        <v>2216</v>
      </c>
      <c r="C1997" t="s">
        <v>404</v>
      </c>
      <c r="D1997">
        <v>11</v>
      </c>
      <c r="E1997">
        <v>156</v>
      </c>
      <c r="F1997">
        <v>0</v>
      </c>
      <c r="G1997">
        <v>0</v>
      </c>
      <c r="H1997">
        <v>0</v>
      </c>
      <c r="I1997">
        <v>0</v>
      </c>
      <c r="J1997">
        <v>0</v>
      </c>
      <c r="K1997">
        <v>0</v>
      </c>
      <c r="L1997">
        <v>0</v>
      </c>
      <c r="M1997">
        <v>0</v>
      </c>
      <c r="N1997">
        <v>0</v>
      </c>
      <c r="O1997">
        <v>0</v>
      </c>
    </row>
    <row r="1998" spans="1:15">
      <c r="A1998" t="s">
        <v>2314</v>
      </c>
      <c r="B1998" t="s">
        <v>2216</v>
      </c>
      <c r="C1998" t="s">
        <v>404</v>
      </c>
      <c r="D1998">
        <v>12</v>
      </c>
      <c r="E1998">
        <v>156</v>
      </c>
      <c r="F1998">
        <v>0</v>
      </c>
      <c r="G1998">
        <v>0</v>
      </c>
      <c r="H1998">
        <v>0</v>
      </c>
      <c r="I1998">
        <v>0</v>
      </c>
      <c r="J1998">
        <v>0</v>
      </c>
      <c r="K1998">
        <v>0</v>
      </c>
      <c r="L1998">
        <v>0</v>
      </c>
      <c r="M1998">
        <v>0</v>
      </c>
      <c r="N1998">
        <v>0</v>
      </c>
      <c r="O1998">
        <v>0</v>
      </c>
    </row>
    <row r="1999" spans="1:15">
      <c r="A1999" t="s">
        <v>2315</v>
      </c>
      <c r="B1999" t="s">
        <v>2216</v>
      </c>
      <c r="C1999" t="s">
        <v>404</v>
      </c>
      <c r="D1999">
        <v>13</v>
      </c>
      <c r="E1999">
        <v>156</v>
      </c>
      <c r="F1999">
        <v>0</v>
      </c>
      <c r="G1999">
        <v>0</v>
      </c>
      <c r="H1999">
        <v>0</v>
      </c>
      <c r="I1999">
        <v>0</v>
      </c>
      <c r="J1999">
        <v>0</v>
      </c>
      <c r="K1999">
        <v>0</v>
      </c>
      <c r="L1999">
        <v>0</v>
      </c>
      <c r="M1999">
        <v>0</v>
      </c>
      <c r="N1999">
        <v>0</v>
      </c>
      <c r="O1999">
        <v>0</v>
      </c>
    </row>
    <row r="2000" spans="1:15">
      <c r="A2000" t="s">
        <v>2316</v>
      </c>
      <c r="B2000" t="s">
        <v>2216</v>
      </c>
      <c r="C2000" t="s">
        <v>404</v>
      </c>
      <c r="D2000">
        <v>14</v>
      </c>
      <c r="E2000">
        <v>156</v>
      </c>
      <c r="F2000">
        <v>0</v>
      </c>
      <c r="G2000">
        <v>0</v>
      </c>
      <c r="H2000">
        <v>0</v>
      </c>
      <c r="I2000">
        <v>0</v>
      </c>
      <c r="J2000">
        <v>0</v>
      </c>
      <c r="K2000">
        <v>0</v>
      </c>
      <c r="L2000">
        <v>0</v>
      </c>
      <c r="M2000">
        <v>0</v>
      </c>
      <c r="N2000">
        <v>0</v>
      </c>
      <c r="O2000">
        <v>0</v>
      </c>
    </row>
    <row r="2001" spans="1:15">
      <c r="A2001" t="s">
        <v>2317</v>
      </c>
      <c r="B2001" t="s">
        <v>2216</v>
      </c>
      <c r="C2001" t="s">
        <v>404</v>
      </c>
      <c r="D2001">
        <v>15</v>
      </c>
      <c r="E2001">
        <v>156</v>
      </c>
      <c r="F2001">
        <v>0</v>
      </c>
      <c r="G2001">
        <v>0</v>
      </c>
      <c r="H2001">
        <v>0</v>
      </c>
      <c r="I2001">
        <v>0</v>
      </c>
      <c r="J2001">
        <v>0</v>
      </c>
      <c r="K2001">
        <v>0</v>
      </c>
      <c r="L2001">
        <v>0</v>
      </c>
      <c r="M2001">
        <v>0</v>
      </c>
      <c r="N2001">
        <v>0</v>
      </c>
      <c r="O2001">
        <v>0</v>
      </c>
    </row>
    <row r="2002" spans="1:15">
      <c r="A2002" t="s">
        <v>2318</v>
      </c>
      <c r="B2002" t="s">
        <v>2216</v>
      </c>
      <c r="C2002" t="s">
        <v>404</v>
      </c>
      <c r="D2002">
        <v>16</v>
      </c>
      <c r="E2002">
        <v>156</v>
      </c>
      <c r="F2002">
        <v>0</v>
      </c>
      <c r="G2002">
        <v>0</v>
      </c>
      <c r="H2002">
        <v>0</v>
      </c>
      <c r="I2002">
        <v>0</v>
      </c>
      <c r="J2002">
        <v>0</v>
      </c>
      <c r="K2002">
        <v>0</v>
      </c>
      <c r="L2002">
        <v>0</v>
      </c>
      <c r="M2002">
        <v>0</v>
      </c>
      <c r="N2002">
        <v>0</v>
      </c>
      <c r="O2002">
        <v>0</v>
      </c>
    </row>
    <row r="2003" spans="1:15">
      <c r="A2003" t="s">
        <v>2319</v>
      </c>
      <c r="B2003" t="s">
        <v>2216</v>
      </c>
      <c r="C2003" t="s">
        <v>404</v>
      </c>
      <c r="D2003">
        <v>17</v>
      </c>
      <c r="E2003">
        <v>156</v>
      </c>
      <c r="F2003">
        <v>0</v>
      </c>
      <c r="G2003">
        <v>0</v>
      </c>
      <c r="H2003">
        <v>0</v>
      </c>
      <c r="I2003">
        <v>0</v>
      </c>
      <c r="J2003">
        <v>0</v>
      </c>
      <c r="K2003">
        <v>0</v>
      </c>
      <c r="L2003">
        <v>0</v>
      </c>
      <c r="M2003">
        <v>0</v>
      </c>
      <c r="N2003">
        <v>0</v>
      </c>
      <c r="O2003">
        <v>0</v>
      </c>
    </row>
    <row r="2004" spans="1:15">
      <c r="A2004" t="s">
        <v>2320</v>
      </c>
      <c r="B2004" t="s">
        <v>2216</v>
      </c>
      <c r="C2004" t="s">
        <v>404</v>
      </c>
      <c r="D2004">
        <v>18</v>
      </c>
      <c r="E2004">
        <v>156</v>
      </c>
      <c r="F2004">
        <v>0</v>
      </c>
      <c r="G2004">
        <v>0</v>
      </c>
      <c r="H2004">
        <v>0</v>
      </c>
      <c r="I2004">
        <v>0</v>
      </c>
      <c r="J2004">
        <v>0</v>
      </c>
      <c r="K2004">
        <v>0</v>
      </c>
      <c r="L2004">
        <v>0</v>
      </c>
      <c r="M2004">
        <v>0</v>
      </c>
      <c r="N2004">
        <v>0</v>
      </c>
      <c r="O2004">
        <v>0</v>
      </c>
    </row>
    <row r="2005" spans="1:15">
      <c r="A2005" t="s">
        <v>2321</v>
      </c>
      <c r="B2005" t="s">
        <v>2216</v>
      </c>
      <c r="C2005" t="s">
        <v>404</v>
      </c>
      <c r="D2005">
        <v>19</v>
      </c>
      <c r="E2005">
        <v>156</v>
      </c>
      <c r="F2005">
        <v>0</v>
      </c>
      <c r="G2005">
        <v>0</v>
      </c>
      <c r="H2005">
        <v>0</v>
      </c>
      <c r="I2005">
        <v>0</v>
      </c>
      <c r="J2005">
        <v>0</v>
      </c>
      <c r="K2005">
        <v>0</v>
      </c>
      <c r="L2005">
        <v>0</v>
      </c>
      <c r="M2005">
        <v>0</v>
      </c>
      <c r="N2005">
        <v>0</v>
      </c>
      <c r="O2005">
        <v>0</v>
      </c>
    </row>
    <row r="2006" spans="1:15">
      <c r="A2006" t="s">
        <v>2322</v>
      </c>
      <c r="B2006" t="s">
        <v>2216</v>
      </c>
      <c r="C2006" t="s">
        <v>404</v>
      </c>
      <c r="D2006">
        <v>20</v>
      </c>
      <c r="E2006">
        <v>156</v>
      </c>
      <c r="F2006">
        <v>0</v>
      </c>
      <c r="G2006">
        <v>0</v>
      </c>
      <c r="H2006">
        <v>0</v>
      </c>
      <c r="I2006">
        <v>0</v>
      </c>
      <c r="J2006">
        <v>0</v>
      </c>
      <c r="K2006">
        <v>0</v>
      </c>
      <c r="L2006">
        <v>0</v>
      </c>
      <c r="M2006">
        <v>0</v>
      </c>
      <c r="N2006">
        <v>0</v>
      </c>
      <c r="O2006">
        <v>0</v>
      </c>
    </row>
    <row r="2007" spans="1:15">
      <c r="A2007" t="s">
        <v>2323</v>
      </c>
      <c r="B2007" t="s">
        <v>2216</v>
      </c>
      <c r="C2007" t="s">
        <v>404</v>
      </c>
      <c r="D2007">
        <v>21</v>
      </c>
      <c r="E2007">
        <v>156</v>
      </c>
      <c r="F2007">
        <v>0</v>
      </c>
      <c r="G2007">
        <v>0</v>
      </c>
      <c r="H2007">
        <v>0</v>
      </c>
      <c r="I2007">
        <v>0</v>
      </c>
      <c r="J2007">
        <v>0</v>
      </c>
      <c r="K2007">
        <v>0</v>
      </c>
      <c r="L2007">
        <v>0</v>
      </c>
      <c r="M2007">
        <v>0</v>
      </c>
      <c r="N2007">
        <v>0</v>
      </c>
      <c r="O2007">
        <v>0</v>
      </c>
    </row>
    <row r="2008" spans="1:15">
      <c r="A2008" t="s">
        <v>2324</v>
      </c>
      <c r="B2008" t="s">
        <v>2216</v>
      </c>
      <c r="C2008" t="s">
        <v>404</v>
      </c>
      <c r="D2008">
        <v>22</v>
      </c>
      <c r="E2008">
        <v>156</v>
      </c>
      <c r="F2008">
        <v>0</v>
      </c>
      <c r="G2008">
        <v>0</v>
      </c>
      <c r="H2008">
        <v>0</v>
      </c>
      <c r="I2008">
        <v>0</v>
      </c>
      <c r="J2008">
        <v>0</v>
      </c>
      <c r="K2008">
        <v>0</v>
      </c>
      <c r="L2008">
        <v>0</v>
      </c>
      <c r="M2008">
        <v>0</v>
      </c>
      <c r="N2008">
        <v>0</v>
      </c>
      <c r="O2008">
        <v>0</v>
      </c>
    </row>
    <row r="2009" spans="1:15">
      <c r="A2009" t="s">
        <v>2325</v>
      </c>
      <c r="B2009" t="s">
        <v>2216</v>
      </c>
      <c r="C2009" t="s">
        <v>404</v>
      </c>
      <c r="D2009">
        <v>23</v>
      </c>
      <c r="E2009">
        <v>156</v>
      </c>
      <c r="F2009">
        <v>0</v>
      </c>
      <c r="G2009">
        <v>0</v>
      </c>
      <c r="H2009">
        <v>0</v>
      </c>
      <c r="I2009">
        <v>0</v>
      </c>
      <c r="J2009">
        <v>0</v>
      </c>
      <c r="K2009">
        <v>0</v>
      </c>
      <c r="L2009">
        <v>0</v>
      </c>
      <c r="M2009">
        <v>0</v>
      </c>
      <c r="N2009">
        <v>0</v>
      </c>
      <c r="O2009">
        <v>0</v>
      </c>
    </row>
    <row r="2010" spans="1:15">
      <c r="A2010" t="s">
        <v>2326</v>
      </c>
      <c r="B2010" t="s">
        <v>2216</v>
      </c>
      <c r="C2010" t="s">
        <v>404</v>
      </c>
      <c r="D2010">
        <v>24</v>
      </c>
      <c r="E2010">
        <v>156</v>
      </c>
      <c r="F2010">
        <v>0</v>
      </c>
      <c r="G2010">
        <v>0</v>
      </c>
      <c r="H2010">
        <v>0</v>
      </c>
      <c r="I2010">
        <v>0</v>
      </c>
      <c r="J2010">
        <v>0</v>
      </c>
      <c r="K2010">
        <v>0</v>
      </c>
      <c r="L2010">
        <v>0</v>
      </c>
      <c r="M2010">
        <v>0</v>
      </c>
      <c r="N2010">
        <v>0</v>
      </c>
      <c r="O2010">
        <v>0</v>
      </c>
    </row>
    <row r="2011" spans="1:15">
      <c r="A2011" t="s">
        <v>2327</v>
      </c>
      <c r="B2011" t="s">
        <v>2216</v>
      </c>
      <c r="C2011" t="s">
        <v>404</v>
      </c>
      <c r="D2011">
        <v>25</v>
      </c>
      <c r="E2011">
        <v>156</v>
      </c>
      <c r="F2011">
        <v>0</v>
      </c>
      <c r="G2011">
        <v>0</v>
      </c>
      <c r="H2011">
        <v>0</v>
      </c>
      <c r="I2011">
        <v>0</v>
      </c>
      <c r="J2011">
        <v>0</v>
      </c>
      <c r="K2011">
        <v>0</v>
      </c>
      <c r="L2011">
        <v>0</v>
      </c>
      <c r="M2011">
        <v>0</v>
      </c>
      <c r="N2011">
        <v>0</v>
      </c>
      <c r="O2011">
        <v>0</v>
      </c>
    </row>
    <row r="2012" spans="1:15">
      <c r="A2012" t="s">
        <v>2328</v>
      </c>
      <c r="B2012" t="s">
        <v>2216</v>
      </c>
      <c r="C2012" t="s">
        <v>404</v>
      </c>
      <c r="D2012">
        <v>26</v>
      </c>
      <c r="E2012">
        <v>156</v>
      </c>
      <c r="F2012">
        <v>0</v>
      </c>
      <c r="G2012">
        <v>0</v>
      </c>
      <c r="H2012">
        <v>0</v>
      </c>
      <c r="I2012">
        <v>0</v>
      </c>
      <c r="J2012">
        <v>0</v>
      </c>
      <c r="K2012">
        <v>0</v>
      </c>
      <c r="L2012">
        <v>0</v>
      </c>
      <c r="M2012">
        <v>0</v>
      </c>
      <c r="N2012">
        <v>0</v>
      </c>
      <c r="O2012">
        <v>0</v>
      </c>
    </row>
    <row r="2013" spans="1:15">
      <c r="A2013" t="s">
        <v>2329</v>
      </c>
      <c r="B2013" t="s">
        <v>2216</v>
      </c>
      <c r="C2013" t="s">
        <v>404</v>
      </c>
      <c r="D2013">
        <v>27</v>
      </c>
      <c r="E2013">
        <v>156</v>
      </c>
      <c r="F2013">
        <v>0</v>
      </c>
      <c r="G2013">
        <v>0</v>
      </c>
      <c r="H2013">
        <v>0</v>
      </c>
      <c r="I2013">
        <v>0</v>
      </c>
      <c r="J2013">
        <v>0</v>
      </c>
      <c r="K2013">
        <v>0</v>
      </c>
      <c r="L2013">
        <v>0</v>
      </c>
      <c r="M2013">
        <v>0</v>
      </c>
      <c r="N2013">
        <v>0</v>
      </c>
      <c r="O2013">
        <v>0</v>
      </c>
    </row>
    <row r="2014" spans="1:15">
      <c r="A2014" t="s">
        <v>2330</v>
      </c>
      <c r="B2014" t="s">
        <v>2216</v>
      </c>
      <c r="C2014" t="s">
        <v>404</v>
      </c>
      <c r="D2014">
        <v>28</v>
      </c>
      <c r="E2014">
        <v>156</v>
      </c>
      <c r="F2014">
        <v>0</v>
      </c>
      <c r="G2014">
        <v>0</v>
      </c>
      <c r="H2014">
        <v>0</v>
      </c>
      <c r="I2014">
        <v>0</v>
      </c>
      <c r="J2014">
        <v>0</v>
      </c>
      <c r="K2014">
        <v>0</v>
      </c>
      <c r="L2014">
        <v>0</v>
      </c>
      <c r="M2014">
        <v>0</v>
      </c>
      <c r="N2014">
        <v>0</v>
      </c>
      <c r="O2014">
        <v>0</v>
      </c>
    </row>
    <row r="2015" spans="1:15">
      <c r="A2015" t="s">
        <v>2331</v>
      </c>
      <c r="B2015" t="s">
        <v>2216</v>
      </c>
      <c r="C2015" t="s">
        <v>404</v>
      </c>
      <c r="D2015">
        <v>29</v>
      </c>
      <c r="E2015">
        <v>156</v>
      </c>
      <c r="F2015">
        <v>0</v>
      </c>
      <c r="G2015">
        <v>0</v>
      </c>
      <c r="H2015">
        <v>0</v>
      </c>
      <c r="I2015">
        <v>0</v>
      </c>
      <c r="J2015">
        <v>0</v>
      </c>
      <c r="K2015">
        <v>0</v>
      </c>
      <c r="L2015">
        <v>0</v>
      </c>
      <c r="M2015">
        <v>0</v>
      </c>
      <c r="N2015">
        <v>0</v>
      </c>
      <c r="O2015">
        <v>0</v>
      </c>
    </row>
    <row r="2016" spans="1:15">
      <c r="A2016" t="s">
        <v>2332</v>
      </c>
      <c r="B2016" t="s">
        <v>2216</v>
      </c>
      <c r="C2016" t="s">
        <v>404</v>
      </c>
      <c r="D2016">
        <v>30</v>
      </c>
      <c r="E2016">
        <v>156</v>
      </c>
      <c r="F2016">
        <v>0</v>
      </c>
      <c r="G2016">
        <v>0</v>
      </c>
      <c r="H2016">
        <v>0</v>
      </c>
      <c r="I2016">
        <v>0</v>
      </c>
      <c r="J2016">
        <v>0</v>
      </c>
      <c r="K2016">
        <v>0</v>
      </c>
      <c r="L2016">
        <v>0</v>
      </c>
      <c r="M2016">
        <v>0</v>
      </c>
      <c r="N2016">
        <v>0</v>
      </c>
      <c r="O2016">
        <v>0</v>
      </c>
    </row>
    <row r="2017" spans="1:15">
      <c r="A2017" t="s">
        <v>2333</v>
      </c>
      <c r="B2017" t="s">
        <v>2216</v>
      </c>
      <c r="C2017" t="s">
        <v>404</v>
      </c>
      <c r="D2017">
        <v>31</v>
      </c>
      <c r="E2017">
        <v>156</v>
      </c>
      <c r="F2017">
        <v>0</v>
      </c>
      <c r="G2017">
        <v>0</v>
      </c>
      <c r="H2017">
        <v>0</v>
      </c>
      <c r="I2017">
        <v>0</v>
      </c>
      <c r="J2017">
        <v>0</v>
      </c>
      <c r="K2017">
        <v>0</v>
      </c>
      <c r="L2017">
        <v>0</v>
      </c>
      <c r="M2017">
        <v>0</v>
      </c>
      <c r="N2017">
        <v>0</v>
      </c>
      <c r="O2017">
        <v>0</v>
      </c>
    </row>
    <row r="2018" spans="1:15">
      <c r="A2018" t="s">
        <v>2334</v>
      </c>
      <c r="B2018" t="s">
        <v>2216</v>
      </c>
      <c r="C2018" t="s">
        <v>404</v>
      </c>
      <c r="D2018">
        <v>32</v>
      </c>
      <c r="E2018">
        <v>156</v>
      </c>
      <c r="F2018">
        <v>0</v>
      </c>
      <c r="G2018">
        <v>0</v>
      </c>
      <c r="H2018">
        <v>0</v>
      </c>
      <c r="I2018">
        <v>0</v>
      </c>
      <c r="J2018">
        <v>0</v>
      </c>
      <c r="K2018">
        <v>0</v>
      </c>
      <c r="L2018">
        <v>0</v>
      </c>
      <c r="M2018">
        <v>0</v>
      </c>
      <c r="N2018">
        <v>0</v>
      </c>
      <c r="O2018">
        <v>0</v>
      </c>
    </row>
    <row r="2019" spans="1:15">
      <c r="A2019" t="s">
        <v>2335</v>
      </c>
      <c r="B2019" t="s">
        <v>2216</v>
      </c>
      <c r="C2019" t="s">
        <v>404</v>
      </c>
      <c r="D2019">
        <v>33</v>
      </c>
      <c r="E2019">
        <v>156</v>
      </c>
      <c r="F2019">
        <v>0</v>
      </c>
      <c r="G2019">
        <v>0</v>
      </c>
      <c r="H2019">
        <v>0</v>
      </c>
      <c r="I2019">
        <v>0</v>
      </c>
      <c r="J2019">
        <v>0</v>
      </c>
      <c r="K2019">
        <v>0</v>
      </c>
      <c r="L2019">
        <v>0</v>
      </c>
      <c r="M2019">
        <v>0</v>
      </c>
      <c r="N2019">
        <v>0</v>
      </c>
      <c r="O2019">
        <v>0</v>
      </c>
    </row>
    <row r="2020" spans="1:15">
      <c r="A2020" t="s">
        <v>2336</v>
      </c>
      <c r="B2020" t="s">
        <v>2216</v>
      </c>
      <c r="C2020" t="s">
        <v>404</v>
      </c>
      <c r="D2020">
        <v>34</v>
      </c>
      <c r="E2020">
        <v>156</v>
      </c>
      <c r="F2020">
        <v>0</v>
      </c>
      <c r="G2020">
        <v>0</v>
      </c>
      <c r="H2020">
        <v>0</v>
      </c>
      <c r="I2020">
        <v>0</v>
      </c>
      <c r="J2020">
        <v>0</v>
      </c>
      <c r="K2020">
        <v>0</v>
      </c>
      <c r="L2020">
        <v>0</v>
      </c>
      <c r="M2020">
        <v>0</v>
      </c>
      <c r="N2020">
        <v>0</v>
      </c>
      <c r="O2020">
        <v>0</v>
      </c>
    </row>
    <row r="2021" spans="1:15">
      <c r="A2021" t="s">
        <v>2337</v>
      </c>
      <c r="B2021" t="s">
        <v>2216</v>
      </c>
      <c r="C2021" t="s">
        <v>404</v>
      </c>
      <c r="D2021">
        <v>35</v>
      </c>
      <c r="E2021">
        <v>156</v>
      </c>
      <c r="F2021">
        <v>0</v>
      </c>
      <c r="G2021">
        <v>0</v>
      </c>
      <c r="H2021">
        <v>0</v>
      </c>
      <c r="I2021">
        <v>0</v>
      </c>
      <c r="J2021">
        <v>0</v>
      </c>
      <c r="K2021">
        <v>0</v>
      </c>
      <c r="L2021">
        <v>0</v>
      </c>
      <c r="M2021">
        <v>0</v>
      </c>
      <c r="N2021">
        <v>0</v>
      </c>
      <c r="O2021">
        <v>0</v>
      </c>
    </row>
    <row r="2022" spans="1:15">
      <c r="A2022" t="s">
        <v>2338</v>
      </c>
      <c r="B2022" t="s">
        <v>2216</v>
      </c>
      <c r="C2022" t="s">
        <v>404</v>
      </c>
      <c r="D2022">
        <v>36</v>
      </c>
      <c r="E2022">
        <v>156</v>
      </c>
      <c r="F2022">
        <v>0</v>
      </c>
      <c r="G2022">
        <v>0</v>
      </c>
      <c r="H2022">
        <v>0</v>
      </c>
      <c r="I2022">
        <v>0</v>
      </c>
      <c r="J2022">
        <v>0</v>
      </c>
      <c r="K2022">
        <v>0</v>
      </c>
      <c r="L2022">
        <v>0</v>
      </c>
      <c r="M2022">
        <v>0</v>
      </c>
      <c r="N2022">
        <v>0</v>
      </c>
      <c r="O2022">
        <v>0</v>
      </c>
    </row>
    <row r="2023" spans="1:15">
      <c r="A2023" t="s">
        <v>2339</v>
      </c>
      <c r="B2023" t="s">
        <v>2216</v>
      </c>
      <c r="C2023" t="s">
        <v>404</v>
      </c>
      <c r="D2023">
        <v>37</v>
      </c>
      <c r="E2023">
        <v>156</v>
      </c>
      <c r="F2023">
        <v>0</v>
      </c>
      <c r="G2023">
        <v>0</v>
      </c>
      <c r="H2023">
        <v>0</v>
      </c>
      <c r="I2023">
        <v>0</v>
      </c>
      <c r="J2023">
        <v>0</v>
      </c>
      <c r="K2023">
        <v>0</v>
      </c>
      <c r="L2023">
        <v>0</v>
      </c>
      <c r="M2023">
        <v>0</v>
      </c>
      <c r="N2023">
        <v>0</v>
      </c>
      <c r="O2023">
        <v>0</v>
      </c>
    </row>
    <row r="2024" spans="1:15">
      <c r="A2024" t="s">
        <v>2340</v>
      </c>
      <c r="B2024" t="s">
        <v>2216</v>
      </c>
      <c r="C2024" t="s">
        <v>404</v>
      </c>
      <c r="D2024">
        <v>38</v>
      </c>
      <c r="E2024">
        <v>156</v>
      </c>
      <c r="F2024">
        <v>0</v>
      </c>
      <c r="G2024">
        <v>0</v>
      </c>
      <c r="H2024">
        <v>0</v>
      </c>
      <c r="I2024">
        <v>0</v>
      </c>
      <c r="J2024">
        <v>0</v>
      </c>
      <c r="K2024">
        <v>0</v>
      </c>
      <c r="L2024">
        <v>0</v>
      </c>
      <c r="M2024">
        <v>0</v>
      </c>
      <c r="N2024">
        <v>0</v>
      </c>
      <c r="O2024">
        <v>0</v>
      </c>
    </row>
    <row r="2025" spans="1:15">
      <c r="A2025" t="s">
        <v>2341</v>
      </c>
      <c r="B2025" t="s">
        <v>2216</v>
      </c>
      <c r="C2025" t="s">
        <v>404</v>
      </c>
      <c r="D2025">
        <v>39</v>
      </c>
      <c r="E2025">
        <v>156</v>
      </c>
      <c r="F2025">
        <v>0</v>
      </c>
      <c r="G2025">
        <v>0</v>
      </c>
      <c r="H2025">
        <v>0</v>
      </c>
      <c r="I2025">
        <v>0</v>
      </c>
      <c r="J2025">
        <v>0</v>
      </c>
      <c r="K2025">
        <v>0</v>
      </c>
      <c r="L2025">
        <v>0</v>
      </c>
      <c r="M2025">
        <v>0</v>
      </c>
      <c r="N2025">
        <v>0</v>
      </c>
      <c r="O2025">
        <v>0</v>
      </c>
    </row>
    <row r="2026" spans="1:15">
      <c r="A2026" t="s">
        <v>2342</v>
      </c>
      <c r="B2026" t="s">
        <v>2216</v>
      </c>
      <c r="C2026" t="s">
        <v>404</v>
      </c>
      <c r="D2026">
        <v>40</v>
      </c>
      <c r="E2026">
        <v>156</v>
      </c>
      <c r="F2026">
        <v>0</v>
      </c>
      <c r="G2026">
        <v>0</v>
      </c>
      <c r="H2026">
        <v>0</v>
      </c>
      <c r="I2026">
        <v>0</v>
      </c>
      <c r="J2026">
        <v>0</v>
      </c>
      <c r="K2026">
        <v>0</v>
      </c>
      <c r="L2026">
        <v>0</v>
      </c>
      <c r="M2026">
        <v>0</v>
      </c>
      <c r="N2026">
        <v>0</v>
      </c>
      <c r="O2026">
        <v>0</v>
      </c>
    </row>
    <row r="2027" spans="1:15">
      <c r="A2027" t="s">
        <v>2343</v>
      </c>
      <c r="B2027" t="s">
        <v>2216</v>
      </c>
      <c r="C2027" t="s">
        <v>404</v>
      </c>
      <c r="D2027">
        <v>41</v>
      </c>
      <c r="E2027">
        <v>156</v>
      </c>
      <c r="F2027">
        <v>0</v>
      </c>
      <c r="G2027">
        <v>0</v>
      </c>
      <c r="H2027">
        <v>0</v>
      </c>
      <c r="I2027">
        <v>0</v>
      </c>
      <c r="J2027">
        <v>0</v>
      </c>
      <c r="K2027">
        <v>0</v>
      </c>
      <c r="L2027">
        <v>0</v>
      </c>
      <c r="M2027">
        <v>0</v>
      </c>
      <c r="N2027">
        <v>0</v>
      </c>
      <c r="O2027">
        <v>0</v>
      </c>
    </row>
    <row r="2028" spans="1:15">
      <c r="A2028" t="s">
        <v>2344</v>
      </c>
      <c r="B2028" t="s">
        <v>2216</v>
      </c>
      <c r="C2028" t="s">
        <v>404</v>
      </c>
      <c r="D2028">
        <v>42</v>
      </c>
      <c r="E2028">
        <v>156</v>
      </c>
      <c r="F2028">
        <v>0</v>
      </c>
      <c r="G2028">
        <v>0</v>
      </c>
      <c r="H2028">
        <v>0</v>
      </c>
      <c r="I2028">
        <v>0</v>
      </c>
      <c r="J2028">
        <v>0</v>
      </c>
      <c r="K2028">
        <v>0</v>
      </c>
      <c r="L2028">
        <v>0</v>
      </c>
      <c r="M2028">
        <v>0</v>
      </c>
      <c r="N2028">
        <v>0</v>
      </c>
      <c r="O2028">
        <v>0</v>
      </c>
    </row>
    <row r="2029" spans="1:15">
      <c r="A2029" t="s">
        <v>2345</v>
      </c>
      <c r="B2029" t="s">
        <v>2216</v>
      </c>
      <c r="C2029" t="s">
        <v>404</v>
      </c>
      <c r="D2029">
        <v>43</v>
      </c>
      <c r="E2029">
        <v>156</v>
      </c>
      <c r="F2029">
        <v>0</v>
      </c>
      <c r="G2029">
        <v>0</v>
      </c>
      <c r="H2029">
        <v>0</v>
      </c>
      <c r="I2029">
        <v>0</v>
      </c>
      <c r="J2029">
        <v>0</v>
      </c>
      <c r="K2029">
        <v>0</v>
      </c>
      <c r="L2029">
        <v>0</v>
      </c>
      <c r="M2029">
        <v>0</v>
      </c>
      <c r="N2029">
        <v>0</v>
      </c>
      <c r="O2029">
        <v>0</v>
      </c>
    </row>
    <row r="2030" spans="1:15">
      <c r="A2030" t="s">
        <v>2346</v>
      </c>
      <c r="B2030" t="s">
        <v>2216</v>
      </c>
      <c r="C2030" t="s">
        <v>404</v>
      </c>
      <c r="D2030">
        <v>44</v>
      </c>
      <c r="E2030">
        <v>156</v>
      </c>
      <c r="F2030">
        <v>0</v>
      </c>
      <c r="G2030">
        <v>0</v>
      </c>
      <c r="H2030">
        <v>0</v>
      </c>
      <c r="I2030">
        <v>0</v>
      </c>
      <c r="J2030">
        <v>0</v>
      </c>
      <c r="K2030">
        <v>0</v>
      </c>
      <c r="L2030">
        <v>0</v>
      </c>
      <c r="M2030">
        <v>0</v>
      </c>
      <c r="N2030">
        <v>0</v>
      </c>
      <c r="O2030">
        <v>0</v>
      </c>
    </row>
    <row r="2031" spans="1:15">
      <c r="A2031" t="s">
        <v>2347</v>
      </c>
      <c r="B2031" t="s">
        <v>2216</v>
      </c>
      <c r="C2031" t="s">
        <v>404</v>
      </c>
      <c r="D2031">
        <v>45</v>
      </c>
      <c r="E2031">
        <v>156</v>
      </c>
      <c r="F2031">
        <v>0</v>
      </c>
      <c r="G2031">
        <v>0</v>
      </c>
      <c r="H2031">
        <v>0</v>
      </c>
      <c r="I2031">
        <v>0</v>
      </c>
      <c r="J2031">
        <v>0</v>
      </c>
      <c r="K2031">
        <v>0</v>
      </c>
      <c r="L2031">
        <v>0</v>
      </c>
      <c r="M2031">
        <v>0</v>
      </c>
      <c r="N2031">
        <v>0</v>
      </c>
      <c r="O2031">
        <v>0</v>
      </c>
    </row>
    <row r="2032" spans="1:15">
      <c r="A2032" t="s">
        <v>2348</v>
      </c>
      <c r="B2032" t="s">
        <v>2216</v>
      </c>
      <c r="C2032" t="s">
        <v>404</v>
      </c>
      <c r="D2032">
        <v>46</v>
      </c>
      <c r="E2032">
        <v>156</v>
      </c>
      <c r="F2032">
        <v>0</v>
      </c>
      <c r="G2032">
        <v>0</v>
      </c>
      <c r="H2032">
        <v>0</v>
      </c>
      <c r="I2032">
        <v>0</v>
      </c>
      <c r="J2032">
        <v>0</v>
      </c>
      <c r="K2032">
        <v>0</v>
      </c>
      <c r="L2032">
        <v>0</v>
      </c>
      <c r="M2032">
        <v>0</v>
      </c>
      <c r="N2032">
        <v>0</v>
      </c>
      <c r="O2032">
        <v>0</v>
      </c>
    </row>
    <row r="2033" spans="1:15">
      <c r="A2033" t="s">
        <v>2349</v>
      </c>
      <c r="B2033" t="s">
        <v>2216</v>
      </c>
      <c r="C2033" t="s">
        <v>404</v>
      </c>
      <c r="D2033">
        <v>47</v>
      </c>
      <c r="E2033">
        <v>156</v>
      </c>
      <c r="F2033">
        <v>0</v>
      </c>
      <c r="G2033">
        <v>0</v>
      </c>
      <c r="H2033">
        <v>0</v>
      </c>
      <c r="I2033">
        <v>0</v>
      </c>
      <c r="J2033">
        <v>0</v>
      </c>
      <c r="K2033">
        <v>0</v>
      </c>
      <c r="L2033">
        <v>0</v>
      </c>
      <c r="M2033">
        <v>0</v>
      </c>
      <c r="N2033">
        <v>0</v>
      </c>
      <c r="O2033">
        <v>0</v>
      </c>
    </row>
    <row r="2034" spans="1:15">
      <c r="A2034" t="s">
        <v>2350</v>
      </c>
      <c r="B2034" t="s">
        <v>2216</v>
      </c>
      <c r="C2034" t="s">
        <v>404</v>
      </c>
      <c r="D2034">
        <v>48</v>
      </c>
      <c r="E2034">
        <v>156</v>
      </c>
      <c r="F2034">
        <v>0</v>
      </c>
      <c r="G2034">
        <v>0</v>
      </c>
      <c r="H2034">
        <v>0</v>
      </c>
      <c r="I2034">
        <v>0</v>
      </c>
      <c r="J2034">
        <v>0</v>
      </c>
      <c r="K2034">
        <v>0</v>
      </c>
      <c r="L2034">
        <v>0</v>
      </c>
      <c r="M2034">
        <v>0</v>
      </c>
      <c r="N2034">
        <v>0</v>
      </c>
      <c r="O2034">
        <v>0</v>
      </c>
    </row>
    <row r="2035" spans="1:15">
      <c r="A2035" t="s">
        <v>2351</v>
      </c>
      <c r="B2035" t="s">
        <v>2216</v>
      </c>
      <c r="C2035" t="s">
        <v>404</v>
      </c>
      <c r="D2035">
        <v>49</v>
      </c>
      <c r="E2035">
        <v>156</v>
      </c>
      <c r="F2035">
        <v>0</v>
      </c>
      <c r="G2035">
        <v>0</v>
      </c>
      <c r="H2035">
        <v>0</v>
      </c>
      <c r="I2035">
        <v>0</v>
      </c>
      <c r="J2035">
        <v>0</v>
      </c>
      <c r="K2035">
        <v>0</v>
      </c>
      <c r="L2035">
        <v>0</v>
      </c>
      <c r="M2035">
        <v>0</v>
      </c>
      <c r="N2035">
        <v>0</v>
      </c>
      <c r="O2035">
        <v>0</v>
      </c>
    </row>
    <row r="2036" spans="1:15">
      <c r="A2036" t="s">
        <v>2352</v>
      </c>
      <c r="B2036" t="s">
        <v>2216</v>
      </c>
      <c r="C2036" t="s">
        <v>404</v>
      </c>
      <c r="D2036">
        <v>50</v>
      </c>
      <c r="E2036">
        <v>156</v>
      </c>
      <c r="F2036">
        <v>0</v>
      </c>
      <c r="G2036">
        <v>0</v>
      </c>
      <c r="H2036">
        <v>0</v>
      </c>
      <c r="I2036">
        <v>0</v>
      </c>
      <c r="J2036">
        <v>0</v>
      </c>
      <c r="K2036">
        <v>0</v>
      </c>
      <c r="L2036">
        <v>0</v>
      </c>
      <c r="M2036">
        <v>0</v>
      </c>
      <c r="N2036">
        <v>0</v>
      </c>
      <c r="O2036">
        <v>0</v>
      </c>
    </row>
    <row r="2037" spans="1:15">
      <c r="A2037" t="s">
        <v>2353</v>
      </c>
      <c r="B2037" t="s">
        <v>2216</v>
      </c>
      <c r="C2037" t="s">
        <v>404</v>
      </c>
      <c r="D2037">
        <v>51</v>
      </c>
      <c r="E2037">
        <v>156</v>
      </c>
      <c r="F2037">
        <v>0</v>
      </c>
      <c r="G2037">
        <v>0</v>
      </c>
      <c r="H2037">
        <v>0</v>
      </c>
      <c r="I2037">
        <v>0</v>
      </c>
      <c r="J2037">
        <v>0</v>
      </c>
      <c r="K2037">
        <v>0</v>
      </c>
      <c r="L2037">
        <v>0</v>
      </c>
      <c r="M2037">
        <v>0</v>
      </c>
      <c r="N2037">
        <v>0</v>
      </c>
      <c r="O2037">
        <v>0</v>
      </c>
    </row>
    <row r="2038" spans="1:15">
      <c r="A2038" t="s">
        <v>2354</v>
      </c>
      <c r="B2038" t="s">
        <v>2216</v>
      </c>
      <c r="C2038" t="s">
        <v>404</v>
      </c>
      <c r="D2038">
        <v>52</v>
      </c>
      <c r="E2038">
        <v>156</v>
      </c>
      <c r="F2038">
        <v>0</v>
      </c>
      <c r="G2038">
        <v>0</v>
      </c>
      <c r="H2038">
        <v>0</v>
      </c>
      <c r="I2038">
        <v>0</v>
      </c>
      <c r="J2038">
        <v>0</v>
      </c>
      <c r="K2038">
        <v>0</v>
      </c>
      <c r="L2038">
        <v>0</v>
      </c>
      <c r="M2038">
        <v>0</v>
      </c>
      <c r="N2038">
        <v>0</v>
      </c>
      <c r="O2038">
        <v>0</v>
      </c>
    </row>
    <row r="2039" spans="1:15">
      <c r="A2039" t="s">
        <v>2355</v>
      </c>
      <c r="B2039" t="s">
        <v>2216</v>
      </c>
      <c r="C2039" t="s">
        <v>404</v>
      </c>
      <c r="D2039">
        <v>53</v>
      </c>
      <c r="E2039">
        <v>156</v>
      </c>
      <c r="F2039">
        <v>0</v>
      </c>
      <c r="G2039">
        <v>0</v>
      </c>
      <c r="H2039">
        <v>0</v>
      </c>
      <c r="I2039">
        <v>0</v>
      </c>
      <c r="J2039">
        <v>0</v>
      </c>
      <c r="K2039">
        <v>0</v>
      </c>
      <c r="L2039">
        <v>0</v>
      </c>
      <c r="M2039">
        <v>0</v>
      </c>
      <c r="N2039">
        <v>0</v>
      </c>
      <c r="O2039">
        <v>0</v>
      </c>
    </row>
    <row r="2040" spans="1:15">
      <c r="A2040" t="s">
        <v>2356</v>
      </c>
      <c r="B2040" t="s">
        <v>2216</v>
      </c>
      <c r="C2040" t="s">
        <v>404</v>
      </c>
      <c r="D2040">
        <v>54</v>
      </c>
      <c r="E2040">
        <v>156</v>
      </c>
      <c r="F2040">
        <v>0</v>
      </c>
      <c r="G2040">
        <v>0</v>
      </c>
      <c r="H2040">
        <v>0</v>
      </c>
      <c r="I2040">
        <v>0</v>
      </c>
      <c r="J2040">
        <v>0</v>
      </c>
      <c r="K2040">
        <v>0</v>
      </c>
      <c r="L2040">
        <v>0</v>
      </c>
      <c r="M2040">
        <v>0</v>
      </c>
      <c r="N2040">
        <v>0</v>
      </c>
      <c r="O2040">
        <v>0</v>
      </c>
    </row>
    <row r="2041" spans="1:15">
      <c r="A2041" t="s">
        <v>2357</v>
      </c>
      <c r="B2041" t="s">
        <v>2216</v>
      </c>
      <c r="C2041" t="s">
        <v>404</v>
      </c>
      <c r="D2041">
        <v>55</v>
      </c>
      <c r="E2041">
        <v>156</v>
      </c>
      <c r="F2041">
        <v>0</v>
      </c>
      <c r="G2041">
        <v>0</v>
      </c>
      <c r="H2041">
        <v>0</v>
      </c>
      <c r="I2041">
        <v>0</v>
      </c>
      <c r="J2041">
        <v>0</v>
      </c>
      <c r="K2041">
        <v>0</v>
      </c>
      <c r="L2041">
        <v>0</v>
      </c>
      <c r="M2041">
        <v>0</v>
      </c>
      <c r="N2041">
        <v>0</v>
      </c>
      <c r="O2041">
        <v>0</v>
      </c>
    </row>
    <row r="2042" spans="1:15">
      <c r="A2042" t="s">
        <v>2358</v>
      </c>
      <c r="B2042" t="s">
        <v>2216</v>
      </c>
      <c r="C2042" t="s">
        <v>404</v>
      </c>
      <c r="D2042">
        <v>56</v>
      </c>
      <c r="E2042">
        <v>156</v>
      </c>
      <c r="F2042">
        <v>0</v>
      </c>
      <c r="G2042">
        <v>0</v>
      </c>
      <c r="H2042">
        <v>0</v>
      </c>
      <c r="I2042">
        <v>0</v>
      </c>
      <c r="J2042">
        <v>0</v>
      </c>
      <c r="K2042">
        <v>0</v>
      </c>
      <c r="L2042">
        <v>0</v>
      </c>
      <c r="M2042">
        <v>0</v>
      </c>
      <c r="N2042">
        <v>0</v>
      </c>
      <c r="O2042">
        <v>0</v>
      </c>
    </row>
    <row r="2043" spans="1:15">
      <c r="A2043" t="s">
        <v>2359</v>
      </c>
      <c r="B2043" t="s">
        <v>2216</v>
      </c>
      <c r="C2043" t="s">
        <v>404</v>
      </c>
      <c r="D2043">
        <v>57</v>
      </c>
      <c r="E2043">
        <v>156</v>
      </c>
      <c r="F2043">
        <v>0</v>
      </c>
      <c r="G2043">
        <v>0</v>
      </c>
      <c r="H2043">
        <v>0</v>
      </c>
      <c r="I2043">
        <v>0</v>
      </c>
      <c r="J2043">
        <v>0</v>
      </c>
      <c r="K2043">
        <v>0</v>
      </c>
      <c r="L2043">
        <v>0</v>
      </c>
      <c r="M2043">
        <v>0</v>
      </c>
      <c r="N2043">
        <v>0</v>
      </c>
      <c r="O2043">
        <v>0</v>
      </c>
    </row>
    <row r="2044" spans="1:15">
      <c r="A2044" t="s">
        <v>2360</v>
      </c>
      <c r="B2044" t="s">
        <v>2216</v>
      </c>
      <c r="C2044" t="s">
        <v>404</v>
      </c>
      <c r="D2044">
        <v>58</v>
      </c>
      <c r="E2044">
        <v>156</v>
      </c>
      <c r="F2044">
        <v>0</v>
      </c>
      <c r="G2044">
        <v>0</v>
      </c>
      <c r="H2044">
        <v>0</v>
      </c>
      <c r="I2044">
        <v>0</v>
      </c>
      <c r="J2044">
        <v>0</v>
      </c>
      <c r="K2044">
        <v>0</v>
      </c>
      <c r="L2044">
        <v>0</v>
      </c>
      <c r="M2044">
        <v>0</v>
      </c>
      <c r="N2044">
        <v>0</v>
      </c>
      <c r="O2044">
        <v>0</v>
      </c>
    </row>
    <row r="2045" spans="1:15">
      <c r="A2045" t="s">
        <v>2361</v>
      </c>
      <c r="B2045" t="s">
        <v>2216</v>
      </c>
      <c r="C2045" t="s">
        <v>404</v>
      </c>
      <c r="D2045">
        <v>59</v>
      </c>
      <c r="E2045">
        <v>156</v>
      </c>
      <c r="F2045">
        <v>0</v>
      </c>
      <c r="G2045">
        <v>0</v>
      </c>
      <c r="H2045">
        <v>0</v>
      </c>
      <c r="I2045">
        <v>0</v>
      </c>
      <c r="J2045">
        <v>0</v>
      </c>
      <c r="K2045">
        <v>0</v>
      </c>
      <c r="L2045">
        <v>0</v>
      </c>
      <c r="M2045">
        <v>0</v>
      </c>
      <c r="N2045">
        <v>0</v>
      </c>
      <c r="O2045">
        <v>0</v>
      </c>
    </row>
    <row r="2046" spans="1:15">
      <c r="A2046" t="s">
        <v>2362</v>
      </c>
      <c r="B2046" t="s">
        <v>2216</v>
      </c>
      <c r="C2046" t="s">
        <v>404</v>
      </c>
      <c r="D2046">
        <v>60</v>
      </c>
      <c r="E2046">
        <v>156</v>
      </c>
      <c r="F2046">
        <v>0</v>
      </c>
      <c r="G2046">
        <v>0</v>
      </c>
      <c r="H2046">
        <v>0</v>
      </c>
      <c r="I2046">
        <v>0</v>
      </c>
      <c r="J2046">
        <v>0</v>
      </c>
      <c r="K2046">
        <v>0</v>
      </c>
      <c r="L2046">
        <v>0</v>
      </c>
      <c r="M2046">
        <v>0</v>
      </c>
      <c r="N2046">
        <v>0</v>
      </c>
      <c r="O2046">
        <v>0</v>
      </c>
    </row>
    <row r="2047" spans="1:15">
      <c r="A2047" t="s">
        <v>2363</v>
      </c>
      <c r="B2047" t="s">
        <v>2216</v>
      </c>
      <c r="C2047" t="s">
        <v>404</v>
      </c>
      <c r="D2047">
        <v>61</v>
      </c>
      <c r="E2047">
        <v>156</v>
      </c>
      <c r="F2047">
        <v>0</v>
      </c>
      <c r="G2047">
        <v>0</v>
      </c>
      <c r="H2047">
        <v>0</v>
      </c>
      <c r="I2047">
        <v>0</v>
      </c>
      <c r="J2047">
        <v>0</v>
      </c>
      <c r="K2047">
        <v>0</v>
      </c>
      <c r="L2047">
        <v>0</v>
      </c>
      <c r="M2047">
        <v>0</v>
      </c>
      <c r="N2047">
        <v>0</v>
      </c>
      <c r="O2047">
        <v>0</v>
      </c>
    </row>
    <row r="2048" spans="1:15">
      <c r="A2048" t="s">
        <v>2364</v>
      </c>
      <c r="B2048" t="s">
        <v>2216</v>
      </c>
      <c r="C2048" t="s">
        <v>404</v>
      </c>
      <c r="D2048">
        <v>62</v>
      </c>
      <c r="E2048">
        <v>156</v>
      </c>
      <c r="F2048">
        <v>0</v>
      </c>
      <c r="G2048">
        <v>0</v>
      </c>
      <c r="H2048">
        <v>0</v>
      </c>
      <c r="I2048">
        <v>0</v>
      </c>
      <c r="J2048">
        <v>0</v>
      </c>
      <c r="K2048">
        <v>0</v>
      </c>
      <c r="L2048">
        <v>0</v>
      </c>
      <c r="M2048">
        <v>0</v>
      </c>
      <c r="N2048">
        <v>0</v>
      </c>
      <c r="O2048">
        <v>0</v>
      </c>
    </row>
    <row r="2049" spans="1:15">
      <c r="A2049" t="s">
        <v>2365</v>
      </c>
      <c r="B2049" t="s">
        <v>2216</v>
      </c>
      <c r="C2049" t="s">
        <v>404</v>
      </c>
      <c r="D2049">
        <v>63</v>
      </c>
      <c r="E2049">
        <v>156</v>
      </c>
      <c r="F2049">
        <v>0</v>
      </c>
      <c r="G2049">
        <v>0</v>
      </c>
      <c r="H2049">
        <v>0</v>
      </c>
      <c r="I2049">
        <v>0</v>
      </c>
      <c r="J2049">
        <v>0</v>
      </c>
      <c r="K2049">
        <v>0</v>
      </c>
      <c r="L2049">
        <v>0</v>
      </c>
      <c r="M2049">
        <v>0</v>
      </c>
      <c r="N2049">
        <v>0</v>
      </c>
      <c r="O2049">
        <v>0</v>
      </c>
    </row>
    <row r="2050" spans="1:15">
      <c r="A2050" t="s">
        <v>2366</v>
      </c>
      <c r="B2050" t="s">
        <v>2216</v>
      </c>
      <c r="C2050" t="s">
        <v>404</v>
      </c>
      <c r="D2050">
        <v>64</v>
      </c>
      <c r="E2050">
        <v>156</v>
      </c>
      <c r="F2050">
        <v>0</v>
      </c>
      <c r="G2050">
        <v>0</v>
      </c>
      <c r="H2050">
        <v>0</v>
      </c>
      <c r="I2050">
        <v>0</v>
      </c>
      <c r="J2050">
        <v>0</v>
      </c>
      <c r="K2050">
        <v>0</v>
      </c>
      <c r="L2050">
        <v>0</v>
      </c>
      <c r="M2050">
        <v>0</v>
      </c>
      <c r="N2050">
        <v>0</v>
      </c>
      <c r="O2050">
        <v>0</v>
      </c>
    </row>
    <row r="2051" spans="1:15">
      <c r="A2051" t="s">
        <v>2367</v>
      </c>
      <c r="B2051" t="s">
        <v>2216</v>
      </c>
      <c r="C2051" t="s">
        <v>404</v>
      </c>
      <c r="D2051">
        <v>65</v>
      </c>
      <c r="E2051">
        <v>156</v>
      </c>
      <c r="F2051">
        <v>0</v>
      </c>
      <c r="G2051">
        <v>0</v>
      </c>
      <c r="H2051">
        <v>0</v>
      </c>
      <c r="I2051">
        <v>0</v>
      </c>
      <c r="J2051">
        <v>0</v>
      </c>
      <c r="K2051">
        <v>0</v>
      </c>
      <c r="L2051">
        <v>0</v>
      </c>
      <c r="M2051">
        <v>0</v>
      </c>
      <c r="N2051">
        <v>0</v>
      </c>
      <c r="O2051">
        <v>0</v>
      </c>
    </row>
    <row r="2052" spans="1:15">
      <c r="A2052" t="s">
        <v>2368</v>
      </c>
      <c r="B2052" t="s">
        <v>2216</v>
      </c>
      <c r="C2052" t="s">
        <v>404</v>
      </c>
      <c r="D2052">
        <v>66</v>
      </c>
      <c r="E2052">
        <v>156</v>
      </c>
      <c r="F2052">
        <v>0</v>
      </c>
      <c r="G2052">
        <v>0</v>
      </c>
      <c r="H2052">
        <v>0</v>
      </c>
      <c r="I2052">
        <v>0</v>
      </c>
      <c r="J2052">
        <v>0</v>
      </c>
      <c r="K2052">
        <v>0</v>
      </c>
      <c r="L2052">
        <v>0</v>
      </c>
      <c r="M2052">
        <v>0</v>
      </c>
      <c r="N2052">
        <v>0</v>
      </c>
      <c r="O2052">
        <v>0</v>
      </c>
    </row>
    <row r="2053" spans="1:15">
      <c r="A2053" t="s">
        <v>2369</v>
      </c>
      <c r="B2053" t="s">
        <v>2216</v>
      </c>
      <c r="C2053" t="s">
        <v>404</v>
      </c>
      <c r="D2053">
        <v>67</v>
      </c>
      <c r="E2053">
        <v>156</v>
      </c>
      <c r="F2053">
        <v>0</v>
      </c>
      <c r="G2053">
        <v>0</v>
      </c>
      <c r="H2053">
        <v>0</v>
      </c>
      <c r="I2053">
        <v>0</v>
      </c>
      <c r="J2053">
        <v>0</v>
      </c>
      <c r="K2053">
        <v>0</v>
      </c>
      <c r="L2053">
        <v>0</v>
      </c>
      <c r="M2053">
        <v>0</v>
      </c>
      <c r="N2053">
        <v>0</v>
      </c>
      <c r="O2053">
        <v>0</v>
      </c>
    </row>
    <row r="2054" spans="1:15">
      <c r="A2054" t="s">
        <v>2370</v>
      </c>
      <c r="B2054" t="s">
        <v>2216</v>
      </c>
      <c r="C2054" t="s">
        <v>404</v>
      </c>
      <c r="D2054">
        <v>68</v>
      </c>
      <c r="E2054">
        <v>156</v>
      </c>
      <c r="F2054">
        <v>0</v>
      </c>
      <c r="G2054">
        <v>0</v>
      </c>
      <c r="H2054">
        <v>0</v>
      </c>
      <c r="I2054">
        <v>0</v>
      </c>
      <c r="J2054">
        <v>0</v>
      </c>
      <c r="K2054">
        <v>0</v>
      </c>
      <c r="L2054">
        <v>0</v>
      </c>
      <c r="M2054">
        <v>0</v>
      </c>
      <c r="N2054">
        <v>0</v>
      </c>
      <c r="O2054">
        <v>0</v>
      </c>
    </row>
    <row r="2055" spans="1:15">
      <c r="A2055" t="s">
        <v>2371</v>
      </c>
      <c r="B2055" t="s">
        <v>2216</v>
      </c>
      <c r="C2055" t="s">
        <v>404</v>
      </c>
      <c r="D2055">
        <v>69</v>
      </c>
      <c r="E2055">
        <v>156</v>
      </c>
      <c r="F2055">
        <v>0</v>
      </c>
      <c r="G2055">
        <v>0</v>
      </c>
      <c r="H2055">
        <v>0</v>
      </c>
      <c r="I2055">
        <v>0</v>
      </c>
      <c r="J2055">
        <v>0</v>
      </c>
      <c r="K2055">
        <v>0</v>
      </c>
      <c r="L2055">
        <v>0</v>
      </c>
      <c r="M2055">
        <v>0</v>
      </c>
      <c r="N2055">
        <v>0</v>
      </c>
      <c r="O2055">
        <v>0</v>
      </c>
    </row>
    <row r="2056" spans="1:15">
      <c r="A2056" t="s">
        <v>2372</v>
      </c>
      <c r="B2056" t="s">
        <v>2216</v>
      </c>
      <c r="C2056" t="s">
        <v>404</v>
      </c>
      <c r="D2056">
        <v>70</v>
      </c>
      <c r="E2056">
        <v>156</v>
      </c>
      <c r="F2056">
        <v>0</v>
      </c>
      <c r="G2056">
        <v>0</v>
      </c>
      <c r="H2056">
        <v>0</v>
      </c>
      <c r="I2056">
        <v>0</v>
      </c>
      <c r="J2056">
        <v>0</v>
      </c>
      <c r="K2056">
        <v>0</v>
      </c>
      <c r="L2056">
        <v>0</v>
      </c>
      <c r="M2056">
        <v>0</v>
      </c>
      <c r="N2056">
        <v>0</v>
      </c>
      <c r="O2056">
        <v>0</v>
      </c>
    </row>
    <row r="2057" spans="1:15">
      <c r="A2057" t="s">
        <v>2373</v>
      </c>
      <c r="B2057" t="s">
        <v>2216</v>
      </c>
      <c r="C2057" t="s">
        <v>404</v>
      </c>
      <c r="D2057">
        <v>71</v>
      </c>
      <c r="E2057">
        <v>156</v>
      </c>
      <c r="F2057">
        <v>0</v>
      </c>
      <c r="G2057">
        <v>0</v>
      </c>
      <c r="H2057">
        <v>0</v>
      </c>
      <c r="I2057">
        <v>0</v>
      </c>
      <c r="J2057">
        <v>0</v>
      </c>
      <c r="K2057">
        <v>0</v>
      </c>
      <c r="L2057">
        <v>0</v>
      </c>
      <c r="M2057">
        <v>0</v>
      </c>
      <c r="N2057">
        <v>0</v>
      </c>
      <c r="O2057">
        <v>0</v>
      </c>
    </row>
    <row r="2058" spans="1:15">
      <c r="A2058" t="s">
        <v>2374</v>
      </c>
      <c r="B2058" t="s">
        <v>2216</v>
      </c>
      <c r="C2058" t="s">
        <v>404</v>
      </c>
      <c r="D2058">
        <v>72</v>
      </c>
      <c r="E2058">
        <v>156</v>
      </c>
      <c r="F2058">
        <v>0</v>
      </c>
      <c r="G2058">
        <v>0</v>
      </c>
      <c r="H2058">
        <v>0</v>
      </c>
      <c r="I2058">
        <v>0</v>
      </c>
      <c r="J2058">
        <v>0</v>
      </c>
      <c r="K2058">
        <v>0</v>
      </c>
      <c r="L2058">
        <v>0</v>
      </c>
      <c r="M2058">
        <v>0</v>
      </c>
      <c r="N2058">
        <v>0</v>
      </c>
      <c r="O2058">
        <v>0</v>
      </c>
    </row>
    <row r="2059" spans="1:15">
      <c r="A2059" t="s">
        <v>2375</v>
      </c>
      <c r="B2059" t="s">
        <v>2216</v>
      </c>
      <c r="C2059" t="s">
        <v>404</v>
      </c>
      <c r="D2059">
        <v>73</v>
      </c>
      <c r="E2059">
        <v>156</v>
      </c>
      <c r="F2059">
        <v>0</v>
      </c>
      <c r="G2059">
        <v>0</v>
      </c>
      <c r="H2059">
        <v>0</v>
      </c>
      <c r="I2059">
        <v>0</v>
      </c>
      <c r="J2059">
        <v>0</v>
      </c>
      <c r="K2059">
        <v>0</v>
      </c>
      <c r="L2059">
        <v>0</v>
      </c>
      <c r="M2059">
        <v>0</v>
      </c>
      <c r="N2059">
        <v>0</v>
      </c>
      <c r="O2059">
        <v>0</v>
      </c>
    </row>
    <row r="2060" spans="1:15">
      <c r="A2060" t="s">
        <v>2376</v>
      </c>
      <c r="B2060" t="s">
        <v>2216</v>
      </c>
      <c r="C2060" t="s">
        <v>404</v>
      </c>
      <c r="D2060">
        <v>74</v>
      </c>
      <c r="E2060">
        <v>156</v>
      </c>
      <c r="F2060">
        <v>0</v>
      </c>
      <c r="G2060">
        <v>0</v>
      </c>
      <c r="H2060">
        <v>0</v>
      </c>
      <c r="I2060">
        <v>0</v>
      </c>
      <c r="J2060">
        <v>0</v>
      </c>
      <c r="K2060">
        <v>0</v>
      </c>
      <c r="L2060">
        <v>0</v>
      </c>
      <c r="M2060">
        <v>0</v>
      </c>
      <c r="N2060">
        <v>0</v>
      </c>
      <c r="O2060">
        <v>0</v>
      </c>
    </row>
    <row r="2061" spans="1:15">
      <c r="A2061" t="s">
        <v>2377</v>
      </c>
      <c r="B2061" t="s">
        <v>2216</v>
      </c>
      <c r="C2061" t="s">
        <v>404</v>
      </c>
      <c r="D2061">
        <v>75</v>
      </c>
      <c r="E2061">
        <v>156</v>
      </c>
      <c r="F2061">
        <v>0</v>
      </c>
      <c r="G2061">
        <v>0</v>
      </c>
      <c r="H2061">
        <v>0</v>
      </c>
      <c r="I2061">
        <v>0</v>
      </c>
      <c r="J2061">
        <v>0</v>
      </c>
      <c r="K2061">
        <v>0</v>
      </c>
      <c r="L2061">
        <v>0</v>
      </c>
      <c r="M2061">
        <v>0</v>
      </c>
      <c r="N2061">
        <v>0</v>
      </c>
      <c r="O2061">
        <v>0</v>
      </c>
    </row>
    <row r="2062" spans="1:15">
      <c r="A2062" t="s">
        <v>2378</v>
      </c>
      <c r="B2062" t="s">
        <v>2216</v>
      </c>
      <c r="C2062" t="s">
        <v>404</v>
      </c>
      <c r="D2062">
        <v>76</v>
      </c>
      <c r="E2062">
        <v>156</v>
      </c>
      <c r="F2062">
        <v>0</v>
      </c>
      <c r="G2062">
        <v>0</v>
      </c>
      <c r="H2062">
        <v>0</v>
      </c>
      <c r="I2062">
        <v>0</v>
      </c>
      <c r="J2062">
        <v>0</v>
      </c>
      <c r="K2062">
        <v>0</v>
      </c>
      <c r="L2062">
        <v>0</v>
      </c>
      <c r="M2062">
        <v>0</v>
      </c>
      <c r="N2062">
        <v>0</v>
      </c>
      <c r="O2062">
        <v>0</v>
      </c>
    </row>
    <row r="2063" spans="1:15">
      <c r="A2063" t="s">
        <v>2379</v>
      </c>
      <c r="B2063" t="s">
        <v>2216</v>
      </c>
      <c r="C2063" t="s">
        <v>404</v>
      </c>
      <c r="D2063">
        <v>77</v>
      </c>
      <c r="E2063">
        <v>156</v>
      </c>
      <c r="F2063">
        <v>0</v>
      </c>
      <c r="G2063">
        <v>0</v>
      </c>
      <c r="H2063">
        <v>0</v>
      </c>
      <c r="I2063">
        <v>0</v>
      </c>
      <c r="J2063">
        <v>0</v>
      </c>
      <c r="K2063">
        <v>0</v>
      </c>
      <c r="L2063">
        <v>0</v>
      </c>
      <c r="M2063">
        <v>0</v>
      </c>
      <c r="N2063">
        <v>0</v>
      </c>
      <c r="O2063">
        <v>0</v>
      </c>
    </row>
    <row r="2064" spans="1:15">
      <c r="A2064" t="s">
        <v>2380</v>
      </c>
      <c r="B2064" t="s">
        <v>2216</v>
      </c>
      <c r="C2064" t="s">
        <v>404</v>
      </c>
      <c r="D2064">
        <v>78</v>
      </c>
      <c r="E2064">
        <v>156</v>
      </c>
      <c r="F2064">
        <v>0</v>
      </c>
      <c r="G2064">
        <v>0</v>
      </c>
      <c r="H2064">
        <v>0</v>
      </c>
      <c r="I2064">
        <v>0</v>
      </c>
      <c r="J2064">
        <v>0</v>
      </c>
      <c r="K2064">
        <v>0</v>
      </c>
      <c r="L2064">
        <v>0</v>
      </c>
      <c r="M2064">
        <v>0</v>
      </c>
      <c r="N2064">
        <v>0</v>
      </c>
      <c r="O2064">
        <v>0</v>
      </c>
    </row>
    <row r="2065" spans="1:15">
      <c r="A2065" t="s">
        <v>2381</v>
      </c>
      <c r="B2065" t="s">
        <v>2216</v>
      </c>
      <c r="C2065" t="s">
        <v>404</v>
      </c>
      <c r="D2065">
        <v>79</v>
      </c>
      <c r="E2065">
        <v>156</v>
      </c>
      <c r="F2065">
        <v>0</v>
      </c>
      <c r="G2065">
        <v>0</v>
      </c>
      <c r="H2065">
        <v>0</v>
      </c>
      <c r="I2065">
        <v>0</v>
      </c>
      <c r="J2065">
        <v>0</v>
      </c>
      <c r="K2065">
        <v>0</v>
      </c>
      <c r="L2065">
        <v>0</v>
      </c>
      <c r="M2065">
        <v>0</v>
      </c>
      <c r="N2065">
        <v>0</v>
      </c>
      <c r="O2065">
        <v>0</v>
      </c>
    </row>
    <row r="2066" spans="1:15">
      <c r="A2066" t="s">
        <v>2382</v>
      </c>
      <c r="B2066" t="s">
        <v>2216</v>
      </c>
      <c r="C2066" t="s">
        <v>404</v>
      </c>
      <c r="D2066">
        <v>80</v>
      </c>
      <c r="E2066">
        <v>156</v>
      </c>
      <c r="F2066">
        <v>0</v>
      </c>
      <c r="G2066">
        <v>0</v>
      </c>
      <c r="H2066">
        <v>0</v>
      </c>
      <c r="I2066">
        <v>0</v>
      </c>
      <c r="J2066">
        <v>0</v>
      </c>
      <c r="K2066">
        <v>0</v>
      </c>
      <c r="L2066">
        <v>0</v>
      </c>
      <c r="M2066">
        <v>0</v>
      </c>
      <c r="N2066">
        <v>0</v>
      </c>
      <c r="O2066">
        <v>0</v>
      </c>
    </row>
    <row r="2067" spans="1:15">
      <c r="A2067" t="s">
        <v>2383</v>
      </c>
      <c r="B2067" t="s">
        <v>2216</v>
      </c>
      <c r="C2067" t="s">
        <v>404</v>
      </c>
      <c r="D2067">
        <v>81</v>
      </c>
      <c r="E2067">
        <v>156</v>
      </c>
      <c r="F2067">
        <v>0</v>
      </c>
      <c r="G2067">
        <v>0</v>
      </c>
      <c r="H2067">
        <v>0</v>
      </c>
      <c r="I2067">
        <v>0</v>
      </c>
      <c r="J2067">
        <v>0</v>
      </c>
      <c r="K2067">
        <v>0</v>
      </c>
      <c r="L2067">
        <v>0</v>
      </c>
      <c r="M2067">
        <v>0</v>
      </c>
      <c r="N2067">
        <v>0</v>
      </c>
      <c r="O2067">
        <v>0</v>
      </c>
    </row>
    <row r="2068" spans="1:15">
      <c r="A2068" t="s">
        <v>2384</v>
      </c>
      <c r="B2068" t="s">
        <v>2216</v>
      </c>
      <c r="C2068" t="s">
        <v>404</v>
      </c>
      <c r="D2068">
        <v>82</v>
      </c>
      <c r="E2068">
        <v>156</v>
      </c>
      <c r="F2068">
        <v>0</v>
      </c>
      <c r="G2068">
        <v>0</v>
      </c>
      <c r="H2068">
        <v>0</v>
      </c>
      <c r="I2068">
        <v>0</v>
      </c>
      <c r="J2068">
        <v>0</v>
      </c>
      <c r="K2068">
        <v>0</v>
      </c>
      <c r="L2068">
        <v>0</v>
      </c>
      <c r="M2068">
        <v>0</v>
      </c>
      <c r="N2068">
        <v>0</v>
      </c>
      <c r="O2068">
        <v>0</v>
      </c>
    </row>
    <row r="2069" spans="1:15">
      <c r="A2069" t="s">
        <v>2385</v>
      </c>
      <c r="B2069" t="s">
        <v>2216</v>
      </c>
      <c r="C2069" t="s">
        <v>404</v>
      </c>
      <c r="D2069">
        <v>83</v>
      </c>
      <c r="E2069">
        <v>156</v>
      </c>
      <c r="F2069">
        <v>0</v>
      </c>
      <c r="G2069">
        <v>0</v>
      </c>
      <c r="H2069">
        <v>0</v>
      </c>
      <c r="I2069">
        <v>0</v>
      </c>
      <c r="J2069">
        <v>0</v>
      </c>
      <c r="K2069">
        <v>0</v>
      </c>
      <c r="L2069">
        <v>0</v>
      </c>
      <c r="M2069">
        <v>0</v>
      </c>
      <c r="N2069">
        <v>0</v>
      </c>
      <c r="O2069">
        <v>0</v>
      </c>
    </row>
    <row r="2070" spans="1:15">
      <c r="A2070" t="s">
        <v>2386</v>
      </c>
      <c r="B2070" t="s">
        <v>2216</v>
      </c>
      <c r="C2070" t="s">
        <v>404</v>
      </c>
      <c r="D2070">
        <v>84</v>
      </c>
      <c r="E2070">
        <v>156</v>
      </c>
      <c r="F2070">
        <v>0</v>
      </c>
      <c r="G2070">
        <v>0</v>
      </c>
      <c r="H2070">
        <v>0</v>
      </c>
      <c r="I2070">
        <v>0</v>
      </c>
      <c r="J2070">
        <v>0</v>
      </c>
      <c r="K2070">
        <v>0</v>
      </c>
      <c r="L2070">
        <v>0</v>
      </c>
      <c r="M2070">
        <v>0</v>
      </c>
      <c r="N2070">
        <v>0</v>
      </c>
      <c r="O2070">
        <v>0</v>
      </c>
    </row>
    <row r="2071" spans="1:15">
      <c r="A2071" t="s">
        <v>2387</v>
      </c>
      <c r="B2071" t="s">
        <v>2216</v>
      </c>
      <c r="C2071" t="s">
        <v>404</v>
      </c>
      <c r="D2071">
        <v>85</v>
      </c>
      <c r="E2071">
        <v>156</v>
      </c>
      <c r="F2071">
        <v>0</v>
      </c>
      <c r="G2071">
        <v>0</v>
      </c>
      <c r="H2071">
        <v>0</v>
      </c>
      <c r="I2071">
        <v>0</v>
      </c>
      <c r="J2071">
        <v>0</v>
      </c>
      <c r="K2071">
        <v>0</v>
      </c>
      <c r="L2071">
        <v>0</v>
      </c>
      <c r="M2071">
        <v>0</v>
      </c>
      <c r="N2071">
        <v>0</v>
      </c>
      <c r="O2071">
        <v>0</v>
      </c>
    </row>
    <row r="2073" spans="1:15">
      <c r="A2073" t="s">
        <v>2388</v>
      </c>
      <c r="B2073" t="s">
        <v>2389</v>
      </c>
      <c r="C2073" t="s">
        <v>317</v>
      </c>
      <c r="D2073">
        <v>0</v>
      </c>
      <c r="E2073">
        <v>100</v>
      </c>
      <c r="F2073">
        <v>0</v>
      </c>
      <c r="G2073">
        <v>0</v>
      </c>
      <c r="H2073">
        <v>0</v>
      </c>
      <c r="I2073">
        <v>0</v>
      </c>
      <c r="J2073">
        <v>0</v>
      </c>
      <c r="K2073">
        <v>0</v>
      </c>
      <c r="L2073">
        <v>0</v>
      </c>
      <c r="M2073">
        <v>0</v>
      </c>
      <c r="N2073">
        <v>0</v>
      </c>
      <c r="O2073">
        <v>0</v>
      </c>
    </row>
    <row r="2074" spans="1:15">
      <c r="A2074" t="s">
        <v>2390</v>
      </c>
      <c r="B2074" t="s">
        <v>2389</v>
      </c>
      <c r="C2074" t="s">
        <v>317</v>
      </c>
      <c r="D2074">
        <v>1</v>
      </c>
      <c r="E2074">
        <v>100</v>
      </c>
      <c r="F2074">
        <v>0</v>
      </c>
      <c r="G2074">
        <v>0</v>
      </c>
      <c r="H2074">
        <v>0</v>
      </c>
      <c r="I2074">
        <v>0</v>
      </c>
      <c r="J2074">
        <v>0</v>
      </c>
      <c r="K2074">
        <v>0</v>
      </c>
      <c r="L2074">
        <v>0</v>
      </c>
      <c r="M2074">
        <v>0</v>
      </c>
      <c r="N2074">
        <v>0</v>
      </c>
      <c r="O2074">
        <v>0</v>
      </c>
    </row>
    <row r="2075" spans="1:15">
      <c r="A2075" t="s">
        <v>2391</v>
      </c>
      <c r="B2075" t="s">
        <v>2389</v>
      </c>
      <c r="C2075" t="s">
        <v>317</v>
      </c>
      <c r="D2075">
        <v>2</v>
      </c>
      <c r="E2075">
        <v>100</v>
      </c>
      <c r="F2075">
        <v>0</v>
      </c>
      <c r="G2075">
        <v>0</v>
      </c>
      <c r="H2075">
        <v>0</v>
      </c>
      <c r="I2075">
        <v>0</v>
      </c>
      <c r="J2075">
        <v>0</v>
      </c>
      <c r="K2075">
        <v>0</v>
      </c>
      <c r="L2075">
        <v>0</v>
      </c>
      <c r="M2075">
        <v>0</v>
      </c>
      <c r="N2075">
        <v>0</v>
      </c>
      <c r="O2075">
        <v>0</v>
      </c>
    </row>
    <row r="2076" spans="1:15">
      <c r="A2076" t="s">
        <v>2392</v>
      </c>
      <c r="B2076" t="s">
        <v>2389</v>
      </c>
      <c r="C2076" t="s">
        <v>317</v>
      </c>
      <c r="D2076">
        <v>3</v>
      </c>
      <c r="E2076">
        <v>100</v>
      </c>
      <c r="F2076">
        <v>0</v>
      </c>
      <c r="G2076">
        <v>0</v>
      </c>
      <c r="H2076">
        <v>0</v>
      </c>
      <c r="I2076">
        <v>0</v>
      </c>
      <c r="J2076">
        <v>0</v>
      </c>
      <c r="K2076">
        <v>0</v>
      </c>
      <c r="L2076">
        <v>0</v>
      </c>
      <c r="M2076">
        <v>0</v>
      </c>
      <c r="N2076">
        <v>0</v>
      </c>
      <c r="O2076">
        <v>0</v>
      </c>
    </row>
    <row r="2077" spans="1:15">
      <c r="A2077" t="s">
        <v>2393</v>
      </c>
      <c r="B2077" t="s">
        <v>2389</v>
      </c>
      <c r="C2077" t="s">
        <v>317</v>
      </c>
      <c r="D2077">
        <v>4</v>
      </c>
      <c r="E2077">
        <v>100</v>
      </c>
      <c r="F2077">
        <v>0</v>
      </c>
      <c r="G2077">
        <v>0</v>
      </c>
      <c r="H2077">
        <v>0</v>
      </c>
      <c r="I2077">
        <v>0</v>
      </c>
      <c r="J2077">
        <v>0</v>
      </c>
      <c r="K2077">
        <v>0</v>
      </c>
      <c r="L2077">
        <v>0</v>
      </c>
      <c r="M2077">
        <v>0</v>
      </c>
      <c r="N2077">
        <v>0</v>
      </c>
      <c r="O2077">
        <v>0</v>
      </c>
    </row>
    <row r="2078" spans="1:15">
      <c r="A2078" t="s">
        <v>2394</v>
      </c>
      <c r="B2078" t="s">
        <v>2389</v>
      </c>
      <c r="C2078" t="s">
        <v>317</v>
      </c>
      <c r="D2078">
        <v>5</v>
      </c>
      <c r="E2078">
        <v>100</v>
      </c>
      <c r="F2078">
        <v>0</v>
      </c>
      <c r="G2078">
        <v>0</v>
      </c>
      <c r="H2078">
        <v>0</v>
      </c>
      <c r="I2078">
        <v>0</v>
      </c>
      <c r="J2078">
        <v>0</v>
      </c>
      <c r="K2078">
        <v>0</v>
      </c>
      <c r="L2078">
        <v>0</v>
      </c>
      <c r="M2078">
        <v>0</v>
      </c>
      <c r="N2078">
        <v>0</v>
      </c>
      <c r="O2078">
        <v>0</v>
      </c>
    </row>
    <row r="2079" spans="1:15">
      <c r="A2079" t="s">
        <v>2395</v>
      </c>
      <c r="B2079" t="s">
        <v>2389</v>
      </c>
      <c r="C2079" t="s">
        <v>317</v>
      </c>
      <c r="D2079">
        <v>6</v>
      </c>
      <c r="E2079">
        <v>100</v>
      </c>
      <c r="F2079">
        <v>0</v>
      </c>
      <c r="G2079">
        <v>0</v>
      </c>
      <c r="H2079">
        <v>0</v>
      </c>
      <c r="I2079">
        <v>0</v>
      </c>
      <c r="J2079">
        <v>0</v>
      </c>
      <c r="K2079">
        <v>0</v>
      </c>
      <c r="L2079">
        <v>0</v>
      </c>
      <c r="M2079">
        <v>0</v>
      </c>
      <c r="N2079">
        <v>0</v>
      </c>
      <c r="O2079">
        <v>0</v>
      </c>
    </row>
    <row r="2080" spans="1:15">
      <c r="A2080" t="s">
        <v>2396</v>
      </c>
      <c r="B2080" t="s">
        <v>2389</v>
      </c>
      <c r="C2080" t="s">
        <v>317</v>
      </c>
      <c r="D2080">
        <v>7</v>
      </c>
      <c r="E2080">
        <v>100</v>
      </c>
      <c r="F2080">
        <v>0</v>
      </c>
      <c r="G2080">
        <v>0</v>
      </c>
      <c r="H2080">
        <v>0</v>
      </c>
      <c r="I2080">
        <v>0</v>
      </c>
      <c r="J2080">
        <v>0</v>
      </c>
      <c r="K2080">
        <v>0</v>
      </c>
      <c r="L2080">
        <v>0</v>
      </c>
      <c r="M2080">
        <v>0</v>
      </c>
      <c r="N2080">
        <v>0</v>
      </c>
      <c r="O2080">
        <v>0</v>
      </c>
    </row>
    <row r="2081" spans="1:15">
      <c r="A2081" t="s">
        <v>2397</v>
      </c>
      <c r="B2081" t="s">
        <v>2389</v>
      </c>
      <c r="C2081" t="s">
        <v>317</v>
      </c>
      <c r="D2081">
        <v>8</v>
      </c>
      <c r="E2081">
        <v>100</v>
      </c>
      <c r="F2081">
        <v>0</v>
      </c>
      <c r="G2081">
        <v>0</v>
      </c>
      <c r="H2081">
        <v>0</v>
      </c>
      <c r="I2081">
        <v>0</v>
      </c>
      <c r="J2081">
        <v>0</v>
      </c>
      <c r="K2081">
        <v>0</v>
      </c>
      <c r="L2081">
        <v>0</v>
      </c>
      <c r="M2081">
        <v>0</v>
      </c>
      <c r="N2081">
        <v>0</v>
      </c>
      <c r="O2081">
        <v>0</v>
      </c>
    </row>
    <row r="2082" spans="1:15">
      <c r="A2082" t="s">
        <v>2398</v>
      </c>
      <c r="B2082" t="s">
        <v>2389</v>
      </c>
      <c r="C2082" t="s">
        <v>317</v>
      </c>
      <c r="D2082">
        <v>9</v>
      </c>
      <c r="E2082">
        <v>100</v>
      </c>
      <c r="F2082">
        <v>0</v>
      </c>
      <c r="G2082">
        <v>0</v>
      </c>
      <c r="H2082">
        <v>0</v>
      </c>
      <c r="I2082">
        <v>0</v>
      </c>
      <c r="J2082">
        <v>0</v>
      </c>
      <c r="K2082">
        <v>0</v>
      </c>
      <c r="L2082">
        <v>0</v>
      </c>
      <c r="M2082">
        <v>0</v>
      </c>
      <c r="N2082">
        <v>0</v>
      </c>
      <c r="O2082">
        <v>0</v>
      </c>
    </row>
    <row r="2083" spans="1:15">
      <c r="A2083" t="s">
        <v>2399</v>
      </c>
      <c r="B2083" t="s">
        <v>2389</v>
      </c>
      <c r="C2083" t="s">
        <v>317</v>
      </c>
      <c r="D2083">
        <v>10</v>
      </c>
      <c r="E2083">
        <v>100</v>
      </c>
      <c r="F2083">
        <v>0</v>
      </c>
      <c r="G2083">
        <v>0</v>
      </c>
      <c r="H2083">
        <v>0</v>
      </c>
      <c r="I2083">
        <v>0</v>
      </c>
      <c r="J2083">
        <v>0</v>
      </c>
      <c r="K2083">
        <v>0</v>
      </c>
      <c r="L2083">
        <v>0</v>
      </c>
      <c r="M2083">
        <v>0</v>
      </c>
      <c r="N2083">
        <v>0</v>
      </c>
      <c r="O2083">
        <v>0</v>
      </c>
    </row>
    <row r="2084" spans="1:15">
      <c r="A2084" t="s">
        <v>2400</v>
      </c>
      <c r="B2084" t="s">
        <v>2389</v>
      </c>
      <c r="C2084" t="s">
        <v>317</v>
      </c>
      <c r="D2084">
        <v>11</v>
      </c>
      <c r="E2084">
        <v>100</v>
      </c>
      <c r="F2084">
        <v>0</v>
      </c>
      <c r="G2084">
        <v>0</v>
      </c>
      <c r="H2084">
        <v>0</v>
      </c>
      <c r="I2084">
        <v>0</v>
      </c>
      <c r="J2084">
        <v>0</v>
      </c>
      <c r="K2084">
        <v>0</v>
      </c>
      <c r="L2084">
        <v>0</v>
      </c>
      <c r="M2084">
        <v>0</v>
      </c>
      <c r="N2084">
        <v>0</v>
      </c>
      <c r="O2084">
        <v>0</v>
      </c>
    </row>
    <row r="2085" spans="1:15">
      <c r="A2085" t="s">
        <v>2401</v>
      </c>
      <c r="B2085" t="s">
        <v>2389</v>
      </c>
      <c r="C2085" t="s">
        <v>317</v>
      </c>
      <c r="D2085">
        <v>12</v>
      </c>
      <c r="E2085">
        <v>100</v>
      </c>
      <c r="F2085">
        <v>0</v>
      </c>
      <c r="G2085">
        <v>0</v>
      </c>
      <c r="H2085">
        <v>0</v>
      </c>
      <c r="I2085">
        <v>0</v>
      </c>
      <c r="J2085">
        <v>0</v>
      </c>
      <c r="K2085">
        <v>0</v>
      </c>
      <c r="L2085">
        <v>0</v>
      </c>
      <c r="M2085">
        <v>0</v>
      </c>
      <c r="N2085">
        <v>0</v>
      </c>
      <c r="O2085">
        <v>0</v>
      </c>
    </row>
    <row r="2086" spans="1:15">
      <c r="A2086" t="s">
        <v>2402</v>
      </c>
      <c r="B2086" t="s">
        <v>2389</v>
      </c>
      <c r="C2086" t="s">
        <v>317</v>
      </c>
      <c r="D2086">
        <v>13</v>
      </c>
      <c r="E2086">
        <v>100</v>
      </c>
      <c r="F2086">
        <v>0</v>
      </c>
      <c r="G2086">
        <v>0</v>
      </c>
      <c r="H2086">
        <v>0</v>
      </c>
      <c r="I2086">
        <v>0</v>
      </c>
      <c r="J2086">
        <v>0</v>
      </c>
      <c r="K2086">
        <v>0</v>
      </c>
      <c r="L2086">
        <v>0</v>
      </c>
      <c r="M2086">
        <v>0</v>
      </c>
      <c r="N2086">
        <v>0</v>
      </c>
      <c r="O2086">
        <v>0</v>
      </c>
    </row>
    <row r="2087" spans="1:15">
      <c r="A2087" t="s">
        <v>2403</v>
      </c>
      <c r="B2087" t="s">
        <v>2389</v>
      </c>
      <c r="C2087" t="s">
        <v>317</v>
      </c>
      <c r="D2087">
        <v>14</v>
      </c>
      <c r="E2087">
        <v>100</v>
      </c>
      <c r="F2087">
        <v>0</v>
      </c>
      <c r="G2087">
        <v>0</v>
      </c>
      <c r="H2087">
        <v>0</v>
      </c>
      <c r="I2087">
        <v>0</v>
      </c>
      <c r="J2087">
        <v>0</v>
      </c>
      <c r="K2087">
        <v>0</v>
      </c>
      <c r="L2087">
        <v>0</v>
      </c>
      <c r="M2087">
        <v>0</v>
      </c>
      <c r="N2087">
        <v>0</v>
      </c>
      <c r="O2087">
        <v>0</v>
      </c>
    </row>
    <row r="2088" spans="1:15">
      <c r="A2088" t="s">
        <v>2404</v>
      </c>
      <c r="B2088" t="s">
        <v>2389</v>
      </c>
      <c r="C2088" t="s">
        <v>317</v>
      </c>
      <c r="D2088">
        <v>15</v>
      </c>
      <c r="E2088">
        <v>100</v>
      </c>
      <c r="F2088">
        <v>0</v>
      </c>
      <c r="G2088">
        <v>0</v>
      </c>
      <c r="H2088">
        <v>0</v>
      </c>
      <c r="I2088">
        <v>0</v>
      </c>
      <c r="J2088">
        <v>0</v>
      </c>
      <c r="K2088">
        <v>0</v>
      </c>
      <c r="L2088">
        <v>0</v>
      </c>
      <c r="M2088">
        <v>0</v>
      </c>
      <c r="N2088">
        <v>0</v>
      </c>
      <c r="O2088">
        <v>0</v>
      </c>
    </row>
    <row r="2089" spans="1:15">
      <c r="A2089" t="s">
        <v>2405</v>
      </c>
      <c r="B2089" t="s">
        <v>2389</v>
      </c>
      <c r="C2089" t="s">
        <v>317</v>
      </c>
      <c r="D2089">
        <v>16</v>
      </c>
      <c r="E2089">
        <v>100</v>
      </c>
      <c r="F2089">
        <v>0</v>
      </c>
      <c r="G2089">
        <v>0</v>
      </c>
      <c r="H2089">
        <v>0</v>
      </c>
      <c r="I2089">
        <v>0</v>
      </c>
      <c r="J2089">
        <v>0</v>
      </c>
      <c r="K2089">
        <v>0</v>
      </c>
      <c r="L2089">
        <v>0</v>
      </c>
      <c r="M2089">
        <v>0</v>
      </c>
      <c r="N2089">
        <v>0</v>
      </c>
      <c r="O2089">
        <v>0</v>
      </c>
    </row>
    <row r="2090" spans="1:15">
      <c r="A2090" t="s">
        <v>2406</v>
      </c>
      <c r="B2090" t="s">
        <v>2389</v>
      </c>
      <c r="C2090" t="s">
        <v>317</v>
      </c>
      <c r="D2090">
        <v>17</v>
      </c>
      <c r="E2090">
        <v>100</v>
      </c>
      <c r="F2090">
        <v>0</v>
      </c>
      <c r="G2090">
        <v>0</v>
      </c>
      <c r="H2090">
        <v>0</v>
      </c>
      <c r="I2090">
        <v>0</v>
      </c>
      <c r="J2090">
        <v>0</v>
      </c>
      <c r="K2090">
        <v>0</v>
      </c>
      <c r="L2090">
        <v>0</v>
      </c>
      <c r="M2090">
        <v>0</v>
      </c>
      <c r="N2090">
        <v>0</v>
      </c>
      <c r="O2090">
        <v>0</v>
      </c>
    </row>
    <row r="2091" spans="1:15">
      <c r="A2091" t="s">
        <v>2407</v>
      </c>
      <c r="B2091" t="s">
        <v>2389</v>
      </c>
      <c r="C2091" t="s">
        <v>317</v>
      </c>
      <c r="D2091">
        <v>18</v>
      </c>
      <c r="E2091">
        <v>100</v>
      </c>
      <c r="F2091">
        <v>0</v>
      </c>
      <c r="G2091">
        <v>0</v>
      </c>
      <c r="H2091">
        <v>0</v>
      </c>
      <c r="I2091">
        <v>0</v>
      </c>
      <c r="J2091">
        <v>0</v>
      </c>
      <c r="K2091">
        <v>0</v>
      </c>
      <c r="L2091">
        <v>0</v>
      </c>
      <c r="M2091">
        <v>0</v>
      </c>
      <c r="N2091">
        <v>0</v>
      </c>
      <c r="O2091">
        <v>0</v>
      </c>
    </row>
    <row r="2092" spans="1:15">
      <c r="A2092" t="s">
        <v>2408</v>
      </c>
      <c r="B2092" t="s">
        <v>2389</v>
      </c>
      <c r="C2092" t="s">
        <v>317</v>
      </c>
      <c r="D2092">
        <v>19</v>
      </c>
      <c r="E2092">
        <v>100</v>
      </c>
      <c r="F2092">
        <v>0</v>
      </c>
      <c r="G2092">
        <v>0</v>
      </c>
      <c r="H2092">
        <v>0</v>
      </c>
      <c r="I2092">
        <v>0</v>
      </c>
      <c r="J2092">
        <v>0</v>
      </c>
      <c r="K2092">
        <v>0</v>
      </c>
      <c r="L2092">
        <v>0</v>
      </c>
      <c r="M2092">
        <v>0</v>
      </c>
      <c r="N2092">
        <v>0</v>
      </c>
      <c r="O2092">
        <v>0</v>
      </c>
    </row>
    <row r="2093" spans="1:15">
      <c r="A2093" t="s">
        <v>2409</v>
      </c>
      <c r="B2093" t="s">
        <v>2389</v>
      </c>
      <c r="C2093" t="s">
        <v>317</v>
      </c>
      <c r="D2093">
        <v>20</v>
      </c>
      <c r="E2093">
        <v>100</v>
      </c>
      <c r="F2093">
        <v>0</v>
      </c>
      <c r="G2093">
        <v>0</v>
      </c>
      <c r="H2093">
        <v>0</v>
      </c>
      <c r="I2093">
        <v>0</v>
      </c>
      <c r="J2093">
        <v>0</v>
      </c>
      <c r="K2093">
        <v>0</v>
      </c>
      <c r="L2093">
        <v>0</v>
      </c>
      <c r="M2093">
        <v>0</v>
      </c>
      <c r="N2093">
        <v>0</v>
      </c>
      <c r="O2093">
        <v>0</v>
      </c>
    </row>
    <row r="2094" spans="1:15">
      <c r="A2094" t="s">
        <v>2410</v>
      </c>
      <c r="B2094" t="s">
        <v>2389</v>
      </c>
      <c r="C2094" t="s">
        <v>317</v>
      </c>
      <c r="D2094">
        <v>21</v>
      </c>
      <c r="E2094">
        <v>100</v>
      </c>
      <c r="F2094">
        <v>0</v>
      </c>
      <c r="G2094">
        <v>0</v>
      </c>
      <c r="H2094">
        <v>0</v>
      </c>
      <c r="I2094">
        <v>0</v>
      </c>
      <c r="J2094">
        <v>0</v>
      </c>
      <c r="K2094">
        <v>0</v>
      </c>
      <c r="L2094">
        <v>0</v>
      </c>
      <c r="M2094">
        <v>0</v>
      </c>
      <c r="N2094">
        <v>0</v>
      </c>
      <c r="O2094">
        <v>0</v>
      </c>
    </row>
    <row r="2095" spans="1:15">
      <c r="A2095" t="s">
        <v>2411</v>
      </c>
      <c r="B2095" t="s">
        <v>2389</v>
      </c>
      <c r="C2095" t="s">
        <v>317</v>
      </c>
      <c r="D2095">
        <v>22</v>
      </c>
      <c r="E2095">
        <v>100</v>
      </c>
      <c r="F2095">
        <v>0</v>
      </c>
      <c r="G2095">
        <v>0</v>
      </c>
      <c r="H2095">
        <v>0</v>
      </c>
      <c r="I2095">
        <v>0</v>
      </c>
      <c r="J2095">
        <v>0</v>
      </c>
      <c r="K2095">
        <v>0</v>
      </c>
      <c r="L2095">
        <v>0</v>
      </c>
      <c r="M2095">
        <v>0</v>
      </c>
      <c r="N2095">
        <v>0</v>
      </c>
      <c r="O2095">
        <v>0</v>
      </c>
    </row>
    <row r="2096" spans="1:15">
      <c r="A2096" t="s">
        <v>2412</v>
      </c>
      <c r="B2096" t="s">
        <v>2389</v>
      </c>
      <c r="C2096" t="s">
        <v>317</v>
      </c>
      <c r="D2096">
        <v>23</v>
      </c>
      <c r="E2096">
        <v>100</v>
      </c>
      <c r="F2096">
        <v>0</v>
      </c>
      <c r="G2096">
        <v>0</v>
      </c>
      <c r="H2096">
        <v>0</v>
      </c>
      <c r="I2096">
        <v>0</v>
      </c>
      <c r="J2096">
        <v>0</v>
      </c>
      <c r="K2096">
        <v>0</v>
      </c>
      <c r="L2096">
        <v>0</v>
      </c>
      <c r="M2096">
        <v>0</v>
      </c>
      <c r="N2096">
        <v>0</v>
      </c>
      <c r="O2096">
        <v>0</v>
      </c>
    </row>
    <row r="2097" spans="1:15">
      <c r="A2097" t="s">
        <v>2413</v>
      </c>
      <c r="B2097" t="s">
        <v>2389</v>
      </c>
      <c r="C2097" t="s">
        <v>317</v>
      </c>
      <c r="D2097">
        <v>24</v>
      </c>
      <c r="E2097">
        <v>100</v>
      </c>
      <c r="F2097">
        <v>0</v>
      </c>
      <c r="G2097">
        <v>0</v>
      </c>
      <c r="H2097">
        <v>0</v>
      </c>
      <c r="I2097">
        <v>0</v>
      </c>
      <c r="J2097">
        <v>0</v>
      </c>
      <c r="K2097">
        <v>0</v>
      </c>
      <c r="L2097">
        <v>0</v>
      </c>
      <c r="M2097">
        <v>0</v>
      </c>
      <c r="N2097">
        <v>0</v>
      </c>
      <c r="O2097">
        <v>0</v>
      </c>
    </row>
    <row r="2098" spans="1:15">
      <c r="A2098" t="s">
        <v>2414</v>
      </c>
      <c r="B2098" t="s">
        <v>2389</v>
      </c>
      <c r="C2098" t="s">
        <v>317</v>
      </c>
      <c r="D2098">
        <v>25</v>
      </c>
      <c r="E2098">
        <v>100</v>
      </c>
      <c r="F2098">
        <v>0</v>
      </c>
      <c r="G2098">
        <v>0</v>
      </c>
      <c r="H2098">
        <v>0</v>
      </c>
      <c r="I2098">
        <v>0</v>
      </c>
      <c r="J2098">
        <v>0</v>
      </c>
      <c r="K2098">
        <v>0</v>
      </c>
      <c r="L2098">
        <v>0</v>
      </c>
      <c r="M2098">
        <v>0</v>
      </c>
      <c r="N2098">
        <v>0</v>
      </c>
      <c r="O2098">
        <v>0</v>
      </c>
    </row>
    <row r="2099" spans="1:15">
      <c r="A2099" t="s">
        <v>2415</v>
      </c>
      <c r="B2099" t="s">
        <v>2389</v>
      </c>
      <c r="C2099" t="s">
        <v>317</v>
      </c>
      <c r="D2099">
        <v>26</v>
      </c>
      <c r="E2099">
        <v>100</v>
      </c>
      <c r="F2099">
        <v>0</v>
      </c>
      <c r="G2099">
        <v>0</v>
      </c>
      <c r="H2099">
        <v>0</v>
      </c>
      <c r="I2099">
        <v>0</v>
      </c>
      <c r="J2099">
        <v>0</v>
      </c>
      <c r="K2099">
        <v>0</v>
      </c>
      <c r="L2099">
        <v>0</v>
      </c>
      <c r="M2099">
        <v>0</v>
      </c>
      <c r="N2099">
        <v>0</v>
      </c>
      <c r="O2099">
        <v>0</v>
      </c>
    </row>
    <row r="2100" spans="1:15">
      <c r="A2100" t="s">
        <v>2416</v>
      </c>
      <c r="B2100" t="s">
        <v>2389</v>
      </c>
      <c r="C2100" t="s">
        <v>317</v>
      </c>
      <c r="D2100">
        <v>27</v>
      </c>
      <c r="E2100">
        <v>100</v>
      </c>
      <c r="F2100">
        <v>0</v>
      </c>
      <c r="G2100">
        <v>0</v>
      </c>
      <c r="H2100">
        <v>0</v>
      </c>
      <c r="I2100">
        <v>0</v>
      </c>
      <c r="J2100">
        <v>0</v>
      </c>
      <c r="K2100">
        <v>0</v>
      </c>
      <c r="L2100">
        <v>0</v>
      </c>
      <c r="M2100">
        <v>0</v>
      </c>
      <c r="N2100">
        <v>0</v>
      </c>
      <c r="O2100">
        <v>0</v>
      </c>
    </row>
    <row r="2101" spans="1:15">
      <c r="A2101" t="s">
        <v>2417</v>
      </c>
      <c r="B2101" t="s">
        <v>2389</v>
      </c>
      <c r="C2101" t="s">
        <v>317</v>
      </c>
      <c r="D2101">
        <v>28</v>
      </c>
      <c r="E2101">
        <v>100</v>
      </c>
      <c r="F2101">
        <v>0</v>
      </c>
      <c r="G2101">
        <v>0</v>
      </c>
      <c r="H2101">
        <v>0</v>
      </c>
      <c r="I2101">
        <v>0</v>
      </c>
      <c r="J2101">
        <v>0</v>
      </c>
      <c r="K2101">
        <v>0</v>
      </c>
      <c r="L2101">
        <v>0</v>
      </c>
      <c r="M2101">
        <v>0</v>
      </c>
      <c r="N2101">
        <v>0</v>
      </c>
      <c r="O2101">
        <v>0</v>
      </c>
    </row>
    <row r="2102" spans="1:15">
      <c r="A2102" t="s">
        <v>2418</v>
      </c>
      <c r="B2102" t="s">
        <v>2389</v>
      </c>
      <c r="C2102" t="s">
        <v>317</v>
      </c>
      <c r="D2102">
        <v>29</v>
      </c>
      <c r="E2102">
        <v>100</v>
      </c>
      <c r="F2102">
        <v>0</v>
      </c>
      <c r="G2102">
        <v>0</v>
      </c>
      <c r="H2102">
        <v>0</v>
      </c>
      <c r="I2102">
        <v>0</v>
      </c>
      <c r="J2102">
        <v>0</v>
      </c>
      <c r="K2102">
        <v>0</v>
      </c>
      <c r="L2102">
        <v>0</v>
      </c>
      <c r="M2102">
        <v>0</v>
      </c>
      <c r="N2102">
        <v>0</v>
      </c>
      <c r="O2102">
        <v>0</v>
      </c>
    </row>
    <row r="2103" spans="1:15">
      <c r="A2103" t="s">
        <v>2419</v>
      </c>
      <c r="B2103" t="s">
        <v>2389</v>
      </c>
      <c r="C2103" t="s">
        <v>317</v>
      </c>
      <c r="D2103">
        <v>30</v>
      </c>
      <c r="E2103">
        <v>100</v>
      </c>
      <c r="F2103">
        <v>0</v>
      </c>
      <c r="G2103">
        <v>0</v>
      </c>
      <c r="H2103">
        <v>0</v>
      </c>
      <c r="I2103">
        <v>0</v>
      </c>
      <c r="J2103">
        <v>0</v>
      </c>
      <c r="K2103">
        <v>0</v>
      </c>
      <c r="L2103">
        <v>0</v>
      </c>
      <c r="M2103">
        <v>0</v>
      </c>
      <c r="N2103">
        <v>0</v>
      </c>
      <c r="O2103">
        <v>0</v>
      </c>
    </row>
    <row r="2104" spans="1:15">
      <c r="A2104" t="s">
        <v>2420</v>
      </c>
      <c r="B2104" t="s">
        <v>2389</v>
      </c>
      <c r="C2104" t="s">
        <v>317</v>
      </c>
      <c r="D2104">
        <v>31</v>
      </c>
      <c r="E2104">
        <v>100</v>
      </c>
      <c r="F2104">
        <v>0</v>
      </c>
      <c r="G2104">
        <v>0</v>
      </c>
      <c r="H2104">
        <v>0</v>
      </c>
      <c r="I2104">
        <v>0</v>
      </c>
      <c r="J2104">
        <v>0</v>
      </c>
      <c r="K2104">
        <v>0</v>
      </c>
      <c r="L2104">
        <v>0</v>
      </c>
      <c r="M2104">
        <v>0</v>
      </c>
      <c r="N2104">
        <v>0</v>
      </c>
      <c r="O2104">
        <v>0</v>
      </c>
    </row>
    <row r="2105" spans="1:15">
      <c r="A2105" t="s">
        <v>2421</v>
      </c>
      <c r="B2105" t="s">
        <v>2389</v>
      </c>
      <c r="C2105" t="s">
        <v>317</v>
      </c>
      <c r="D2105">
        <v>32</v>
      </c>
      <c r="E2105">
        <v>100</v>
      </c>
      <c r="F2105">
        <v>0</v>
      </c>
      <c r="G2105">
        <v>0</v>
      </c>
      <c r="H2105">
        <v>0</v>
      </c>
      <c r="I2105">
        <v>0</v>
      </c>
      <c r="J2105">
        <v>0</v>
      </c>
      <c r="K2105">
        <v>0</v>
      </c>
      <c r="L2105">
        <v>0</v>
      </c>
      <c r="M2105">
        <v>0</v>
      </c>
      <c r="N2105">
        <v>0</v>
      </c>
      <c r="O2105">
        <v>0</v>
      </c>
    </row>
    <row r="2106" spans="1:15">
      <c r="A2106" t="s">
        <v>2422</v>
      </c>
      <c r="B2106" t="s">
        <v>2389</v>
      </c>
      <c r="C2106" t="s">
        <v>317</v>
      </c>
      <c r="D2106">
        <v>33</v>
      </c>
      <c r="E2106">
        <v>100</v>
      </c>
      <c r="F2106">
        <v>0</v>
      </c>
      <c r="G2106">
        <v>0</v>
      </c>
      <c r="H2106">
        <v>0</v>
      </c>
      <c r="I2106">
        <v>0</v>
      </c>
      <c r="J2106">
        <v>0</v>
      </c>
      <c r="K2106">
        <v>0</v>
      </c>
      <c r="L2106">
        <v>0</v>
      </c>
      <c r="M2106">
        <v>0</v>
      </c>
      <c r="N2106">
        <v>0</v>
      </c>
      <c r="O2106">
        <v>0</v>
      </c>
    </row>
    <row r="2107" spans="1:15">
      <c r="A2107" t="s">
        <v>2423</v>
      </c>
      <c r="B2107" t="s">
        <v>2389</v>
      </c>
      <c r="C2107" t="s">
        <v>317</v>
      </c>
      <c r="D2107">
        <v>34</v>
      </c>
      <c r="E2107">
        <v>100</v>
      </c>
      <c r="F2107">
        <v>0</v>
      </c>
      <c r="G2107">
        <v>0</v>
      </c>
      <c r="H2107">
        <v>0</v>
      </c>
      <c r="I2107">
        <v>0</v>
      </c>
      <c r="J2107">
        <v>0</v>
      </c>
      <c r="K2107">
        <v>0</v>
      </c>
      <c r="L2107">
        <v>0</v>
      </c>
      <c r="M2107">
        <v>0</v>
      </c>
      <c r="N2107">
        <v>0</v>
      </c>
      <c r="O2107">
        <v>0</v>
      </c>
    </row>
    <row r="2108" spans="1:15">
      <c r="A2108" t="s">
        <v>2424</v>
      </c>
      <c r="B2108" t="s">
        <v>2389</v>
      </c>
      <c r="C2108" t="s">
        <v>317</v>
      </c>
      <c r="D2108">
        <v>35</v>
      </c>
      <c r="E2108">
        <v>100</v>
      </c>
      <c r="F2108">
        <v>0</v>
      </c>
      <c r="G2108">
        <v>0</v>
      </c>
      <c r="H2108">
        <v>0</v>
      </c>
      <c r="I2108">
        <v>0</v>
      </c>
      <c r="J2108">
        <v>0</v>
      </c>
      <c r="K2108">
        <v>0</v>
      </c>
      <c r="L2108">
        <v>0</v>
      </c>
      <c r="M2108">
        <v>0</v>
      </c>
      <c r="N2108">
        <v>0</v>
      </c>
      <c r="O2108">
        <v>0</v>
      </c>
    </row>
    <row r="2109" spans="1:15">
      <c r="A2109" t="s">
        <v>2425</v>
      </c>
      <c r="B2109" t="s">
        <v>2389</v>
      </c>
      <c r="C2109" t="s">
        <v>317</v>
      </c>
      <c r="D2109">
        <v>36</v>
      </c>
      <c r="E2109">
        <v>100</v>
      </c>
      <c r="F2109">
        <v>0</v>
      </c>
      <c r="G2109">
        <v>0</v>
      </c>
      <c r="H2109">
        <v>0</v>
      </c>
      <c r="I2109">
        <v>0</v>
      </c>
      <c r="J2109">
        <v>0</v>
      </c>
      <c r="K2109">
        <v>0</v>
      </c>
      <c r="L2109">
        <v>0</v>
      </c>
      <c r="M2109">
        <v>0</v>
      </c>
      <c r="N2109">
        <v>0</v>
      </c>
      <c r="O2109">
        <v>0</v>
      </c>
    </row>
    <row r="2110" spans="1:15">
      <c r="A2110" t="s">
        <v>2426</v>
      </c>
      <c r="B2110" t="s">
        <v>2389</v>
      </c>
      <c r="C2110" t="s">
        <v>317</v>
      </c>
      <c r="D2110">
        <v>37</v>
      </c>
      <c r="E2110">
        <v>100</v>
      </c>
      <c r="F2110">
        <v>0</v>
      </c>
      <c r="G2110">
        <v>0</v>
      </c>
      <c r="H2110">
        <v>0</v>
      </c>
      <c r="I2110">
        <v>0</v>
      </c>
      <c r="J2110">
        <v>0</v>
      </c>
      <c r="K2110">
        <v>0</v>
      </c>
      <c r="L2110">
        <v>0</v>
      </c>
      <c r="M2110">
        <v>0</v>
      </c>
      <c r="N2110">
        <v>0</v>
      </c>
      <c r="O2110">
        <v>0</v>
      </c>
    </row>
    <row r="2111" spans="1:15">
      <c r="A2111" t="s">
        <v>2427</v>
      </c>
      <c r="B2111" t="s">
        <v>2389</v>
      </c>
      <c r="C2111" t="s">
        <v>317</v>
      </c>
      <c r="D2111">
        <v>38</v>
      </c>
      <c r="E2111">
        <v>100</v>
      </c>
      <c r="F2111">
        <v>0</v>
      </c>
      <c r="G2111">
        <v>0</v>
      </c>
      <c r="H2111">
        <v>0</v>
      </c>
      <c r="I2111">
        <v>0</v>
      </c>
      <c r="J2111">
        <v>0</v>
      </c>
      <c r="K2111">
        <v>0</v>
      </c>
      <c r="L2111">
        <v>0</v>
      </c>
      <c r="M2111">
        <v>0</v>
      </c>
      <c r="N2111">
        <v>0</v>
      </c>
      <c r="O2111">
        <v>0</v>
      </c>
    </row>
    <row r="2112" spans="1:15">
      <c r="A2112" t="s">
        <v>2428</v>
      </c>
      <c r="B2112" t="s">
        <v>2389</v>
      </c>
      <c r="C2112" t="s">
        <v>317</v>
      </c>
      <c r="D2112">
        <v>39</v>
      </c>
      <c r="E2112">
        <v>100</v>
      </c>
      <c r="F2112">
        <v>0</v>
      </c>
      <c r="G2112">
        <v>0</v>
      </c>
      <c r="H2112">
        <v>0</v>
      </c>
      <c r="I2112">
        <v>0</v>
      </c>
      <c r="J2112">
        <v>0</v>
      </c>
      <c r="K2112">
        <v>0</v>
      </c>
      <c r="L2112">
        <v>0</v>
      </c>
      <c r="M2112">
        <v>0</v>
      </c>
      <c r="N2112">
        <v>0</v>
      </c>
      <c r="O2112">
        <v>0</v>
      </c>
    </row>
    <row r="2113" spans="1:15">
      <c r="A2113" t="s">
        <v>2429</v>
      </c>
      <c r="B2113" t="s">
        <v>2389</v>
      </c>
      <c r="C2113" t="s">
        <v>317</v>
      </c>
      <c r="D2113">
        <v>40</v>
      </c>
      <c r="E2113">
        <v>100</v>
      </c>
      <c r="F2113">
        <v>0</v>
      </c>
      <c r="G2113">
        <v>0</v>
      </c>
      <c r="H2113">
        <v>0</v>
      </c>
      <c r="I2113">
        <v>0</v>
      </c>
      <c r="J2113">
        <v>0</v>
      </c>
      <c r="K2113">
        <v>0</v>
      </c>
      <c r="L2113">
        <v>0</v>
      </c>
      <c r="M2113">
        <v>0</v>
      </c>
      <c r="N2113">
        <v>0</v>
      </c>
      <c r="O2113">
        <v>0</v>
      </c>
    </row>
    <row r="2114" spans="1:15">
      <c r="A2114" t="s">
        <v>2430</v>
      </c>
      <c r="B2114" t="s">
        <v>2389</v>
      </c>
      <c r="C2114" t="s">
        <v>317</v>
      </c>
      <c r="D2114">
        <v>41</v>
      </c>
      <c r="E2114">
        <v>100</v>
      </c>
      <c r="F2114">
        <v>0</v>
      </c>
      <c r="G2114">
        <v>0</v>
      </c>
      <c r="H2114">
        <v>0</v>
      </c>
      <c r="I2114">
        <v>0</v>
      </c>
      <c r="J2114">
        <v>0</v>
      </c>
      <c r="K2114">
        <v>0</v>
      </c>
      <c r="L2114">
        <v>0</v>
      </c>
      <c r="M2114">
        <v>0</v>
      </c>
      <c r="N2114">
        <v>0</v>
      </c>
      <c r="O2114">
        <v>0</v>
      </c>
    </row>
    <row r="2115" spans="1:15">
      <c r="A2115" t="s">
        <v>2431</v>
      </c>
      <c r="B2115" t="s">
        <v>2389</v>
      </c>
      <c r="C2115" t="s">
        <v>317</v>
      </c>
      <c r="D2115">
        <v>42</v>
      </c>
      <c r="E2115">
        <v>100</v>
      </c>
      <c r="F2115">
        <v>0</v>
      </c>
      <c r="G2115">
        <v>0</v>
      </c>
      <c r="H2115">
        <v>0</v>
      </c>
      <c r="I2115">
        <v>0</v>
      </c>
      <c r="J2115">
        <v>0</v>
      </c>
      <c r="K2115">
        <v>0</v>
      </c>
      <c r="L2115">
        <v>0</v>
      </c>
      <c r="M2115">
        <v>0</v>
      </c>
      <c r="N2115">
        <v>0</v>
      </c>
      <c r="O2115">
        <v>0</v>
      </c>
    </row>
    <row r="2116" spans="1:15">
      <c r="A2116" t="s">
        <v>2432</v>
      </c>
      <c r="B2116" t="s">
        <v>2389</v>
      </c>
      <c r="C2116" t="s">
        <v>317</v>
      </c>
      <c r="D2116">
        <v>43</v>
      </c>
      <c r="E2116">
        <v>100</v>
      </c>
      <c r="F2116">
        <v>0</v>
      </c>
      <c r="G2116">
        <v>0</v>
      </c>
      <c r="H2116">
        <v>0</v>
      </c>
      <c r="I2116">
        <v>0</v>
      </c>
      <c r="J2116">
        <v>0</v>
      </c>
      <c r="K2116">
        <v>0</v>
      </c>
      <c r="L2116">
        <v>0</v>
      </c>
      <c r="M2116">
        <v>0</v>
      </c>
      <c r="N2116">
        <v>0</v>
      </c>
      <c r="O2116">
        <v>0</v>
      </c>
    </row>
    <row r="2117" spans="1:15">
      <c r="A2117" t="s">
        <v>2433</v>
      </c>
      <c r="B2117" t="s">
        <v>2389</v>
      </c>
      <c r="C2117" t="s">
        <v>317</v>
      </c>
      <c r="D2117">
        <v>44</v>
      </c>
      <c r="E2117">
        <v>100</v>
      </c>
      <c r="F2117">
        <v>0</v>
      </c>
      <c r="G2117">
        <v>0</v>
      </c>
      <c r="H2117">
        <v>0</v>
      </c>
      <c r="I2117">
        <v>0</v>
      </c>
      <c r="J2117">
        <v>0</v>
      </c>
      <c r="K2117">
        <v>0</v>
      </c>
      <c r="L2117">
        <v>0</v>
      </c>
      <c r="M2117">
        <v>0</v>
      </c>
      <c r="N2117">
        <v>0</v>
      </c>
      <c r="O2117">
        <v>0</v>
      </c>
    </row>
    <row r="2118" spans="1:15">
      <c r="A2118" t="s">
        <v>2434</v>
      </c>
      <c r="B2118" t="s">
        <v>2389</v>
      </c>
      <c r="C2118" t="s">
        <v>317</v>
      </c>
      <c r="D2118">
        <v>45</v>
      </c>
      <c r="E2118">
        <v>100</v>
      </c>
      <c r="F2118">
        <v>0</v>
      </c>
      <c r="G2118">
        <v>0</v>
      </c>
      <c r="H2118">
        <v>0</v>
      </c>
      <c r="I2118">
        <v>0</v>
      </c>
      <c r="J2118">
        <v>0</v>
      </c>
      <c r="K2118">
        <v>0</v>
      </c>
      <c r="L2118">
        <v>0</v>
      </c>
      <c r="M2118">
        <v>0</v>
      </c>
      <c r="N2118">
        <v>0</v>
      </c>
      <c r="O2118">
        <v>0</v>
      </c>
    </row>
    <row r="2119" spans="1:15">
      <c r="A2119" t="s">
        <v>2435</v>
      </c>
      <c r="B2119" t="s">
        <v>2389</v>
      </c>
      <c r="C2119" t="s">
        <v>317</v>
      </c>
      <c r="D2119">
        <v>46</v>
      </c>
      <c r="E2119">
        <v>100</v>
      </c>
      <c r="F2119">
        <v>0</v>
      </c>
      <c r="G2119">
        <v>0</v>
      </c>
      <c r="H2119">
        <v>0</v>
      </c>
      <c r="I2119">
        <v>0</v>
      </c>
      <c r="J2119">
        <v>0</v>
      </c>
      <c r="K2119">
        <v>0</v>
      </c>
      <c r="L2119">
        <v>0</v>
      </c>
      <c r="M2119">
        <v>0</v>
      </c>
      <c r="N2119">
        <v>0</v>
      </c>
      <c r="O2119">
        <v>0</v>
      </c>
    </row>
    <row r="2120" spans="1:15">
      <c r="A2120" t="s">
        <v>2436</v>
      </c>
      <c r="B2120" t="s">
        <v>2389</v>
      </c>
      <c r="C2120" t="s">
        <v>317</v>
      </c>
      <c r="D2120">
        <v>47</v>
      </c>
      <c r="E2120">
        <v>100</v>
      </c>
      <c r="F2120">
        <v>0</v>
      </c>
      <c r="G2120">
        <v>0</v>
      </c>
      <c r="H2120">
        <v>0</v>
      </c>
      <c r="I2120">
        <v>0</v>
      </c>
      <c r="J2120">
        <v>0</v>
      </c>
      <c r="K2120">
        <v>0</v>
      </c>
      <c r="L2120">
        <v>0</v>
      </c>
      <c r="M2120">
        <v>0</v>
      </c>
      <c r="N2120">
        <v>0</v>
      </c>
      <c r="O2120">
        <v>0</v>
      </c>
    </row>
    <row r="2121" spans="1:15">
      <c r="A2121" t="s">
        <v>2437</v>
      </c>
      <c r="B2121" t="s">
        <v>2389</v>
      </c>
      <c r="C2121" t="s">
        <v>317</v>
      </c>
      <c r="D2121">
        <v>48</v>
      </c>
      <c r="E2121">
        <v>100</v>
      </c>
      <c r="F2121">
        <v>0</v>
      </c>
      <c r="G2121">
        <v>0</v>
      </c>
      <c r="H2121">
        <v>0</v>
      </c>
      <c r="I2121">
        <v>0</v>
      </c>
      <c r="J2121">
        <v>0</v>
      </c>
      <c r="K2121">
        <v>0</v>
      </c>
      <c r="L2121">
        <v>0</v>
      </c>
      <c r="M2121">
        <v>0</v>
      </c>
      <c r="N2121">
        <v>0</v>
      </c>
      <c r="O2121">
        <v>0</v>
      </c>
    </row>
    <row r="2122" spans="1:15">
      <c r="A2122" t="s">
        <v>2438</v>
      </c>
      <c r="B2122" t="s">
        <v>2389</v>
      </c>
      <c r="C2122" t="s">
        <v>317</v>
      </c>
      <c r="D2122">
        <v>49</v>
      </c>
      <c r="E2122">
        <v>100</v>
      </c>
      <c r="F2122">
        <v>0</v>
      </c>
      <c r="G2122">
        <v>0</v>
      </c>
      <c r="H2122">
        <v>0</v>
      </c>
      <c r="I2122">
        <v>0</v>
      </c>
      <c r="J2122">
        <v>0</v>
      </c>
      <c r="K2122">
        <v>0</v>
      </c>
      <c r="L2122">
        <v>0</v>
      </c>
      <c r="M2122">
        <v>0</v>
      </c>
      <c r="N2122">
        <v>0</v>
      </c>
      <c r="O2122">
        <v>0</v>
      </c>
    </row>
    <row r="2123" spans="1:15">
      <c r="A2123" t="s">
        <v>2439</v>
      </c>
      <c r="B2123" t="s">
        <v>2389</v>
      </c>
      <c r="C2123" t="s">
        <v>317</v>
      </c>
      <c r="D2123">
        <v>50</v>
      </c>
      <c r="E2123">
        <v>100</v>
      </c>
      <c r="F2123">
        <v>0</v>
      </c>
      <c r="G2123">
        <v>0</v>
      </c>
      <c r="H2123">
        <v>0</v>
      </c>
      <c r="I2123">
        <v>0</v>
      </c>
      <c r="J2123">
        <v>0</v>
      </c>
      <c r="K2123">
        <v>0</v>
      </c>
      <c r="L2123">
        <v>0</v>
      </c>
      <c r="M2123">
        <v>0</v>
      </c>
      <c r="N2123">
        <v>0</v>
      </c>
      <c r="O2123">
        <v>0</v>
      </c>
    </row>
    <row r="2124" spans="1:15">
      <c r="A2124" t="s">
        <v>2440</v>
      </c>
      <c r="B2124" t="s">
        <v>2389</v>
      </c>
      <c r="C2124" t="s">
        <v>317</v>
      </c>
      <c r="D2124">
        <v>51</v>
      </c>
      <c r="E2124">
        <v>100</v>
      </c>
      <c r="F2124">
        <v>0</v>
      </c>
      <c r="G2124">
        <v>0</v>
      </c>
      <c r="H2124">
        <v>0</v>
      </c>
      <c r="I2124">
        <v>0</v>
      </c>
      <c r="J2124">
        <v>0</v>
      </c>
      <c r="K2124">
        <v>0</v>
      </c>
      <c r="L2124">
        <v>0</v>
      </c>
      <c r="M2124">
        <v>0</v>
      </c>
      <c r="N2124">
        <v>0</v>
      </c>
      <c r="O2124">
        <v>0</v>
      </c>
    </row>
    <row r="2125" spans="1:15">
      <c r="A2125" t="s">
        <v>2441</v>
      </c>
      <c r="B2125" t="s">
        <v>2389</v>
      </c>
      <c r="C2125" t="s">
        <v>317</v>
      </c>
      <c r="D2125">
        <v>52</v>
      </c>
      <c r="E2125">
        <v>100</v>
      </c>
      <c r="F2125">
        <v>0</v>
      </c>
      <c r="G2125">
        <v>0</v>
      </c>
      <c r="H2125">
        <v>0</v>
      </c>
      <c r="I2125">
        <v>0</v>
      </c>
      <c r="J2125">
        <v>0</v>
      </c>
      <c r="K2125">
        <v>0</v>
      </c>
      <c r="L2125">
        <v>0</v>
      </c>
      <c r="M2125">
        <v>0</v>
      </c>
      <c r="N2125">
        <v>0</v>
      </c>
      <c r="O2125">
        <v>0</v>
      </c>
    </row>
    <row r="2126" spans="1:15">
      <c r="A2126" t="s">
        <v>2442</v>
      </c>
      <c r="B2126" t="s">
        <v>2389</v>
      </c>
      <c r="C2126" t="s">
        <v>317</v>
      </c>
      <c r="D2126">
        <v>53</v>
      </c>
      <c r="E2126">
        <v>100</v>
      </c>
      <c r="F2126">
        <v>0</v>
      </c>
      <c r="G2126">
        <v>0</v>
      </c>
      <c r="H2126">
        <v>0</v>
      </c>
      <c r="I2126">
        <v>0</v>
      </c>
      <c r="J2126">
        <v>0</v>
      </c>
      <c r="K2126">
        <v>0</v>
      </c>
      <c r="L2126">
        <v>0</v>
      </c>
      <c r="M2126">
        <v>0</v>
      </c>
      <c r="N2126">
        <v>0</v>
      </c>
      <c r="O2126">
        <v>0</v>
      </c>
    </row>
    <row r="2127" spans="1:15">
      <c r="A2127" t="s">
        <v>2443</v>
      </c>
      <c r="B2127" t="s">
        <v>2389</v>
      </c>
      <c r="C2127" t="s">
        <v>317</v>
      </c>
      <c r="D2127">
        <v>54</v>
      </c>
      <c r="E2127">
        <v>100</v>
      </c>
      <c r="F2127">
        <v>0</v>
      </c>
      <c r="G2127">
        <v>0</v>
      </c>
      <c r="H2127">
        <v>0</v>
      </c>
      <c r="I2127">
        <v>0</v>
      </c>
      <c r="J2127">
        <v>0</v>
      </c>
      <c r="K2127">
        <v>0</v>
      </c>
      <c r="L2127">
        <v>0</v>
      </c>
      <c r="M2127">
        <v>0</v>
      </c>
      <c r="N2127">
        <v>0</v>
      </c>
      <c r="O2127">
        <v>0</v>
      </c>
    </row>
    <row r="2128" spans="1:15">
      <c r="A2128" t="s">
        <v>2444</v>
      </c>
      <c r="B2128" t="s">
        <v>2389</v>
      </c>
      <c r="C2128" t="s">
        <v>317</v>
      </c>
      <c r="D2128">
        <v>55</v>
      </c>
      <c r="E2128">
        <v>100</v>
      </c>
      <c r="F2128">
        <v>0</v>
      </c>
      <c r="G2128">
        <v>0</v>
      </c>
      <c r="H2128">
        <v>0</v>
      </c>
      <c r="I2128">
        <v>0</v>
      </c>
      <c r="J2128">
        <v>0</v>
      </c>
      <c r="K2128">
        <v>0</v>
      </c>
      <c r="L2128">
        <v>0</v>
      </c>
      <c r="M2128">
        <v>0</v>
      </c>
      <c r="N2128">
        <v>0</v>
      </c>
      <c r="O2128">
        <v>0</v>
      </c>
    </row>
    <row r="2129" spans="1:15">
      <c r="A2129" t="s">
        <v>2445</v>
      </c>
      <c r="B2129" t="s">
        <v>2389</v>
      </c>
      <c r="C2129" t="s">
        <v>317</v>
      </c>
      <c r="D2129">
        <v>56</v>
      </c>
      <c r="E2129">
        <v>100</v>
      </c>
      <c r="F2129">
        <v>0</v>
      </c>
      <c r="G2129">
        <v>0</v>
      </c>
      <c r="H2129">
        <v>0</v>
      </c>
      <c r="I2129">
        <v>0</v>
      </c>
      <c r="J2129">
        <v>0</v>
      </c>
      <c r="K2129">
        <v>0</v>
      </c>
      <c r="L2129">
        <v>0</v>
      </c>
      <c r="M2129">
        <v>0</v>
      </c>
      <c r="N2129">
        <v>0</v>
      </c>
      <c r="O2129">
        <v>0</v>
      </c>
    </row>
    <row r="2130" spans="1:15">
      <c r="A2130" t="s">
        <v>2446</v>
      </c>
      <c r="B2130" t="s">
        <v>2389</v>
      </c>
      <c r="C2130" t="s">
        <v>317</v>
      </c>
      <c r="D2130">
        <v>57</v>
      </c>
      <c r="E2130">
        <v>100</v>
      </c>
      <c r="F2130">
        <v>0</v>
      </c>
      <c r="G2130">
        <v>0</v>
      </c>
      <c r="H2130">
        <v>0</v>
      </c>
      <c r="I2130">
        <v>0</v>
      </c>
      <c r="J2130">
        <v>0</v>
      </c>
      <c r="K2130">
        <v>0</v>
      </c>
      <c r="L2130">
        <v>0</v>
      </c>
      <c r="M2130">
        <v>0</v>
      </c>
      <c r="N2130">
        <v>0</v>
      </c>
      <c r="O2130">
        <v>0</v>
      </c>
    </row>
    <row r="2131" spans="1:15">
      <c r="A2131" t="s">
        <v>2447</v>
      </c>
      <c r="B2131" t="s">
        <v>2389</v>
      </c>
      <c r="C2131" t="s">
        <v>317</v>
      </c>
      <c r="D2131">
        <v>58</v>
      </c>
      <c r="E2131">
        <v>100</v>
      </c>
      <c r="F2131">
        <v>0</v>
      </c>
      <c r="G2131">
        <v>0</v>
      </c>
      <c r="H2131">
        <v>0</v>
      </c>
      <c r="I2131">
        <v>0</v>
      </c>
      <c r="J2131">
        <v>0</v>
      </c>
      <c r="K2131">
        <v>0</v>
      </c>
      <c r="L2131">
        <v>0</v>
      </c>
      <c r="M2131">
        <v>0</v>
      </c>
      <c r="N2131">
        <v>0</v>
      </c>
      <c r="O2131">
        <v>0</v>
      </c>
    </row>
    <row r="2132" spans="1:15">
      <c r="A2132" t="s">
        <v>2448</v>
      </c>
      <c r="B2132" t="s">
        <v>2389</v>
      </c>
      <c r="C2132" t="s">
        <v>317</v>
      </c>
      <c r="D2132">
        <v>59</v>
      </c>
      <c r="E2132">
        <v>100</v>
      </c>
      <c r="F2132">
        <v>0</v>
      </c>
      <c r="G2132">
        <v>0</v>
      </c>
      <c r="H2132">
        <v>0</v>
      </c>
      <c r="I2132">
        <v>0</v>
      </c>
      <c r="J2132">
        <v>0</v>
      </c>
      <c r="K2132">
        <v>0</v>
      </c>
      <c r="L2132">
        <v>0</v>
      </c>
      <c r="M2132">
        <v>0</v>
      </c>
      <c r="N2132">
        <v>0</v>
      </c>
      <c r="O2132">
        <v>0</v>
      </c>
    </row>
    <row r="2133" spans="1:15">
      <c r="A2133" t="s">
        <v>2449</v>
      </c>
      <c r="B2133" t="s">
        <v>2389</v>
      </c>
      <c r="C2133" t="s">
        <v>317</v>
      </c>
      <c r="D2133">
        <v>60</v>
      </c>
      <c r="E2133">
        <v>100</v>
      </c>
      <c r="F2133">
        <v>0</v>
      </c>
      <c r="G2133">
        <v>0</v>
      </c>
      <c r="H2133">
        <v>0</v>
      </c>
      <c r="I2133">
        <v>0</v>
      </c>
      <c r="J2133">
        <v>0</v>
      </c>
      <c r="K2133">
        <v>0</v>
      </c>
      <c r="L2133">
        <v>0</v>
      </c>
      <c r="M2133">
        <v>0</v>
      </c>
      <c r="N2133">
        <v>0</v>
      </c>
      <c r="O2133">
        <v>0</v>
      </c>
    </row>
    <row r="2134" spans="1:15">
      <c r="A2134" t="s">
        <v>2450</v>
      </c>
      <c r="B2134" t="s">
        <v>2389</v>
      </c>
      <c r="C2134" t="s">
        <v>317</v>
      </c>
      <c r="D2134">
        <v>61</v>
      </c>
      <c r="E2134">
        <v>100</v>
      </c>
      <c r="F2134">
        <v>0</v>
      </c>
      <c r="G2134">
        <v>0</v>
      </c>
      <c r="H2134">
        <v>0</v>
      </c>
      <c r="I2134">
        <v>0</v>
      </c>
      <c r="J2134">
        <v>0</v>
      </c>
      <c r="K2134">
        <v>0</v>
      </c>
      <c r="L2134">
        <v>0</v>
      </c>
      <c r="M2134">
        <v>0</v>
      </c>
      <c r="N2134">
        <v>0</v>
      </c>
      <c r="O2134">
        <v>0</v>
      </c>
    </row>
    <row r="2135" spans="1:15">
      <c r="A2135" t="s">
        <v>2451</v>
      </c>
      <c r="B2135" t="s">
        <v>2389</v>
      </c>
      <c r="C2135" t="s">
        <v>317</v>
      </c>
      <c r="D2135">
        <v>62</v>
      </c>
      <c r="E2135">
        <v>100</v>
      </c>
      <c r="F2135">
        <v>0</v>
      </c>
      <c r="G2135">
        <v>0</v>
      </c>
      <c r="H2135">
        <v>0</v>
      </c>
      <c r="I2135">
        <v>0</v>
      </c>
      <c r="J2135">
        <v>0</v>
      </c>
      <c r="K2135">
        <v>0</v>
      </c>
      <c r="L2135">
        <v>0</v>
      </c>
      <c r="M2135">
        <v>0</v>
      </c>
      <c r="N2135">
        <v>0</v>
      </c>
      <c r="O2135">
        <v>0</v>
      </c>
    </row>
    <row r="2136" spans="1:15">
      <c r="A2136" t="s">
        <v>2452</v>
      </c>
      <c r="B2136" t="s">
        <v>2389</v>
      </c>
      <c r="C2136" t="s">
        <v>317</v>
      </c>
      <c r="D2136">
        <v>63</v>
      </c>
      <c r="E2136">
        <v>100</v>
      </c>
      <c r="F2136">
        <v>0</v>
      </c>
      <c r="G2136">
        <v>0</v>
      </c>
      <c r="H2136">
        <v>0</v>
      </c>
      <c r="I2136">
        <v>0</v>
      </c>
      <c r="J2136">
        <v>0</v>
      </c>
      <c r="K2136">
        <v>0</v>
      </c>
      <c r="L2136">
        <v>0</v>
      </c>
      <c r="M2136">
        <v>0</v>
      </c>
      <c r="N2136">
        <v>0</v>
      </c>
      <c r="O2136">
        <v>0</v>
      </c>
    </row>
    <row r="2137" spans="1:15">
      <c r="A2137" t="s">
        <v>2453</v>
      </c>
      <c r="B2137" t="s">
        <v>2389</v>
      </c>
      <c r="C2137" t="s">
        <v>317</v>
      </c>
      <c r="D2137">
        <v>64</v>
      </c>
      <c r="E2137">
        <v>100</v>
      </c>
      <c r="F2137">
        <v>0</v>
      </c>
      <c r="G2137">
        <v>0</v>
      </c>
      <c r="H2137">
        <v>0</v>
      </c>
      <c r="I2137">
        <v>0</v>
      </c>
      <c r="J2137">
        <v>0</v>
      </c>
      <c r="K2137">
        <v>0</v>
      </c>
      <c r="L2137">
        <v>0</v>
      </c>
      <c r="M2137">
        <v>0</v>
      </c>
      <c r="N2137">
        <v>0</v>
      </c>
      <c r="O2137">
        <v>0</v>
      </c>
    </row>
    <row r="2138" spans="1:15">
      <c r="A2138" t="s">
        <v>2454</v>
      </c>
      <c r="B2138" t="s">
        <v>2389</v>
      </c>
      <c r="C2138" t="s">
        <v>317</v>
      </c>
      <c r="D2138">
        <v>65</v>
      </c>
      <c r="E2138">
        <v>100</v>
      </c>
      <c r="F2138">
        <v>0</v>
      </c>
      <c r="G2138">
        <v>0</v>
      </c>
      <c r="H2138">
        <v>0</v>
      </c>
      <c r="I2138">
        <v>0</v>
      </c>
      <c r="J2138">
        <v>0</v>
      </c>
      <c r="K2138">
        <v>0</v>
      </c>
      <c r="L2138">
        <v>0</v>
      </c>
      <c r="M2138">
        <v>0</v>
      </c>
      <c r="N2138">
        <v>0</v>
      </c>
      <c r="O2138">
        <v>0</v>
      </c>
    </row>
    <row r="2139" spans="1:15">
      <c r="A2139" t="s">
        <v>2455</v>
      </c>
      <c r="B2139" t="s">
        <v>2389</v>
      </c>
      <c r="C2139" t="s">
        <v>317</v>
      </c>
      <c r="D2139">
        <v>66</v>
      </c>
      <c r="E2139">
        <v>100</v>
      </c>
      <c r="F2139">
        <v>0</v>
      </c>
      <c r="G2139">
        <v>0</v>
      </c>
      <c r="H2139">
        <v>0</v>
      </c>
      <c r="I2139">
        <v>0</v>
      </c>
      <c r="J2139">
        <v>0</v>
      </c>
      <c r="K2139">
        <v>0</v>
      </c>
      <c r="L2139">
        <v>0</v>
      </c>
      <c r="M2139">
        <v>0</v>
      </c>
      <c r="N2139">
        <v>0</v>
      </c>
      <c r="O2139">
        <v>0</v>
      </c>
    </row>
    <row r="2140" spans="1:15">
      <c r="A2140" t="s">
        <v>2456</v>
      </c>
      <c r="B2140" t="s">
        <v>2389</v>
      </c>
      <c r="C2140" t="s">
        <v>317</v>
      </c>
      <c r="D2140">
        <v>67</v>
      </c>
      <c r="E2140">
        <v>100</v>
      </c>
      <c r="F2140">
        <v>0</v>
      </c>
      <c r="G2140">
        <v>0</v>
      </c>
      <c r="H2140">
        <v>0</v>
      </c>
      <c r="I2140">
        <v>0</v>
      </c>
      <c r="J2140">
        <v>0</v>
      </c>
      <c r="K2140">
        <v>0</v>
      </c>
      <c r="L2140">
        <v>0</v>
      </c>
      <c r="M2140">
        <v>0</v>
      </c>
      <c r="N2140">
        <v>0</v>
      </c>
      <c r="O2140">
        <v>0</v>
      </c>
    </row>
    <row r="2141" spans="1:15">
      <c r="A2141" t="s">
        <v>2457</v>
      </c>
      <c r="B2141" t="s">
        <v>2389</v>
      </c>
      <c r="C2141" t="s">
        <v>317</v>
      </c>
      <c r="D2141">
        <v>68</v>
      </c>
      <c r="E2141">
        <v>100</v>
      </c>
      <c r="F2141">
        <v>0</v>
      </c>
      <c r="G2141">
        <v>0</v>
      </c>
      <c r="H2141">
        <v>0</v>
      </c>
      <c r="I2141">
        <v>0</v>
      </c>
      <c r="J2141">
        <v>0</v>
      </c>
      <c r="K2141">
        <v>0</v>
      </c>
      <c r="L2141">
        <v>0</v>
      </c>
      <c r="M2141">
        <v>0</v>
      </c>
      <c r="N2141">
        <v>0</v>
      </c>
      <c r="O2141">
        <v>0</v>
      </c>
    </row>
    <row r="2142" spans="1:15">
      <c r="A2142" t="s">
        <v>2458</v>
      </c>
      <c r="B2142" t="s">
        <v>2389</v>
      </c>
      <c r="C2142" t="s">
        <v>317</v>
      </c>
      <c r="D2142">
        <v>69</v>
      </c>
      <c r="E2142">
        <v>100</v>
      </c>
      <c r="F2142">
        <v>0</v>
      </c>
      <c r="G2142">
        <v>0</v>
      </c>
      <c r="H2142">
        <v>0</v>
      </c>
      <c r="I2142">
        <v>0</v>
      </c>
      <c r="J2142">
        <v>0</v>
      </c>
      <c r="K2142">
        <v>0</v>
      </c>
      <c r="L2142">
        <v>0</v>
      </c>
      <c r="M2142">
        <v>0</v>
      </c>
      <c r="N2142">
        <v>0</v>
      </c>
      <c r="O2142">
        <v>0</v>
      </c>
    </row>
    <row r="2143" spans="1:15">
      <c r="A2143" t="s">
        <v>2459</v>
      </c>
      <c r="B2143" t="s">
        <v>2389</v>
      </c>
      <c r="C2143" t="s">
        <v>317</v>
      </c>
      <c r="D2143">
        <v>70</v>
      </c>
      <c r="E2143">
        <v>100</v>
      </c>
      <c r="F2143">
        <v>0</v>
      </c>
      <c r="G2143">
        <v>0</v>
      </c>
      <c r="H2143">
        <v>0</v>
      </c>
      <c r="I2143">
        <v>0</v>
      </c>
      <c r="J2143">
        <v>0</v>
      </c>
      <c r="K2143">
        <v>0</v>
      </c>
      <c r="L2143">
        <v>0</v>
      </c>
      <c r="M2143">
        <v>0</v>
      </c>
      <c r="N2143">
        <v>0</v>
      </c>
      <c r="O2143">
        <v>0</v>
      </c>
    </row>
    <row r="2144" spans="1:15">
      <c r="A2144" t="s">
        <v>2460</v>
      </c>
      <c r="B2144" t="s">
        <v>2389</v>
      </c>
      <c r="C2144" t="s">
        <v>317</v>
      </c>
      <c r="D2144">
        <v>71</v>
      </c>
      <c r="E2144">
        <v>100</v>
      </c>
      <c r="F2144">
        <v>0</v>
      </c>
      <c r="G2144">
        <v>0</v>
      </c>
      <c r="H2144">
        <v>0</v>
      </c>
      <c r="I2144">
        <v>0</v>
      </c>
      <c r="J2144">
        <v>0</v>
      </c>
      <c r="K2144">
        <v>0</v>
      </c>
      <c r="L2144">
        <v>0</v>
      </c>
      <c r="M2144">
        <v>0</v>
      </c>
      <c r="N2144">
        <v>0</v>
      </c>
      <c r="O2144">
        <v>0</v>
      </c>
    </row>
    <row r="2145" spans="1:15">
      <c r="A2145" t="s">
        <v>2461</v>
      </c>
      <c r="B2145" t="s">
        <v>2389</v>
      </c>
      <c r="C2145" t="s">
        <v>317</v>
      </c>
      <c r="D2145">
        <v>72</v>
      </c>
      <c r="E2145">
        <v>100</v>
      </c>
      <c r="F2145">
        <v>0</v>
      </c>
      <c r="G2145">
        <v>0</v>
      </c>
      <c r="H2145">
        <v>0</v>
      </c>
      <c r="I2145">
        <v>0</v>
      </c>
      <c r="J2145">
        <v>0</v>
      </c>
      <c r="K2145">
        <v>0</v>
      </c>
      <c r="L2145">
        <v>0</v>
      </c>
      <c r="M2145">
        <v>0</v>
      </c>
      <c r="N2145">
        <v>0</v>
      </c>
      <c r="O2145">
        <v>0</v>
      </c>
    </row>
    <row r="2146" spans="1:15">
      <c r="A2146" t="s">
        <v>2462</v>
      </c>
      <c r="B2146" t="s">
        <v>2389</v>
      </c>
      <c r="C2146" t="s">
        <v>317</v>
      </c>
      <c r="D2146">
        <v>73</v>
      </c>
      <c r="E2146">
        <v>100</v>
      </c>
      <c r="F2146">
        <v>0</v>
      </c>
      <c r="G2146">
        <v>0</v>
      </c>
      <c r="H2146">
        <v>0</v>
      </c>
      <c r="I2146">
        <v>0</v>
      </c>
      <c r="J2146">
        <v>0</v>
      </c>
      <c r="K2146">
        <v>0</v>
      </c>
      <c r="L2146">
        <v>0</v>
      </c>
      <c r="M2146">
        <v>0</v>
      </c>
      <c r="N2146">
        <v>0</v>
      </c>
      <c r="O2146">
        <v>0</v>
      </c>
    </row>
    <row r="2147" spans="1:15">
      <c r="A2147" t="s">
        <v>2463</v>
      </c>
      <c r="B2147" t="s">
        <v>2389</v>
      </c>
      <c r="C2147" t="s">
        <v>317</v>
      </c>
      <c r="D2147">
        <v>74</v>
      </c>
      <c r="E2147">
        <v>100</v>
      </c>
      <c r="F2147">
        <v>0</v>
      </c>
      <c r="G2147">
        <v>0</v>
      </c>
      <c r="H2147">
        <v>0</v>
      </c>
      <c r="I2147">
        <v>0</v>
      </c>
      <c r="J2147">
        <v>0</v>
      </c>
      <c r="K2147">
        <v>0</v>
      </c>
      <c r="L2147">
        <v>0</v>
      </c>
      <c r="M2147">
        <v>0</v>
      </c>
      <c r="N2147">
        <v>0</v>
      </c>
      <c r="O2147">
        <v>0</v>
      </c>
    </row>
    <row r="2148" spans="1:15">
      <c r="A2148" t="s">
        <v>2464</v>
      </c>
      <c r="B2148" t="s">
        <v>2389</v>
      </c>
      <c r="C2148" t="s">
        <v>317</v>
      </c>
      <c r="D2148">
        <v>75</v>
      </c>
      <c r="E2148">
        <v>100</v>
      </c>
      <c r="F2148">
        <v>0</v>
      </c>
      <c r="G2148">
        <v>0</v>
      </c>
      <c r="H2148">
        <v>0</v>
      </c>
      <c r="I2148">
        <v>0</v>
      </c>
      <c r="J2148">
        <v>0</v>
      </c>
      <c r="K2148">
        <v>0</v>
      </c>
      <c r="L2148">
        <v>0</v>
      </c>
      <c r="M2148">
        <v>0</v>
      </c>
      <c r="N2148">
        <v>0</v>
      </c>
      <c r="O2148">
        <v>0</v>
      </c>
    </row>
    <row r="2149" spans="1:15">
      <c r="A2149" t="s">
        <v>2465</v>
      </c>
      <c r="B2149" t="s">
        <v>2389</v>
      </c>
      <c r="C2149" t="s">
        <v>317</v>
      </c>
      <c r="D2149">
        <v>76</v>
      </c>
      <c r="E2149">
        <v>100</v>
      </c>
      <c r="F2149">
        <v>0</v>
      </c>
      <c r="G2149">
        <v>0</v>
      </c>
      <c r="H2149">
        <v>0</v>
      </c>
      <c r="I2149">
        <v>0</v>
      </c>
      <c r="J2149">
        <v>0</v>
      </c>
      <c r="K2149">
        <v>0</v>
      </c>
      <c r="L2149">
        <v>0</v>
      </c>
      <c r="M2149">
        <v>0</v>
      </c>
      <c r="N2149">
        <v>0</v>
      </c>
      <c r="O2149">
        <v>0</v>
      </c>
    </row>
    <row r="2150" spans="1:15">
      <c r="A2150" t="s">
        <v>2466</v>
      </c>
      <c r="B2150" t="s">
        <v>2389</v>
      </c>
      <c r="C2150" t="s">
        <v>317</v>
      </c>
      <c r="D2150">
        <v>77</v>
      </c>
      <c r="E2150">
        <v>100</v>
      </c>
      <c r="F2150">
        <v>0</v>
      </c>
      <c r="G2150">
        <v>0</v>
      </c>
      <c r="H2150">
        <v>0</v>
      </c>
      <c r="I2150">
        <v>0</v>
      </c>
      <c r="J2150">
        <v>0</v>
      </c>
      <c r="K2150">
        <v>0</v>
      </c>
      <c r="L2150">
        <v>0</v>
      </c>
      <c r="M2150">
        <v>0</v>
      </c>
      <c r="N2150">
        <v>0</v>
      </c>
      <c r="O2150">
        <v>0</v>
      </c>
    </row>
    <row r="2151" spans="1:15">
      <c r="A2151" t="s">
        <v>2467</v>
      </c>
      <c r="B2151" t="s">
        <v>2389</v>
      </c>
      <c r="C2151" t="s">
        <v>317</v>
      </c>
      <c r="D2151">
        <v>78</v>
      </c>
      <c r="E2151">
        <v>100</v>
      </c>
      <c r="F2151">
        <v>0</v>
      </c>
      <c r="G2151">
        <v>0</v>
      </c>
      <c r="H2151">
        <v>0</v>
      </c>
      <c r="I2151">
        <v>0</v>
      </c>
      <c r="J2151">
        <v>0</v>
      </c>
      <c r="K2151">
        <v>0</v>
      </c>
      <c r="L2151">
        <v>0</v>
      </c>
      <c r="M2151">
        <v>0</v>
      </c>
      <c r="N2151">
        <v>0</v>
      </c>
      <c r="O2151">
        <v>0</v>
      </c>
    </row>
    <row r="2152" spans="1:15">
      <c r="A2152" t="s">
        <v>2468</v>
      </c>
      <c r="B2152" t="s">
        <v>2389</v>
      </c>
      <c r="C2152" t="s">
        <v>317</v>
      </c>
      <c r="D2152">
        <v>79</v>
      </c>
      <c r="E2152">
        <v>100</v>
      </c>
      <c r="F2152">
        <v>0</v>
      </c>
      <c r="G2152">
        <v>0</v>
      </c>
      <c r="H2152">
        <v>0</v>
      </c>
      <c r="I2152">
        <v>0</v>
      </c>
      <c r="J2152">
        <v>0</v>
      </c>
      <c r="K2152">
        <v>0</v>
      </c>
      <c r="L2152">
        <v>0</v>
      </c>
      <c r="M2152">
        <v>0</v>
      </c>
      <c r="N2152">
        <v>0</v>
      </c>
      <c r="O2152">
        <v>0</v>
      </c>
    </row>
    <row r="2153" spans="1:15">
      <c r="A2153" t="s">
        <v>2469</v>
      </c>
      <c r="B2153" t="s">
        <v>2389</v>
      </c>
      <c r="C2153" t="s">
        <v>317</v>
      </c>
      <c r="D2153">
        <v>80</v>
      </c>
      <c r="E2153">
        <v>100</v>
      </c>
      <c r="F2153">
        <v>0</v>
      </c>
      <c r="G2153">
        <v>0</v>
      </c>
      <c r="H2153">
        <v>0</v>
      </c>
      <c r="I2153">
        <v>0</v>
      </c>
      <c r="J2153">
        <v>0</v>
      </c>
      <c r="K2153">
        <v>0</v>
      </c>
      <c r="L2153">
        <v>0</v>
      </c>
      <c r="M2153">
        <v>0</v>
      </c>
      <c r="N2153">
        <v>0</v>
      </c>
      <c r="O2153">
        <v>0</v>
      </c>
    </row>
    <row r="2154" spans="1:15">
      <c r="A2154" t="s">
        <v>2470</v>
      </c>
      <c r="B2154" t="s">
        <v>2389</v>
      </c>
      <c r="C2154" t="s">
        <v>317</v>
      </c>
      <c r="D2154">
        <v>81</v>
      </c>
      <c r="E2154">
        <v>100</v>
      </c>
      <c r="F2154">
        <v>0</v>
      </c>
      <c r="G2154">
        <v>0</v>
      </c>
      <c r="H2154">
        <v>0</v>
      </c>
      <c r="I2154">
        <v>0</v>
      </c>
      <c r="J2154">
        <v>0</v>
      </c>
      <c r="K2154">
        <v>0</v>
      </c>
      <c r="L2154">
        <v>0</v>
      </c>
      <c r="M2154">
        <v>0</v>
      </c>
      <c r="N2154">
        <v>0</v>
      </c>
      <c r="O2154">
        <v>0</v>
      </c>
    </row>
    <row r="2155" spans="1:15">
      <c r="A2155" t="s">
        <v>2471</v>
      </c>
      <c r="B2155" t="s">
        <v>2389</v>
      </c>
      <c r="C2155" t="s">
        <v>317</v>
      </c>
      <c r="D2155">
        <v>82</v>
      </c>
      <c r="E2155">
        <v>100</v>
      </c>
      <c r="F2155">
        <v>0</v>
      </c>
      <c r="G2155">
        <v>0</v>
      </c>
      <c r="H2155">
        <v>0</v>
      </c>
      <c r="I2155">
        <v>0</v>
      </c>
      <c r="J2155">
        <v>0</v>
      </c>
      <c r="K2155">
        <v>0</v>
      </c>
      <c r="L2155">
        <v>0</v>
      </c>
      <c r="M2155">
        <v>0</v>
      </c>
      <c r="N2155">
        <v>0</v>
      </c>
      <c r="O2155">
        <v>0</v>
      </c>
    </row>
    <row r="2156" spans="1:15">
      <c r="A2156" t="s">
        <v>2472</v>
      </c>
      <c r="B2156" t="s">
        <v>2389</v>
      </c>
      <c r="C2156" t="s">
        <v>317</v>
      </c>
      <c r="D2156">
        <v>83</v>
      </c>
      <c r="E2156">
        <v>100</v>
      </c>
      <c r="F2156">
        <v>0</v>
      </c>
      <c r="G2156">
        <v>0</v>
      </c>
      <c r="H2156">
        <v>0</v>
      </c>
      <c r="I2156">
        <v>0</v>
      </c>
      <c r="J2156">
        <v>0</v>
      </c>
      <c r="K2156">
        <v>0</v>
      </c>
      <c r="L2156">
        <v>0</v>
      </c>
      <c r="M2156">
        <v>0</v>
      </c>
      <c r="N2156">
        <v>0</v>
      </c>
      <c r="O2156">
        <v>0</v>
      </c>
    </row>
    <row r="2157" spans="1:15">
      <c r="A2157" t="s">
        <v>2473</v>
      </c>
      <c r="B2157" t="s">
        <v>2389</v>
      </c>
      <c r="C2157" t="s">
        <v>317</v>
      </c>
      <c r="D2157">
        <v>84</v>
      </c>
      <c r="E2157">
        <v>100</v>
      </c>
      <c r="F2157">
        <v>0</v>
      </c>
      <c r="G2157">
        <v>0</v>
      </c>
      <c r="H2157">
        <v>0</v>
      </c>
      <c r="I2157">
        <v>0</v>
      </c>
      <c r="J2157">
        <v>0</v>
      </c>
      <c r="K2157">
        <v>0</v>
      </c>
      <c r="L2157">
        <v>0</v>
      </c>
      <c r="M2157">
        <v>0</v>
      </c>
      <c r="N2157">
        <v>0</v>
      </c>
      <c r="O2157">
        <v>0</v>
      </c>
    </row>
    <row r="2158" spans="1:15">
      <c r="A2158" t="s">
        <v>2474</v>
      </c>
      <c r="B2158" t="s">
        <v>2389</v>
      </c>
      <c r="C2158" t="s">
        <v>317</v>
      </c>
      <c r="D2158">
        <v>85</v>
      </c>
      <c r="E2158">
        <v>100</v>
      </c>
      <c r="F2158">
        <v>0</v>
      </c>
      <c r="G2158">
        <v>0</v>
      </c>
      <c r="H2158">
        <v>0</v>
      </c>
      <c r="I2158">
        <v>0</v>
      </c>
      <c r="J2158">
        <v>0</v>
      </c>
      <c r="K2158">
        <v>0</v>
      </c>
      <c r="L2158">
        <v>0</v>
      </c>
      <c r="M2158">
        <v>0</v>
      </c>
      <c r="N2158">
        <v>0</v>
      </c>
      <c r="O2158">
        <v>0</v>
      </c>
    </row>
    <row r="2159" spans="1:15">
      <c r="A2159" t="s">
        <v>2475</v>
      </c>
      <c r="B2159" t="s">
        <v>2389</v>
      </c>
      <c r="C2159" t="s">
        <v>404</v>
      </c>
      <c r="D2159">
        <v>0</v>
      </c>
      <c r="E2159">
        <v>100</v>
      </c>
      <c r="F2159">
        <v>0</v>
      </c>
      <c r="G2159">
        <v>0</v>
      </c>
      <c r="H2159">
        <v>0</v>
      </c>
      <c r="I2159">
        <v>0</v>
      </c>
      <c r="J2159">
        <v>0</v>
      </c>
      <c r="K2159">
        <v>0</v>
      </c>
      <c r="L2159">
        <v>0</v>
      </c>
      <c r="M2159">
        <v>0</v>
      </c>
      <c r="N2159">
        <v>0</v>
      </c>
      <c r="O2159">
        <v>0</v>
      </c>
    </row>
    <row r="2160" spans="1:15">
      <c r="A2160" t="s">
        <v>2476</v>
      </c>
      <c r="B2160" t="s">
        <v>2389</v>
      </c>
      <c r="C2160" t="s">
        <v>404</v>
      </c>
      <c r="D2160">
        <v>1</v>
      </c>
      <c r="E2160">
        <v>100</v>
      </c>
      <c r="F2160">
        <v>0</v>
      </c>
      <c r="G2160">
        <v>0</v>
      </c>
      <c r="H2160">
        <v>0</v>
      </c>
      <c r="I2160">
        <v>0</v>
      </c>
      <c r="J2160">
        <v>0</v>
      </c>
      <c r="K2160">
        <v>0</v>
      </c>
      <c r="L2160">
        <v>0</v>
      </c>
      <c r="M2160">
        <v>0</v>
      </c>
      <c r="N2160">
        <v>0</v>
      </c>
      <c r="O2160">
        <v>0</v>
      </c>
    </row>
    <row r="2161" spans="1:15">
      <c r="A2161" t="s">
        <v>2477</v>
      </c>
      <c r="B2161" t="s">
        <v>2389</v>
      </c>
      <c r="C2161" t="s">
        <v>404</v>
      </c>
      <c r="D2161">
        <v>2</v>
      </c>
      <c r="E2161">
        <v>100</v>
      </c>
      <c r="F2161">
        <v>0</v>
      </c>
      <c r="G2161">
        <v>0</v>
      </c>
      <c r="H2161">
        <v>0</v>
      </c>
      <c r="I2161">
        <v>0</v>
      </c>
      <c r="J2161">
        <v>0</v>
      </c>
      <c r="K2161">
        <v>0</v>
      </c>
      <c r="L2161">
        <v>0</v>
      </c>
      <c r="M2161">
        <v>0</v>
      </c>
      <c r="N2161">
        <v>0</v>
      </c>
      <c r="O2161">
        <v>0</v>
      </c>
    </row>
    <row r="2162" spans="1:15">
      <c r="A2162" t="s">
        <v>2478</v>
      </c>
      <c r="B2162" t="s">
        <v>2389</v>
      </c>
      <c r="C2162" t="s">
        <v>404</v>
      </c>
      <c r="D2162">
        <v>3</v>
      </c>
      <c r="E2162">
        <v>100</v>
      </c>
      <c r="F2162">
        <v>0</v>
      </c>
      <c r="G2162">
        <v>0</v>
      </c>
      <c r="H2162">
        <v>0</v>
      </c>
      <c r="I2162">
        <v>0</v>
      </c>
      <c r="J2162">
        <v>0</v>
      </c>
      <c r="K2162">
        <v>0</v>
      </c>
      <c r="L2162">
        <v>0</v>
      </c>
      <c r="M2162">
        <v>0</v>
      </c>
      <c r="N2162">
        <v>0</v>
      </c>
      <c r="O2162">
        <v>0</v>
      </c>
    </row>
    <row r="2163" spans="1:15">
      <c r="A2163" t="s">
        <v>2479</v>
      </c>
      <c r="B2163" t="s">
        <v>2389</v>
      </c>
      <c r="C2163" t="s">
        <v>404</v>
      </c>
      <c r="D2163">
        <v>4</v>
      </c>
      <c r="E2163">
        <v>100</v>
      </c>
      <c r="F2163">
        <v>0</v>
      </c>
      <c r="G2163">
        <v>0</v>
      </c>
      <c r="H2163">
        <v>0</v>
      </c>
      <c r="I2163">
        <v>0</v>
      </c>
      <c r="J2163">
        <v>0</v>
      </c>
      <c r="K2163">
        <v>0</v>
      </c>
      <c r="L2163">
        <v>0</v>
      </c>
      <c r="M2163">
        <v>0</v>
      </c>
      <c r="N2163">
        <v>0</v>
      </c>
      <c r="O2163">
        <v>0</v>
      </c>
    </row>
    <row r="2164" spans="1:15">
      <c r="A2164" t="s">
        <v>2480</v>
      </c>
      <c r="B2164" t="s">
        <v>2389</v>
      </c>
      <c r="C2164" t="s">
        <v>404</v>
      </c>
      <c r="D2164">
        <v>5</v>
      </c>
      <c r="E2164">
        <v>100</v>
      </c>
      <c r="F2164">
        <v>0</v>
      </c>
      <c r="G2164">
        <v>0</v>
      </c>
      <c r="H2164">
        <v>0</v>
      </c>
      <c r="I2164">
        <v>0</v>
      </c>
      <c r="J2164">
        <v>0</v>
      </c>
      <c r="K2164">
        <v>0</v>
      </c>
      <c r="L2164">
        <v>0</v>
      </c>
      <c r="M2164">
        <v>0</v>
      </c>
      <c r="N2164">
        <v>0</v>
      </c>
      <c r="O2164">
        <v>0</v>
      </c>
    </row>
    <row r="2165" spans="1:15">
      <c r="A2165" t="s">
        <v>2481</v>
      </c>
      <c r="B2165" t="s">
        <v>2389</v>
      </c>
      <c r="C2165" t="s">
        <v>404</v>
      </c>
      <c r="D2165">
        <v>6</v>
      </c>
      <c r="E2165">
        <v>100</v>
      </c>
      <c r="F2165">
        <v>0</v>
      </c>
      <c r="G2165">
        <v>0</v>
      </c>
      <c r="H2165">
        <v>0</v>
      </c>
      <c r="I2165">
        <v>0</v>
      </c>
      <c r="J2165">
        <v>0</v>
      </c>
      <c r="K2165">
        <v>0</v>
      </c>
      <c r="L2165">
        <v>0</v>
      </c>
      <c r="M2165">
        <v>0</v>
      </c>
      <c r="N2165">
        <v>0</v>
      </c>
      <c r="O2165">
        <v>0</v>
      </c>
    </row>
    <row r="2166" spans="1:15">
      <c r="A2166" t="s">
        <v>2482</v>
      </c>
      <c r="B2166" t="s">
        <v>2389</v>
      </c>
      <c r="C2166" t="s">
        <v>404</v>
      </c>
      <c r="D2166">
        <v>7</v>
      </c>
      <c r="E2166">
        <v>100</v>
      </c>
      <c r="F2166">
        <v>0</v>
      </c>
      <c r="G2166">
        <v>0</v>
      </c>
      <c r="H2166">
        <v>0</v>
      </c>
      <c r="I2166">
        <v>0</v>
      </c>
      <c r="J2166">
        <v>0</v>
      </c>
      <c r="K2166">
        <v>0</v>
      </c>
      <c r="L2166">
        <v>0</v>
      </c>
      <c r="M2166">
        <v>0</v>
      </c>
      <c r="N2166">
        <v>0</v>
      </c>
      <c r="O2166">
        <v>0</v>
      </c>
    </row>
    <row r="2167" spans="1:15">
      <c r="A2167" t="s">
        <v>2483</v>
      </c>
      <c r="B2167" t="s">
        <v>2389</v>
      </c>
      <c r="C2167" t="s">
        <v>404</v>
      </c>
      <c r="D2167">
        <v>8</v>
      </c>
      <c r="E2167">
        <v>100</v>
      </c>
      <c r="F2167">
        <v>0</v>
      </c>
      <c r="G2167">
        <v>0</v>
      </c>
      <c r="H2167">
        <v>0</v>
      </c>
      <c r="I2167">
        <v>0</v>
      </c>
      <c r="J2167">
        <v>0</v>
      </c>
      <c r="K2167">
        <v>0</v>
      </c>
      <c r="L2167">
        <v>0</v>
      </c>
      <c r="M2167">
        <v>0</v>
      </c>
      <c r="N2167">
        <v>0</v>
      </c>
      <c r="O2167">
        <v>0</v>
      </c>
    </row>
    <row r="2168" spans="1:15">
      <c r="A2168" t="s">
        <v>2484</v>
      </c>
      <c r="B2168" t="s">
        <v>2389</v>
      </c>
      <c r="C2168" t="s">
        <v>404</v>
      </c>
      <c r="D2168">
        <v>9</v>
      </c>
      <c r="E2168">
        <v>100</v>
      </c>
      <c r="F2168">
        <v>0</v>
      </c>
      <c r="G2168">
        <v>0</v>
      </c>
      <c r="H2168">
        <v>0</v>
      </c>
      <c r="I2168">
        <v>0</v>
      </c>
      <c r="J2168">
        <v>0</v>
      </c>
      <c r="K2168">
        <v>0</v>
      </c>
      <c r="L2168">
        <v>0</v>
      </c>
      <c r="M2168">
        <v>0</v>
      </c>
      <c r="N2168">
        <v>0</v>
      </c>
      <c r="O2168">
        <v>0</v>
      </c>
    </row>
    <row r="2169" spans="1:15">
      <c r="A2169" t="s">
        <v>2485</v>
      </c>
      <c r="B2169" t="s">
        <v>2389</v>
      </c>
      <c r="C2169" t="s">
        <v>404</v>
      </c>
      <c r="D2169">
        <v>10</v>
      </c>
      <c r="E2169">
        <v>100</v>
      </c>
      <c r="F2169">
        <v>0</v>
      </c>
      <c r="G2169">
        <v>0</v>
      </c>
      <c r="H2169">
        <v>0</v>
      </c>
      <c r="I2169">
        <v>0</v>
      </c>
      <c r="J2169">
        <v>0</v>
      </c>
      <c r="K2169">
        <v>0</v>
      </c>
      <c r="L2169">
        <v>0</v>
      </c>
      <c r="M2169">
        <v>0</v>
      </c>
      <c r="N2169">
        <v>0</v>
      </c>
      <c r="O2169">
        <v>0</v>
      </c>
    </row>
    <row r="2170" spans="1:15">
      <c r="A2170" t="s">
        <v>2486</v>
      </c>
      <c r="B2170" t="s">
        <v>2389</v>
      </c>
      <c r="C2170" t="s">
        <v>404</v>
      </c>
      <c r="D2170">
        <v>11</v>
      </c>
      <c r="E2170">
        <v>100</v>
      </c>
      <c r="F2170">
        <v>0</v>
      </c>
      <c r="G2170">
        <v>0</v>
      </c>
      <c r="H2170">
        <v>0</v>
      </c>
      <c r="I2170">
        <v>0</v>
      </c>
      <c r="J2170">
        <v>0</v>
      </c>
      <c r="K2170">
        <v>0</v>
      </c>
      <c r="L2170">
        <v>0</v>
      </c>
      <c r="M2170">
        <v>0</v>
      </c>
      <c r="N2170">
        <v>0</v>
      </c>
      <c r="O2170">
        <v>0</v>
      </c>
    </row>
    <row r="2171" spans="1:15">
      <c r="A2171" t="s">
        <v>2487</v>
      </c>
      <c r="B2171" t="s">
        <v>2389</v>
      </c>
      <c r="C2171" t="s">
        <v>404</v>
      </c>
      <c r="D2171">
        <v>12</v>
      </c>
      <c r="E2171">
        <v>100</v>
      </c>
      <c r="F2171">
        <v>0</v>
      </c>
      <c r="G2171">
        <v>0</v>
      </c>
      <c r="H2171">
        <v>0</v>
      </c>
      <c r="I2171">
        <v>0</v>
      </c>
      <c r="J2171">
        <v>0</v>
      </c>
      <c r="K2171">
        <v>0</v>
      </c>
      <c r="L2171">
        <v>0</v>
      </c>
      <c r="M2171">
        <v>0</v>
      </c>
      <c r="N2171">
        <v>0</v>
      </c>
      <c r="O2171">
        <v>0</v>
      </c>
    </row>
    <row r="2172" spans="1:15">
      <c r="A2172" t="s">
        <v>2488</v>
      </c>
      <c r="B2172" t="s">
        <v>2389</v>
      </c>
      <c r="C2172" t="s">
        <v>404</v>
      </c>
      <c r="D2172">
        <v>13</v>
      </c>
      <c r="E2172">
        <v>100</v>
      </c>
      <c r="F2172">
        <v>0</v>
      </c>
      <c r="G2172">
        <v>0</v>
      </c>
      <c r="H2172">
        <v>0</v>
      </c>
      <c r="I2172">
        <v>0</v>
      </c>
      <c r="J2172">
        <v>0</v>
      </c>
      <c r="K2172">
        <v>0</v>
      </c>
      <c r="L2172">
        <v>0</v>
      </c>
      <c r="M2172">
        <v>0</v>
      </c>
      <c r="N2172">
        <v>0</v>
      </c>
      <c r="O2172">
        <v>0</v>
      </c>
    </row>
    <row r="2173" spans="1:15">
      <c r="A2173" t="s">
        <v>2489</v>
      </c>
      <c r="B2173" t="s">
        <v>2389</v>
      </c>
      <c r="C2173" t="s">
        <v>404</v>
      </c>
      <c r="D2173">
        <v>14</v>
      </c>
      <c r="E2173">
        <v>100</v>
      </c>
      <c r="F2173">
        <v>0</v>
      </c>
      <c r="G2173">
        <v>0</v>
      </c>
      <c r="H2173">
        <v>0</v>
      </c>
      <c r="I2173">
        <v>0</v>
      </c>
      <c r="J2173">
        <v>0</v>
      </c>
      <c r="K2173">
        <v>0</v>
      </c>
      <c r="L2173">
        <v>0</v>
      </c>
      <c r="M2173">
        <v>0</v>
      </c>
      <c r="N2173">
        <v>0</v>
      </c>
      <c r="O2173">
        <v>0</v>
      </c>
    </row>
    <row r="2174" spans="1:15">
      <c r="A2174" t="s">
        <v>2490</v>
      </c>
      <c r="B2174" t="s">
        <v>2389</v>
      </c>
      <c r="C2174" t="s">
        <v>404</v>
      </c>
      <c r="D2174">
        <v>15</v>
      </c>
      <c r="E2174">
        <v>100</v>
      </c>
      <c r="F2174">
        <v>0</v>
      </c>
      <c r="G2174">
        <v>0</v>
      </c>
      <c r="H2174">
        <v>0</v>
      </c>
      <c r="I2174">
        <v>0</v>
      </c>
      <c r="J2174">
        <v>0</v>
      </c>
      <c r="K2174">
        <v>0</v>
      </c>
      <c r="L2174">
        <v>0</v>
      </c>
      <c r="M2174">
        <v>0</v>
      </c>
      <c r="N2174">
        <v>0</v>
      </c>
      <c r="O2174">
        <v>0</v>
      </c>
    </row>
    <row r="2175" spans="1:15">
      <c r="A2175" t="s">
        <v>2491</v>
      </c>
      <c r="B2175" t="s">
        <v>2389</v>
      </c>
      <c r="C2175" t="s">
        <v>404</v>
      </c>
      <c r="D2175">
        <v>16</v>
      </c>
      <c r="E2175">
        <v>100</v>
      </c>
      <c r="F2175">
        <v>0</v>
      </c>
      <c r="G2175">
        <v>0</v>
      </c>
      <c r="H2175">
        <v>0</v>
      </c>
      <c r="I2175">
        <v>0</v>
      </c>
      <c r="J2175">
        <v>0</v>
      </c>
      <c r="K2175">
        <v>0</v>
      </c>
      <c r="L2175">
        <v>0</v>
      </c>
      <c r="M2175">
        <v>0</v>
      </c>
      <c r="N2175">
        <v>0</v>
      </c>
      <c r="O2175">
        <v>0</v>
      </c>
    </row>
    <row r="2176" spans="1:15">
      <c r="A2176" t="s">
        <v>2492</v>
      </c>
      <c r="B2176" t="s">
        <v>2389</v>
      </c>
      <c r="C2176" t="s">
        <v>404</v>
      </c>
      <c r="D2176">
        <v>17</v>
      </c>
      <c r="E2176">
        <v>100</v>
      </c>
      <c r="F2176">
        <v>0</v>
      </c>
      <c r="G2176">
        <v>0</v>
      </c>
      <c r="H2176">
        <v>0</v>
      </c>
      <c r="I2176">
        <v>0</v>
      </c>
      <c r="J2176">
        <v>0</v>
      </c>
      <c r="K2176">
        <v>0</v>
      </c>
      <c r="L2176">
        <v>0</v>
      </c>
      <c r="M2176">
        <v>0</v>
      </c>
      <c r="N2176">
        <v>0</v>
      </c>
      <c r="O2176">
        <v>0</v>
      </c>
    </row>
    <row r="2177" spans="1:15">
      <c r="A2177" t="s">
        <v>2493</v>
      </c>
      <c r="B2177" t="s">
        <v>2389</v>
      </c>
      <c r="C2177" t="s">
        <v>404</v>
      </c>
      <c r="D2177">
        <v>18</v>
      </c>
      <c r="E2177">
        <v>100</v>
      </c>
      <c r="F2177">
        <v>0</v>
      </c>
      <c r="G2177">
        <v>0</v>
      </c>
      <c r="H2177">
        <v>0</v>
      </c>
      <c r="I2177">
        <v>0</v>
      </c>
      <c r="J2177">
        <v>0</v>
      </c>
      <c r="K2177">
        <v>0</v>
      </c>
      <c r="L2177">
        <v>0</v>
      </c>
      <c r="M2177">
        <v>0</v>
      </c>
      <c r="N2177">
        <v>0</v>
      </c>
      <c r="O2177">
        <v>0</v>
      </c>
    </row>
    <row r="2178" spans="1:15">
      <c r="A2178" t="s">
        <v>2494</v>
      </c>
      <c r="B2178" t="s">
        <v>2389</v>
      </c>
      <c r="C2178" t="s">
        <v>404</v>
      </c>
      <c r="D2178">
        <v>19</v>
      </c>
      <c r="E2178">
        <v>100</v>
      </c>
      <c r="F2178">
        <v>0</v>
      </c>
      <c r="G2178">
        <v>0</v>
      </c>
      <c r="H2178">
        <v>0</v>
      </c>
      <c r="I2178">
        <v>0</v>
      </c>
      <c r="J2178">
        <v>0</v>
      </c>
      <c r="K2178">
        <v>0</v>
      </c>
      <c r="L2178">
        <v>0</v>
      </c>
      <c r="M2178">
        <v>0</v>
      </c>
      <c r="N2178">
        <v>0</v>
      </c>
      <c r="O2178">
        <v>0</v>
      </c>
    </row>
    <row r="2179" spans="1:15">
      <c r="A2179" t="s">
        <v>2495</v>
      </c>
      <c r="B2179" t="s">
        <v>2389</v>
      </c>
      <c r="C2179" t="s">
        <v>404</v>
      </c>
      <c r="D2179">
        <v>20</v>
      </c>
      <c r="E2179">
        <v>100</v>
      </c>
      <c r="F2179">
        <v>0</v>
      </c>
      <c r="G2179">
        <v>0</v>
      </c>
      <c r="H2179">
        <v>0</v>
      </c>
      <c r="I2179">
        <v>0</v>
      </c>
      <c r="J2179">
        <v>0</v>
      </c>
      <c r="K2179">
        <v>0</v>
      </c>
      <c r="L2179">
        <v>0</v>
      </c>
      <c r="M2179">
        <v>0</v>
      </c>
      <c r="N2179">
        <v>0</v>
      </c>
      <c r="O2179">
        <v>0</v>
      </c>
    </row>
    <row r="2180" spans="1:15">
      <c r="A2180" t="s">
        <v>2496</v>
      </c>
      <c r="B2180" t="s">
        <v>2389</v>
      </c>
      <c r="C2180" t="s">
        <v>404</v>
      </c>
      <c r="D2180">
        <v>21</v>
      </c>
      <c r="E2180">
        <v>100</v>
      </c>
      <c r="F2180">
        <v>0</v>
      </c>
      <c r="G2180">
        <v>0</v>
      </c>
      <c r="H2180">
        <v>0</v>
      </c>
      <c r="I2180">
        <v>0</v>
      </c>
      <c r="J2180">
        <v>0</v>
      </c>
      <c r="K2180">
        <v>0</v>
      </c>
      <c r="L2180">
        <v>0</v>
      </c>
      <c r="M2180">
        <v>0</v>
      </c>
      <c r="N2180">
        <v>0</v>
      </c>
      <c r="O2180">
        <v>0</v>
      </c>
    </row>
    <row r="2181" spans="1:15">
      <c r="A2181" t="s">
        <v>2497</v>
      </c>
      <c r="B2181" t="s">
        <v>2389</v>
      </c>
      <c r="C2181" t="s">
        <v>404</v>
      </c>
      <c r="D2181">
        <v>22</v>
      </c>
      <c r="E2181">
        <v>100</v>
      </c>
      <c r="F2181">
        <v>0</v>
      </c>
      <c r="G2181">
        <v>0</v>
      </c>
      <c r="H2181">
        <v>0</v>
      </c>
      <c r="I2181">
        <v>0</v>
      </c>
      <c r="J2181">
        <v>0</v>
      </c>
      <c r="K2181">
        <v>0</v>
      </c>
      <c r="L2181">
        <v>0</v>
      </c>
      <c r="M2181">
        <v>0</v>
      </c>
      <c r="N2181">
        <v>0</v>
      </c>
      <c r="O2181">
        <v>0</v>
      </c>
    </row>
    <row r="2182" spans="1:15">
      <c r="A2182" t="s">
        <v>2498</v>
      </c>
      <c r="B2182" t="s">
        <v>2389</v>
      </c>
      <c r="C2182" t="s">
        <v>404</v>
      </c>
      <c r="D2182">
        <v>23</v>
      </c>
      <c r="E2182">
        <v>100</v>
      </c>
      <c r="F2182">
        <v>0</v>
      </c>
      <c r="G2182">
        <v>0</v>
      </c>
      <c r="H2182">
        <v>0</v>
      </c>
      <c r="I2182">
        <v>0</v>
      </c>
      <c r="J2182">
        <v>0</v>
      </c>
      <c r="K2182">
        <v>0</v>
      </c>
      <c r="L2182">
        <v>0</v>
      </c>
      <c r="M2182">
        <v>0</v>
      </c>
      <c r="N2182">
        <v>0</v>
      </c>
      <c r="O2182">
        <v>0</v>
      </c>
    </row>
    <row r="2183" spans="1:15">
      <c r="A2183" t="s">
        <v>2499</v>
      </c>
      <c r="B2183" t="s">
        <v>2389</v>
      </c>
      <c r="C2183" t="s">
        <v>404</v>
      </c>
      <c r="D2183">
        <v>24</v>
      </c>
      <c r="E2183">
        <v>100</v>
      </c>
      <c r="F2183">
        <v>0</v>
      </c>
      <c r="G2183">
        <v>0</v>
      </c>
      <c r="H2183">
        <v>0</v>
      </c>
      <c r="I2183">
        <v>0</v>
      </c>
      <c r="J2183">
        <v>0</v>
      </c>
      <c r="K2183">
        <v>0</v>
      </c>
      <c r="L2183">
        <v>0</v>
      </c>
      <c r="M2183">
        <v>0</v>
      </c>
      <c r="N2183">
        <v>0</v>
      </c>
      <c r="O2183">
        <v>0</v>
      </c>
    </row>
    <row r="2184" spans="1:15">
      <c r="A2184" t="s">
        <v>2500</v>
      </c>
      <c r="B2184" t="s">
        <v>2389</v>
      </c>
      <c r="C2184" t="s">
        <v>404</v>
      </c>
      <c r="D2184">
        <v>25</v>
      </c>
      <c r="E2184">
        <v>100</v>
      </c>
      <c r="F2184">
        <v>0</v>
      </c>
      <c r="G2184">
        <v>0</v>
      </c>
      <c r="H2184">
        <v>0</v>
      </c>
      <c r="I2184">
        <v>0</v>
      </c>
      <c r="J2184">
        <v>0</v>
      </c>
      <c r="K2184">
        <v>0</v>
      </c>
      <c r="L2184">
        <v>0</v>
      </c>
      <c r="M2184">
        <v>0</v>
      </c>
      <c r="N2184">
        <v>0</v>
      </c>
      <c r="O2184">
        <v>0</v>
      </c>
    </row>
    <row r="2185" spans="1:15">
      <c r="A2185" t="s">
        <v>2501</v>
      </c>
      <c r="B2185" t="s">
        <v>2389</v>
      </c>
      <c r="C2185" t="s">
        <v>404</v>
      </c>
      <c r="D2185">
        <v>26</v>
      </c>
      <c r="E2185">
        <v>100</v>
      </c>
      <c r="F2185">
        <v>0</v>
      </c>
      <c r="G2185">
        <v>0</v>
      </c>
      <c r="H2185">
        <v>0</v>
      </c>
      <c r="I2185">
        <v>0</v>
      </c>
      <c r="J2185">
        <v>0</v>
      </c>
      <c r="K2185">
        <v>0</v>
      </c>
      <c r="L2185">
        <v>0</v>
      </c>
      <c r="M2185">
        <v>0</v>
      </c>
      <c r="N2185">
        <v>0</v>
      </c>
      <c r="O2185">
        <v>0</v>
      </c>
    </row>
    <row r="2186" spans="1:15">
      <c r="A2186" t="s">
        <v>2502</v>
      </c>
      <c r="B2186" t="s">
        <v>2389</v>
      </c>
      <c r="C2186" t="s">
        <v>404</v>
      </c>
      <c r="D2186">
        <v>27</v>
      </c>
      <c r="E2186">
        <v>100</v>
      </c>
      <c r="F2186">
        <v>0</v>
      </c>
      <c r="G2186">
        <v>0</v>
      </c>
      <c r="H2186">
        <v>0</v>
      </c>
      <c r="I2186">
        <v>0</v>
      </c>
      <c r="J2186">
        <v>0</v>
      </c>
      <c r="K2186">
        <v>0</v>
      </c>
      <c r="L2186">
        <v>0</v>
      </c>
      <c r="M2186">
        <v>0</v>
      </c>
      <c r="N2186">
        <v>0</v>
      </c>
      <c r="O2186">
        <v>0</v>
      </c>
    </row>
    <row r="2187" spans="1:15">
      <c r="A2187" t="s">
        <v>2503</v>
      </c>
      <c r="B2187" t="s">
        <v>2389</v>
      </c>
      <c r="C2187" t="s">
        <v>404</v>
      </c>
      <c r="D2187">
        <v>28</v>
      </c>
      <c r="E2187">
        <v>100</v>
      </c>
      <c r="F2187">
        <v>0</v>
      </c>
      <c r="G2187">
        <v>0</v>
      </c>
      <c r="H2187">
        <v>0</v>
      </c>
      <c r="I2187">
        <v>0</v>
      </c>
      <c r="J2187">
        <v>0</v>
      </c>
      <c r="K2187">
        <v>0</v>
      </c>
      <c r="L2187">
        <v>0</v>
      </c>
      <c r="M2187">
        <v>0</v>
      </c>
      <c r="N2187">
        <v>0</v>
      </c>
      <c r="O2187">
        <v>0</v>
      </c>
    </row>
    <row r="2188" spans="1:15">
      <c r="A2188" t="s">
        <v>2504</v>
      </c>
      <c r="B2188" t="s">
        <v>2389</v>
      </c>
      <c r="C2188" t="s">
        <v>404</v>
      </c>
      <c r="D2188">
        <v>29</v>
      </c>
      <c r="E2188">
        <v>100</v>
      </c>
      <c r="F2188">
        <v>0</v>
      </c>
      <c r="G2188">
        <v>0</v>
      </c>
      <c r="H2188">
        <v>0</v>
      </c>
      <c r="I2188">
        <v>0</v>
      </c>
      <c r="J2188">
        <v>0</v>
      </c>
      <c r="K2188">
        <v>0</v>
      </c>
      <c r="L2188">
        <v>0</v>
      </c>
      <c r="M2188">
        <v>0</v>
      </c>
      <c r="N2188">
        <v>0</v>
      </c>
      <c r="O2188">
        <v>0</v>
      </c>
    </row>
    <row r="2189" spans="1:15">
      <c r="A2189" t="s">
        <v>2505</v>
      </c>
      <c r="B2189" t="s">
        <v>2389</v>
      </c>
      <c r="C2189" t="s">
        <v>404</v>
      </c>
      <c r="D2189">
        <v>30</v>
      </c>
      <c r="E2189">
        <v>100</v>
      </c>
      <c r="F2189">
        <v>0</v>
      </c>
      <c r="G2189">
        <v>0</v>
      </c>
      <c r="H2189">
        <v>0</v>
      </c>
      <c r="I2189">
        <v>0</v>
      </c>
      <c r="J2189">
        <v>0</v>
      </c>
      <c r="K2189">
        <v>0</v>
      </c>
      <c r="L2189">
        <v>0</v>
      </c>
      <c r="M2189">
        <v>0</v>
      </c>
      <c r="N2189">
        <v>0</v>
      </c>
      <c r="O2189">
        <v>0</v>
      </c>
    </row>
    <row r="2190" spans="1:15">
      <c r="A2190" t="s">
        <v>2506</v>
      </c>
      <c r="B2190" t="s">
        <v>2389</v>
      </c>
      <c r="C2190" t="s">
        <v>404</v>
      </c>
      <c r="D2190">
        <v>31</v>
      </c>
      <c r="E2190">
        <v>100</v>
      </c>
      <c r="F2190">
        <v>0</v>
      </c>
      <c r="G2190">
        <v>0</v>
      </c>
      <c r="H2190">
        <v>0</v>
      </c>
      <c r="I2190">
        <v>0</v>
      </c>
      <c r="J2190">
        <v>0</v>
      </c>
      <c r="K2190">
        <v>0</v>
      </c>
      <c r="L2190">
        <v>0</v>
      </c>
      <c r="M2190">
        <v>0</v>
      </c>
      <c r="N2190">
        <v>0</v>
      </c>
      <c r="O2190">
        <v>0</v>
      </c>
    </row>
    <row r="2191" spans="1:15">
      <c r="A2191" t="s">
        <v>2507</v>
      </c>
      <c r="B2191" t="s">
        <v>2389</v>
      </c>
      <c r="C2191" t="s">
        <v>404</v>
      </c>
      <c r="D2191">
        <v>32</v>
      </c>
      <c r="E2191">
        <v>100</v>
      </c>
      <c r="F2191">
        <v>0</v>
      </c>
      <c r="G2191">
        <v>0</v>
      </c>
      <c r="H2191">
        <v>0</v>
      </c>
      <c r="I2191">
        <v>0</v>
      </c>
      <c r="J2191">
        <v>0</v>
      </c>
      <c r="K2191">
        <v>0</v>
      </c>
      <c r="L2191">
        <v>0</v>
      </c>
      <c r="M2191">
        <v>0</v>
      </c>
      <c r="N2191">
        <v>0</v>
      </c>
      <c r="O2191">
        <v>0</v>
      </c>
    </row>
    <row r="2192" spans="1:15">
      <c r="A2192" t="s">
        <v>2508</v>
      </c>
      <c r="B2192" t="s">
        <v>2389</v>
      </c>
      <c r="C2192" t="s">
        <v>404</v>
      </c>
      <c r="D2192">
        <v>33</v>
      </c>
      <c r="E2192">
        <v>100</v>
      </c>
      <c r="F2192">
        <v>0</v>
      </c>
      <c r="G2192">
        <v>0</v>
      </c>
      <c r="H2192">
        <v>0</v>
      </c>
      <c r="I2192">
        <v>0</v>
      </c>
      <c r="J2192">
        <v>0</v>
      </c>
      <c r="K2192">
        <v>0</v>
      </c>
      <c r="L2192">
        <v>0</v>
      </c>
      <c r="M2192">
        <v>0</v>
      </c>
      <c r="N2192">
        <v>0</v>
      </c>
      <c r="O2192">
        <v>0</v>
      </c>
    </row>
    <row r="2193" spans="1:15">
      <c r="A2193" t="s">
        <v>2509</v>
      </c>
      <c r="B2193" t="s">
        <v>2389</v>
      </c>
      <c r="C2193" t="s">
        <v>404</v>
      </c>
      <c r="D2193">
        <v>34</v>
      </c>
      <c r="E2193">
        <v>100</v>
      </c>
      <c r="F2193">
        <v>0</v>
      </c>
      <c r="G2193">
        <v>0</v>
      </c>
      <c r="H2193">
        <v>0</v>
      </c>
      <c r="I2193">
        <v>0</v>
      </c>
      <c r="J2193">
        <v>0</v>
      </c>
      <c r="K2193">
        <v>0</v>
      </c>
      <c r="L2193">
        <v>0</v>
      </c>
      <c r="M2193">
        <v>0</v>
      </c>
      <c r="N2193">
        <v>0</v>
      </c>
      <c r="O2193">
        <v>0</v>
      </c>
    </row>
    <row r="2194" spans="1:15">
      <c r="A2194" t="s">
        <v>2510</v>
      </c>
      <c r="B2194" t="s">
        <v>2389</v>
      </c>
      <c r="C2194" t="s">
        <v>404</v>
      </c>
      <c r="D2194">
        <v>35</v>
      </c>
      <c r="E2194">
        <v>100</v>
      </c>
      <c r="F2194">
        <v>0</v>
      </c>
      <c r="G2194">
        <v>0</v>
      </c>
      <c r="H2194">
        <v>0</v>
      </c>
      <c r="I2194">
        <v>0</v>
      </c>
      <c r="J2194">
        <v>0</v>
      </c>
      <c r="K2194">
        <v>0</v>
      </c>
      <c r="L2194">
        <v>0</v>
      </c>
      <c r="M2194">
        <v>0</v>
      </c>
      <c r="N2194">
        <v>0</v>
      </c>
      <c r="O2194">
        <v>0</v>
      </c>
    </row>
    <row r="2195" spans="1:15">
      <c r="A2195" t="s">
        <v>2511</v>
      </c>
      <c r="B2195" t="s">
        <v>2389</v>
      </c>
      <c r="C2195" t="s">
        <v>404</v>
      </c>
      <c r="D2195">
        <v>36</v>
      </c>
      <c r="E2195">
        <v>100</v>
      </c>
      <c r="F2195">
        <v>0</v>
      </c>
      <c r="G2195">
        <v>0</v>
      </c>
      <c r="H2195">
        <v>0</v>
      </c>
      <c r="I2195">
        <v>0</v>
      </c>
      <c r="J2195">
        <v>0</v>
      </c>
      <c r="K2195">
        <v>0</v>
      </c>
      <c r="L2195">
        <v>0</v>
      </c>
      <c r="M2195">
        <v>0</v>
      </c>
      <c r="N2195">
        <v>0</v>
      </c>
      <c r="O2195">
        <v>0</v>
      </c>
    </row>
    <row r="2196" spans="1:15">
      <c r="A2196" t="s">
        <v>2512</v>
      </c>
      <c r="B2196" t="s">
        <v>2389</v>
      </c>
      <c r="C2196" t="s">
        <v>404</v>
      </c>
      <c r="D2196">
        <v>37</v>
      </c>
      <c r="E2196">
        <v>100</v>
      </c>
      <c r="F2196">
        <v>0</v>
      </c>
      <c r="G2196">
        <v>0</v>
      </c>
      <c r="H2196">
        <v>0</v>
      </c>
      <c r="I2196">
        <v>0</v>
      </c>
      <c r="J2196">
        <v>0</v>
      </c>
      <c r="K2196">
        <v>0</v>
      </c>
      <c r="L2196">
        <v>0</v>
      </c>
      <c r="M2196">
        <v>0</v>
      </c>
      <c r="N2196">
        <v>0</v>
      </c>
      <c r="O2196">
        <v>0</v>
      </c>
    </row>
    <row r="2197" spans="1:15">
      <c r="A2197" t="s">
        <v>2513</v>
      </c>
      <c r="B2197" t="s">
        <v>2389</v>
      </c>
      <c r="C2197" t="s">
        <v>404</v>
      </c>
      <c r="D2197">
        <v>38</v>
      </c>
      <c r="E2197">
        <v>100</v>
      </c>
      <c r="F2197">
        <v>0</v>
      </c>
      <c r="G2197">
        <v>0</v>
      </c>
      <c r="H2197">
        <v>0</v>
      </c>
      <c r="I2197">
        <v>0</v>
      </c>
      <c r="J2197">
        <v>0</v>
      </c>
      <c r="K2197">
        <v>0</v>
      </c>
      <c r="L2197">
        <v>0</v>
      </c>
      <c r="M2197">
        <v>0</v>
      </c>
      <c r="N2197">
        <v>0</v>
      </c>
      <c r="O2197">
        <v>0</v>
      </c>
    </row>
    <row r="2198" spans="1:15">
      <c r="A2198" t="s">
        <v>2514</v>
      </c>
      <c r="B2198" t="s">
        <v>2389</v>
      </c>
      <c r="C2198" t="s">
        <v>404</v>
      </c>
      <c r="D2198">
        <v>39</v>
      </c>
      <c r="E2198">
        <v>100</v>
      </c>
      <c r="F2198">
        <v>0</v>
      </c>
      <c r="G2198">
        <v>0</v>
      </c>
      <c r="H2198">
        <v>0</v>
      </c>
      <c r="I2198">
        <v>0</v>
      </c>
      <c r="J2198">
        <v>0</v>
      </c>
      <c r="K2198">
        <v>0</v>
      </c>
      <c r="L2198">
        <v>0</v>
      </c>
      <c r="M2198">
        <v>0</v>
      </c>
      <c r="N2198">
        <v>0</v>
      </c>
      <c r="O2198">
        <v>0</v>
      </c>
    </row>
    <row r="2199" spans="1:15">
      <c r="A2199" t="s">
        <v>2515</v>
      </c>
      <c r="B2199" t="s">
        <v>2389</v>
      </c>
      <c r="C2199" t="s">
        <v>404</v>
      </c>
      <c r="D2199">
        <v>40</v>
      </c>
      <c r="E2199">
        <v>100</v>
      </c>
      <c r="F2199">
        <v>0</v>
      </c>
      <c r="G2199">
        <v>0</v>
      </c>
      <c r="H2199">
        <v>0</v>
      </c>
      <c r="I2199">
        <v>0</v>
      </c>
      <c r="J2199">
        <v>0</v>
      </c>
      <c r="K2199">
        <v>0</v>
      </c>
      <c r="L2199">
        <v>0</v>
      </c>
      <c r="M2199">
        <v>0</v>
      </c>
      <c r="N2199">
        <v>0</v>
      </c>
      <c r="O2199">
        <v>0</v>
      </c>
    </row>
    <row r="2200" spans="1:15">
      <c r="A2200" t="s">
        <v>2516</v>
      </c>
      <c r="B2200" t="s">
        <v>2389</v>
      </c>
      <c r="C2200" t="s">
        <v>404</v>
      </c>
      <c r="D2200">
        <v>41</v>
      </c>
      <c r="E2200">
        <v>100</v>
      </c>
      <c r="F2200">
        <v>0</v>
      </c>
      <c r="G2200">
        <v>0</v>
      </c>
      <c r="H2200">
        <v>0</v>
      </c>
      <c r="I2200">
        <v>0</v>
      </c>
      <c r="J2200">
        <v>0</v>
      </c>
      <c r="K2200">
        <v>0</v>
      </c>
      <c r="L2200">
        <v>0</v>
      </c>
      <c r="M2200">
        <v>0</v>
      </c>
      <c r="N2200">
        <v>0</v>
      </c>
      <c r="O2200">
        <v>0</v>
      </c>
    </row>
    <row r="2201" spans="1:15">
      <c r="A2201" t="s">
        <v>2517</v>
      </c>
      <c r="B2201" t="s">
        <v>2389</v>
      </c>
      <c r="C2201" t="s">
        <v>404</v>
      </c>
      <c r="D2201">
        <v>42</v>
      </c>
      <c r="E2201">
        <v>100</v>
      </c>
      <c r="F2201">
        <v>0</v>
      </c>
      <c r="G2201">
        <v>0</v>
      </c>
      <c r="H2201">
        <v>0</v>
      </c>
      <c r="I2201">
        <v>0</v>
      </c>
      <c r="J2201">
        <v>0</v>
      </c>
      <c r="K2201">
        <v>0</v>
      </c>
      <c r="L2201">
        <v>0</v>
      </c>
      <c r="M2201">
        <v>0</v>
      </c>
      <c r="N2201">
        <v>0</v>
      </c>
      <c r="O2201">
        <v>0</v>
      </c>
    </row>
    <row r="2202" spans="1:15">
      <c r="A2202" t="s">
        <v>2518</v>
      </c>
      <c r="B2202" t="s">
        <v>2389</v>
      </c>
      <c r="C2202" t="s">
        <v>404</v>
      </c>
      <c r="D2202">
        <v>43</v>
      </c>
      <c r="E2202">
        <v>100</v>
      </c>
      <c r="F2202">
        <v>0</v>
      </c>
      <c r="G2202">
        <v>0</v>
      </c>
      <c r="H2202">
        <v>0</v>
      </c>
      <c r="I2202">
        <v>0</v>
      </c>
      <c r="J2202">
        <v>0</v>
      </c>
      <c r="K2202">
        <v>0</v>
      </c>
      <c r="L2202">
        <v>0</v>
      </c>
      <c r="M2202">
        <v>0</v>
      </c>
      <c r="N2202">
        <v>0</v>
      </c>
      <c r="O2202">
        <v>0</v>
      </c>
    </row>
    <row r="2203" spans="1:15">
      <c r="A2203" t="s">
        <v>2519</v>
      </c>
      <c r="B2203" t="s">
        <v>2389</v>
      </c>
      <c r="C2203" t="s">
        <v>404</v>
      </c>
      <c r="D2203">
        <v>44</v>
      </c>
      <c r="E2203">
        <v>100</v>
      </c>
      <c r="F2203">
        <v>0</v>
      </c>
      <c r="G2203">
        <v>0</v>
      </c>
      <c r="H2203">
        <v>0</v>
      </c>
      <c r="I2203">
        <v>0</v>
      </c>
      <c r="J2203">
        <v>0</v>
      </c>
      <c r="K2203">
        <v>0</v>
      </c>
      <c r="L2203">
        <v>0</v>
      </c>
      <c r="M2203">
        <v>0</v>
      </c>
      <c r="N2203">
        <v>0</v>
      </c>
      <c r="O2203">
        <v>0</v>
      </c>
    </row>
    <row r="2204" spans="1:15">
      <c r="A2204" t="s">
        <v>2520</v>
      </c>
      <c r="B2204" t="s">
        <v>2389</v>
      </c>
      <c r="C2204" t="s">
        <v>404</v>
      </c>
      <c r="D2204">
        <v>45</v>
      </c>
      <c r="E2204">
        <v>100</v>
      </c>
      <c r="F2204">
        <v>0</v>
      </c>
      <c r="G2204">
        <v>0</v>
      </c>
      <c r="H2204">
        <v>0</v>
      </c>
      <c r="I2204">
        <v>0</v>
      </c>
      <c r="J2204">
        <v>0</v>
      </c>
      <c r="K2204">
        <v>0</v>
      </c>
      <c r="L2204">
        <v>0</v>
      </c>
      <c r="M2204">
        <v>0</v>
      </c>
      <c r="N2204">
        <v>0</v>
      </c>
      <c r="O2204">
        <v>0</v>
      </c>
    </row>
    <row r="2205" spans="1:15">
      <c r="A2205" t="s">
        <v>2521</v>
      </c>
      <c r="B2205" t="s">
        <v>2389</v>
      </c>
      <c r="C2205" t="s">
        <v>404</v>
      </c>
      <c r="D2205">
        <v>46</v>
      </c>
      <c r="E2205">
        <v>100</v>
      </c>
      <c r="F2205">
        <v>0</v>
      </c>
      <c r="G2205">
        <v>0</v>
      </c>
      <c r="H2205">
        <v>0</v>
      </c>
      <c r="I2205">
        <v>0</v>
      </c>
      <c r="J2205">
        <v>0</v>
      </c>
      <c r="K2205">
        <v>0</v>
      </c>
      <c r="L2205">
        <v>0</v>
      </c>
      <c r="M2205">
        <v>0</v>
      </c>
      <c r="N2205">
        <v>0</v>
      </c>
      <c r="O2205">
        <v>0</v>
      </c>
    </row>
    <row r="2206" spans="1:15">
      <c r="A2206" t="s">
        <v>2522</v>
      </c>
      <c r="B2206" t="s">
        <v>2389</v>
      </c>
      <c r="C2206" t="s">
        <v>404</v>
      </c>
      <c r="D2206">
        <v>47</v>
      </c>
      <c r="E2206">
        <v>100</v>
      </c>
      <c r="F2206">
        <v>0</v>
      </c>
      <c r="G2206">
        <v>0</v>
      </c>
      <c r="H2206">
        <v>0</v>
      </c>
      <c r="I2206">
        <v>0</v>
      </c>
      <c r="J2206">
        <v>0</v>
      </c>
      <c r="K2206">
        <v>0</v>
      </c>
      <c r="L2206">
        <v>0</v>
      </c>
      <c r="M2206">
        <v>0</v>
      </c>
      <c r="N2206">
        <v>0</v>
      </c>
      <c r="O2206">
        <v>0</v>
      </c>
    </row>
    <row r="2207" spans="1:15">
      <c r="A2207" t="s">
        <v>2523</v>
      </c>
      <c r="B2207" t="s">
        <v>2389</v>
      </c>
      <c r="C2207" t="s">
        <v>404</v>
      </c>
      <c r="D2207">
        <v>48</v>
      </c>
      <c r="E2207">
        <v>100</v>
      </c>
      <c r="F2207">
        <v>0</v>
      </c>
      <c r="G2207">
        <v>0</v>
      </c>
      <c r="H2207">
        <v>0</v>
      </c>
      <c r="I2207">
        <v>0</v>
      </c>
      <c r="J2207">
        <v>0</v>
      </c>
      <c r="K2207">
        <v>0</v>
      </c>
      <c r="L2207">
        <v>0</v>
      </c>
      <c r="M2207">
        <v>0</v>
      </c>
      <c r="N2207">
        <v>0</v>
      </c>
      <c r="O2207">
        <v>0</v>
      </c>
    </row>
    <row r="2208" spans="1:15">
      <c r="A2208" t="s">
        <v>2524</v>
      </c>
      <c r="B2208" t="s">
        <v>2389</v>
      </c>
      <c r="C2208" t="s">
        <v>404</v>
      </c>
      <c r="D2208">
        <v>49</v>
      </c>
      <c r="E2208">
        <v>100</v>
      </c>
      <c r="F2208">
        <v>0</v>
      </c>
      <c r="G2208">
        <v>0</v>
      </c>
      <c r="H2208">
        <v>0</v>
      </c>
      <c r="I2208">
        <v>0</v>
      </c>
      <c r="J2208">
        <v>0</v>
      </c>
      <c r="K2208">
        <v>0</v>
      </c>
      <c r="L2208">
        <v>0</v>
      </c>
      <c r="M2208">
        <v>0</v>
      </c>
      <c r="N2208">
        <v>0</v>
      </c>
      <c r="O2208">
        <v>0</v>
      </c>
    </row>
    <row r="2209" spans="1:15">
      <c r="A2209" t="s">
        <v>2525</v>
      </c>
      <c r="B2209" t="s">
        <v>2389</v>
      </c>
      <c r="C2209" t="s">
        <v>404</v>
      </c>
      <c r="D2209">
        <v>50</v>
      </c>
      <c r="E2209">
        <v>100</v>
      </c>
      <c r="F2209">
        <v>0</v>
      </c>
      <c r="G2209">
        <v>0</v>
      </c>
      <c r="H2209">
        <v>0</v>
      </c>
      <c r="I2209">
        <v>0</v>
      </c>
      <c r="J2209">
        <v>0</v>
      </c>
      <c r="K2209">
        <v>0</v>
      </c>
      <c r="L2209">
        <v>0</v>
      </c>
      <c r="M2209">
        <v>0</v>
      </c>
      <c r="N2209">
        <v>0</v>
      </c>
      <c r="O2209">
        <v>0</v>
      </c>
    </row>
    <row r="2210" spans="1:15">
      <c r="A2210" t="s">
        <v>2526</v>
      </c>
      <c r="B2210" t="s">
        <v>2389</v>
      </c>
      <c r="C2210" t="s">
        <v>404</v>
      </c>
      <c r="D2210">
        <v>51</v>
      </c>
      <c r="E2210">
        <v>100</v>
      </c>
      <c r="F2210">
        <v>0</v>
      </c>
      <c r="G2210">
        <v>0</v>
      </c>
      <c r="H2210">
        <v>0</v>
      </c>
      <c r="I2210">
        <v>0</v>
      </c>
      <c r="J2210">
        <v>0</v>
      </c>
      <c r="K2210">
        <v>0</v>
      </c>
      <c r="L2210">
        <v>0</v>
      </c>
      <c r="M2210">
        <v>0</v>
      </c>
      <c r="N2210">
        <v>0</v>
      </c>
      <c r="O2210">
        <v>0</v>
      </c>
    </row>
    <row r="2211" spans="1:15">
      <c r="A2211" t="s">
        <v>2527</v>
      </c>
      <c r="B2211" t="s">
        <v>2389</v>
      </c>
      <c r="C2211" t="s">
        <v>404</v>
      </c>
      <c r="D2211">
        <v>52</v>
      </c>
      <c r="E2211">
        <v>100</v>
      </c>
      <c r="F2211">
        <v>0</v>
      </c>
      <c r="G2211">
        <v>0</v>
      </c>
      <c r="H2211">
        <v>0</v>
      </c>
      <c r="I2211">
        <v>0</v>
      </c>
      <c r="J2211">
        <v>0</v>
      </c>
      <c r="K2211">
        <v>0</v>
      </c>
      <c r="L2211">
        <v>0</v>
      </c>
      <c r="M2211">
        <v>0</v>
      </c>
      <c r="N2211">
        <v>0</v>
      </c>
      <c r="O2211">
        <v>0</v>
      </c>
    </row>
    <row r="2212" spans="1:15">
      <c r="A2212" t="s">
        <v>2528</v>
      </c>
      <c r="B2212" t="s">
        <v>2389</v>
      </c>
      <c r="C2212" t="s">
        <v>404</v>
      </c>
      <c r="D2212">
        <v>53</v>
      </c>
      <c r="E2212">
        <v>100</v>
      </c>
      <c r="F2212">
        <v>0</v>
      </c>
      <c r="G2212">
        <v>0</v>
      </c>
      <c r="H2212">
        <v>0</v>
      </c>
      <c r="I2212">
        <v>0</v>
      </c>
      <c r="J2212">
        <v>0</v>
      </c>
      <c r="K2212">
        <v>0</v>
      </c>
      <c r="L2212">
        <v>0</v>
      </c>
      <c r="M2212">
        <v>0</v>
      </c>
      <c r="N2212">
        <v>0</v>
      </c>
      <c r="O2212">
        <v>0</v>
      </c>
    </row>
    <row r="2213" spans="1:15">
      <c r="A2213" t="s">
        <v>2529</v>
      </c>
      <c r="B2213" t="s">
        <v>2389</v>
      </c>
      <c r="C2213" t="s">
        <v>404</v>
      </c>
      <c r="D2213">
        <v>54</v>
      </c>
      <c r="E2213">
        <v>100</v>
      </c>
      <c r="F2213">
        <v>0</v>
      </c>
      <c r="G2213">
        <v>0</v>
      </c>
      <c r="H2213">
        <v>0</v>
      </c>
      <c r="I2213">
        <v>0</v>
      </c>
      <c r="J2213">
        <v>0</v>
      </c>
      <c r="K2213">
        <v>0</v>
      </c>
      <c r="L2213">
        <v>0</v>
      </c>
      <c r="M2213">
        <v>0</v>
      </c>
      <c r="N2213">
        <v>0</v>
      </c>
      <c r="O2213">
        <v>0</v>
      </c>
    </row>
    <row r="2214" spans="1:15">
      <c r="A2214" t="s">
        <v>2530</v>
      </c>
      <c r="B2214" t="s">
        <v>2389</v>
      </c>
      <c r="C2214" t="s">
        <v>404</v>
      </c>
      <c r="D2214">
        <v>55</v>
      </c>
      <c r="E2214">
        <v>100</v>
      </c>
      <c r="F2214">
        <v>0</v>
      </c>
      <c r="G2214">
        <v>0</v>
      </c>
      <c r="H2214">
        <v>0</v>
      </c>
      <c r="I2214">
        <v>0</v>
      </c>
      <c r="J2214">
        <v>0</v>
      </c>
      <c r="K2214">
        <v>0</v>
      </c>
      <c r="L2214">
        <v>0</v>
      </c>
      <c r="M2214">
        <v>0</v>
      </c>
      <c r="N2214">
        <v>0</v>
      </c>
      <c r="O2214">
        <v>0</v>
      </c>
    </row>
    <row r="2215" spans="1:15">
      <c r="A2215" t="s">
        <v>2531</v>
      </c>
      <c r="B2215" t="s">
        <v>2389</v>
      </c>
      <c r="C2215" t="s">
        <v>404</v>
      </c>
      <c r="D2215">
        <v>56</v>
      </c>
      <c r="E2215">
        <v>100</v>
      </c>
      <c r="F2215">
        <v>0</v>
      </c>
      <c r="G2215">
        <v>0</v>
      </c>
      <c r="H2215">
        <v>0</v>
      </c>
      <c r="I2215">
        <v>0</v>
      </c>
      <c r="J2215">
        <v>0</v>
      </c>
      <c r="K2215">
        <v>0</v>
      </c>
      <c r="L2215">
        <v>0</v>
      </c>
      <c r="M2215">
        <v>0</v>
      </c>
      <c r="N2215">
        <v>0</v>
      </c>
      <c r="O2215">
        <v>0</v>
      </c>
    </row>
    <row r="2216" spans="1:15">
      <c r="A2216" t="s">
        <v>2532</v>
      </c>
      <c r="B2216" t="s">
        <v>2389</v>
      </c>
      <c r="C2216" t="s">
        <v>404</v>
      </c>
      <c r="D2216">
        <v>57</v>
      </c>
      <c r="E2216">
        <v>100</v>
      </c>
      <c r="F2216">
        <v>0</v>
      </c>
      <c r="G2216">
        <v>0</v>
      </c>
      <c r="H2216">
        <v>0</v>
      </c>
      <c r="I2216">
        <v>0</v>
      </c>
      <c r="J2216">
        <v>0</v>
      </c>
      <c r="K2216">
        <v>0</v>
      </c>
      <c r="L2216">
        <v>0</v>
      </c>
      <c r="M2216">
        <v>0</v>
      </c>
      <c r="N2216">
        <v>0</v>
      </c>
      <c r="O2216">
        <v>0</v>
      </c>
    </row>
    <row r="2217" spans="1:15">
      <c r="A2217" t="s">
        <v>2533</v>
      </c>
      <c r="B2217" t="s">
        <v>2389</v>
      </c>
      <c r="C2217" t="s">
        <v>404</v>
      </c>
      <c r="D2217">
        <v>58</v>
      </c>
      <c r="E2217">
        <v>100</v>
      </c>
      <c r="F2217">
        <v>0</v>
      </c>
      <c r="G2217">
        <v>0</v>
      </c>
      <c r="H2217">
        <v>0</v>
      </c>
      <c r="I2217">
        <v>0</v>
      </c>
      <c r="J2217">
        <v>0</v>
      </c>
      <c r="K2217">
        <v>0</v>
      </c>
      <c r="L2217">
        <v>0</v>
      </c>
      <c r="M2217">
        <v>0</v>
      </c>
      <c r="N2217">
        <v>0</v>
      </c>
      <c r="O2217">
        <v>0</v>
      </c>
    </row>
    <row r="2218" spans="1:15">
      <c r="A2218" t="s">
        <v>2534</v>
      </c>
      <c r="B2218" t="s">
        <v>2389</v>
      </c>
      <c r="C2218" t="s">
        <v>404</v>
      </c>
      <c r="D2218">
        <v>59</v>
      </c>
      <c r="E2218">
        <v>100</v>
      </c>
      <c r="F2218">
        <v>0</v>
      </c>
      <c r="G2218">
        <v>0</v>
      </c>
      <c r="H2218">
        <v>0</v>
      </c>
      <c r="I2218">
        <v>0</v>
      </c>
      <c r="J2218">
        <v>0</v>
      </c>
      <c r="K2218">
        <v>0</v>
      </c>
      <c r="L2218">
        <v>0</v>
      </c>
      <c r="M2218">
        <v>0</v>
      </c>
      <c r="N2218">
        <v>0</v>
      </c>
      <c r="O2218">
        <v>0</v>
      </c>
    </row>
    <row r="2219" spans="1:15">
      <c r="A2219" t="s">
        <v>2535</v>
      </c>
      <c r="B2219" t="s">
        <v>2389</v>
      </c>
      <c r="C2219" t="s">
        <v>404</v>
      </c>
      <c r="D2219">
        <v>60</v>
      </c>
      <c r="E2219">
        <v>100</v>
      </c>
      <c r="F2219">
        <v>0</v>
      </c>
      <c r="G2219">
        <v>0</v>
      </c>
      <c r="H2219">
        <v>0</v>
      </c>
      <c r="I2219">
        <v>0</v>
      </c>
      <c r="J2219">
        <v>0</v>
      </c>
      <c r="K2219">
        <v>0</v>
      </c>
      <c r="L2219">
        <v>0</v>
      </c>
      <c r="M2219">
        <v>0</v>
      </c>
      <c r="N2219">
        <v>0</v>
      </c>
      <c r="O2219">
        <v>0</v>
      </c>
    </row>
    <row r="2220" spans="1:15">
      <c r="A2220" t="s">
        <v>2536</v>
      </c>
      <c r="B2220" t="s">
        <v>2389</v>
      </c>
      <c r="C2220" t="s">
        <v>404</v>
      </c>
      <c r="D2220">
        <v>61</v>
      </c>
      <c r="E2220">
        <v>100</v>
      </c>
      <c r="F2220">
        <v>0</v>
      </c>
      <c r="G2220">
        <v>0</v>
      </c>
      <c r="H2220">
        <v>0</v>
      </c>
      <c r="I2220">
        <v>0</v>
      </c>
      <c r="J2220">
        <v>0</v>
      </c>
      <c r="K2220">
        <v>0</v>
      </c>
      <c r="L2220">
        <v>0</v>
      </c>
      <c r="M2220">
        <v>0</v>
      </c>
      <c r="N2220">
        <v>0</v>
      </c>
      <c r="O2220">
        <v>0</v>
      </c>
    </row>
    <row r="2221" spans="1:15">
      <c r="A2221" t="s">
        <v>2537</v>
      </c>
      <c r="B2221" t="s">
        <v>2389</v>
      </c>
      <c r="C2221" t="s">
        <v>404</v>
      </c>
      <c r="D2221">
        <v>62</v>
      </c>
      <c r="E2221">
        <v>100</v>
      </c>
      <c r="F2221">
        <v>0</v>
      </c>
      <c r="G2221">
        <v>0</v>
      </c>
      <c r="H2221">
        <v>0</v>
      </c>
      <c r="I2221">
        <v>0</v>
      </c>
      <c r="J2221">
        <v>0</v>
      </c>
      <c r="K2221">
        <v>0</v>
      </c>
      <c r="L2221">
        <v>0</v>
      </c>
      <c r="M2221">
        <v>0</v>
      </c>
      <c r="N2221">
        <v>0</v>
      </c>
      <c r="O2221">
        <v>0</v>
      </c>
    </row>
    <row r="2222" spans="1:15">
      <c r="A2222" t="s">
        <v>2538</v>
      </c>
      <c r="B2222" t="s">
        <v>2389</v>
      </c>
      <c r="C2222" t="s">
        <v>404</v>
      </c>
      <c r="D2222">
        <v>63</v>
      </c>
      <c r="E2222">
        <v>100</v>
      </c>
      <c r="F2222">
        <v>0</v>
      </c>
      <c r="G2222">
        <v>0</v>
      </c>
      <c r="H2222">
        <v>0</v>
      </c>
      <c r="I2222">
        <v>0</v>
      </c>
      <c r="J2222">
        <v>0</v>
      </c>
      <c r="K2222">
        <v>0</v>
      </c>
      <c r="L2222">
        <v>0</v>
      </c>
      <c r="M2222">
        <v>0</v>
      </c>
      <c r="N2222">
        <v>0</v>
      </c>
      <c r="O2222">
        <v>0</v>
      </c>
    </row>
    <row r="2223" spans="1:15">
      <c r="A2223" t="s">
        <v>2539</v>
      </c>
      <c r="B2223" t="s">
        <v>2389</v>
      </c>
      <c r="C2223" t="s">
        <v>404</v>
      </c>
      <c r="D2223">
        <v>64</v>
      </c>
      <c r="E2223">
        <v>100</v>
      </c>
      <c r="F2223">
        <v>0</v>
      </c>
      <c r="G2223">
        <v>0</v>
      </c>
      <c r="H2223">
        <v>0</v>
      </c>
      <c r="I2223">
        <v>0</v>
      </c>
      <c r="J2223">
        <v>0</v>
      </c>
      <c r="K2223">
        <v>0</v>
      </c>
      <c r="L2223">
        <v>0</v>
      </c>
      <c r="M2223">
        <v>0</v>
      </c>
      <c r="N2223">
        <v>0</v>
      </c>
      <c r="O2223">
        <v>0</v>
      </c>
    </row>
    <row r="2224" spans="1:15">
      <c r="A2224" t="s">
        <v>2540</v>
      </c>
      <c r="B2224" t="s">
        <v>2389</v>
      </c>
      <c r="C2224" t="s">
        <v>404</v>
      </c>
      <c r="D2224">
        <v>65</v>
      </c>
      <c r="E2224">
        <v>100</v>
      </c>
      <c r="F2224">
        <v>0</v>
      </c>
      <c r="G2224">
        <v>0</v>
      </c>
      <c r="H2224">
        <v>0</v>
      </c>
      <c r="I2224">
        <v>0</v>
      </c>
      <c r="J2224">
        <v>0</v>
      </c>
      <c r="K2224">
        <v>0</v>
      </c>
      <c r="L2224">
        <v>0</v>
      </c>
      <c r="M2224">
        <v>0</v>
      </c>
      <c r="N2224">
        <v>0</v>
      </c>
      <c r="O2224">
        <v>0</v>
      </c>
    </row>
    <row r="2225" spans="1:15">
      <c r="A2225" t="s">
        <v>2541</v>
      </c>
      <c r="B2225" t="s">
        <v>2389</v>
      </c>
      <c r="C2225" t="s">
        <v>404</v>
      </c>
      <c r="D2225">
        <v>66</v>
      </c>
      <c r="E2225">
        <v>100</v>
      </c>
      <c r="F2225">
        <v>0</v>
      </c>
      <c r="G2225">
        <v>0</v>
      </c>
      <c r="H2225">
        <v>0</v>
      </c>
      <c r="I2225">
        <v>0</v>
      </c>
      <c r="J2225">
        <v>0</v>
      </c>
      <c r="K2225">
        <v>0</v>
      </c>
      <c r="L2225">
        <v>0</v>
      </c>
      <c r="M2225">
        <v>0</v>
      </c>
      <c r="N2225">
        <v>0</v>
      </c>
      <c r="O2225">
        <v>0</v>
      </c>
    </row>
    <row r="2226" spans="1:15">
      <c r="A2226" t="s">
        <v>2542</v>
      </c>
      <c r="B2226" t="s">
        <v>2389</v>
      </c>
      <c r="C2226" t="s">
        <v>404</v>
      </c>
      <c r="D2226">
        <v>67</v>
      </c>
      <c r="E2226">
        <v>100</v>
      </c>
      <c r="F2226">
        <v>0</v>
      </c>
      <c r="G2226">
        <v>0</v>
      </c>
      <c r="H2226">
        <v>0</v>
      </c>
      <c r="I2226">
        <v>0</v>
      </c>
      <c r="J2226">
        <v>0</v>
      </c>
      <c r="K2226">
        <v>0</v>
      </c>
      <c r="L2226">
        <v>0</v>
      </c>
      <c r="M2226">
        <v>0</v>
      </c>
      <c r="N2226">
        <v>0</v>
      </c>
      <c r="O2226">
        <v>0</v>
      </c>
    </row>
    <row r="2227" spans="1:15">
      <c r="A2227" t="s">
        <v>2543</v>
      </c>
      <c r="B2227" t="s">
        <v>2389</v>
      </c>
      <c r="C2227" t="s">
        <v>404</v>
      </c>
      <c r="D2227">
        <v>68</v>
      </c>
      <c r="E2227">
        <v>100</v>
      </c>
      <c r="F2227">
        <v>0</v>
      </c>
      <c r="G2227">
        <v>0</v>
      </c>
      <c r="H2227">
        <v>0</v>
      </c>
      <c r="I2227">
        <v>0</v>
      </c>
      <c r="J2227">
        <v>0</v>
      </c>
      <c r="K2227">
        <v>0</v>
      </c>
      <c r="L2227">
        <v>0</v>
      </c>
      <c r="M2227">
        <v>0</v>
      </c>
      <c r="N2227">
        <v>0</v>
      </c>
      <c r="O2227">
        <v>0</v>
      </c>
    </row>
    <row r="2228" spans="1:15">
      <c r="A2228" t="s">
        <v>2544</v>
      </c>
      <c r="B2228" t="s">
        <v>2389</v>
      </c>
      <c r="C2228" t="s">
        <v>404</v>
      </c>
      <c r="D2228">
        <v>69</v>
      </c>
      <c r="E2228">
        <v>100</v>
      </c>
      <c r="F2228">
        <v>0</v>
      </c>
      <c r="G2228">
        <v>0</v>
      </c>
      <c r="H2228">
        <v>0</v>
      </c>
      <c r="I2228">
        <v>0</v>
      </c>
      <c r="J2228">
        <v>0</v>
      </c>
      <c r="K2228">
        <v>0</v>
      </c>
      <c r="L2228">
        <v>0</v>
      </c>
      <c r="M2228">
        <v>0</v>
      </c>
      <c r="N2228">
        <v>0</v>
      </c>
      <c r="O2228">
        <v>0</v>
      </c>
    </row>
    <row r="2229" spans="1:15">
      <c r="A2229" t="s">
        <v>2545</v>
      </c>
      <c r="B2229" t="s">
        <v>2389</v>
      </c>
      <c r="C2229" t="s">
        <v>404</v>
      </c>
      <c r="D2229">
        <v>70</v>
      </c>
      <c r="E2229">
        <v>100</v>
      </c>
      <c r="F2229">
        <v>0</v>
      </c>
      <c r="G2229">
        <v>0</v>
      </c>
      <c r="H2229">
        <v>0</v>
      </c>
      <c r="I2229">
        <v>0</v>
      </c>
      <c r="J2229">
        <v>0</v>
      </c>
      <c r="K2229">
        <v>0</v>
      </c>
      <c r="L2229">
        <v>0</v>
      </c>
      <c r="M2229">
        <v>0</v>
      </c>
      <c r="N2229">
        <v>0</v>
      </c>
      <c r="O2229">
        <v>0</v>
      </c>
    </row>
    <row r="2230" spans="1:15">
      <c r="A2230" t="s">
        <v>2546</v>
      </c>
      <c r="B2230" t="s">
        <v>2389</v>
      </c>
      <c r="C2230" t="s">
        <v>404</v>
      </c>
      <c r="D2230">
        <v>71</v>
      </c>
      <c r="E2230">
        <v>100</v>
      </c>
      <c r="F2230">
        <v>0</v>
      </c>
      <c r="G2230">
        <v>0</v>
      </c>
      <c r="H2230">
        <v>0</v>
      </c>
      <c r="I2230">
        <v>0</v>
      </c>
      <c r="J2230">
        <v>0</v>
      </c>
      <c r="K2230">
        <v>0</v>
      </c>
      <c r="L2230">
        <v>0</v>
      </c>
      <c r="M2230">
        <v>0</v>
      </c>
      <c r="N2230">
        <v>0</v>
      </c>
      <c r="O2230">
        <v>0</v>
      </c>
    </row>
    <row r="2231" spans="1:15">
      <c r="A2231" t="s">
        <v>2547</v>
      </c>
      <c r="B2231" t="s">
        <v>2389</v>
      </c>
      <c r="C2231" t="s">
        <v>404</v>
      </c>
      <c r="D2231">
        <v>72</v>
      </c>
      <c r="E2231">
        <v>100</v>
      </c>
      <c r="F2231">
        <v>0</v>
      </c>
      <c r="G2231">
        <v>0</v>
      </c>
      <c r="H2231">
        <v>0</v>
      </c>
      <c r="I2231">
        <v>0</v>
      </c>
      <c r="J2231">
        <v>0</v>
      </c>
      <c r="K2231">
        <v>0</v>
      </c>
      <c r="L2231">
        <v>0</v>
      </c>
      <c r="M2231">
        <v>0</v>
      </c>
      <c r="N2231">
        <v>0</v>
      </c>
      <c r="O2231">
        <v>0</v>
      </c>
    </row>
    <row r="2232" spans="1:15">
      <c r="A2232" t="s">
        <v>2548</v>
      </c>
      <c r="B2232" t="s">
        <v>2389</v>
      </c>
      <c r="C2232" t="s">
        <v>404</v>
      </c>
      <c r="D2232">
        <v>73</v>
      </c>
      <c r="E2232">
        <v>100</v>
      </c>
      <c r="F2232">
        <v>0</v>
      </c>
      <c r="G2232">
        <v>0</v>
      </c>
      <c r="H2232">
        <v>0</v>
      </c>
      <c r="I2232">
        <v>0</v>
      </c>
      <c r="J2232">
        <v>0</v>
      </c>
      <c r="K2232">
        <v>0</v>
      </c>
      <c r="L2232">
        <v>0</v>
      </c>
      <c r="M2232">
        <v>0</v>
      </c>
      <c r="N2232">
        <v>0</v>
      </c>
      <c r="O2232">
        <v>0</v>
      </c>
    </row>
    <row r="2233" spans="1:15">
      <c r="A2233" t="s">
        <v>2549</v>
      </c>
      <c r="B2233" t="s">
        <v>2389</v>
      </c>
      <c r="C2233" t="s">
        <v>404</v>
      </c>
      <c r="D2233">
        <v>74</v>
      </c>
      <c r="E2233">
        <v>100</v>
      </c>
      <c r="F2233">
        <v>0</v>
      </c>
      <c r="G2233">
        <v>0</v>
      </c>
      <c r="H2233">
        <v>0</v>
      </c>
      <c r="I2233">
        <v>0</v>
      </c>
      <c r="J2233">
        <v>0</v>
      </c>
      <c r="K2233">
        <v>0</v>
      </c>
      <c r="L2233">
        <v>0</v>
      </c>
      <c r="M2233">
        <v>0</v>
      </c>
      <c r="N2233">
        <v>0</v>
      </c>
      <c r="O2233">
        <v>0</v>
      </c>
    </row>
    <row r="2234" spans="1:15">
      <c r="A2234" t="s">
        <v>2550</v>
      </c>
      <c r="B2234" t="s">
        <v>2389</v>
      </c>
      <c r="C2234" t="s">
        <v>404</v>
      </c>
      <c r="D2234">
        <v>75</v>
      </c>
      <c r="E2234">
        <v>100</v>
      </c>
      <c r="F2234">
        <v>0</v>
      </c>
      <c r="G2234">
        <v>0</v>
      </c>
      <c r="H2234">
        <v>0</v>
      </c>
      <c r="I2234">
        <v>0</v>
      </c>
      <c r="J2234">
        <v>0</v>
      </c>
      <c r="K2234">
        <v>0</v>
      </c>
      <c r="L2234">
        <v>0</v>
      </c>
      <c r="M2234">
        <v>0</v>
      </c>
      <c r="N2234">
        <v>0</v>
      </c>
      <c r="O2234">
        <v>0</v>
      </c>
    </row>
    <row r="2235" spans="1:15">
      <c r="A2235" t="s">
        <v>2551</v>
      </c>
      <c r="B2235" t="s">
        <v>2389</v>
      </c>
      <c r="C2235" t="s">
        <v>404</v>
      </c>
      <c r="D2235">
        <v>76</v>
      </c>
      <c r="E2235">
        <v>100</v>
      </c>
      <c r="F2235">
        <v>0</v>
      </c>
      <c r="G2235">
        <v>0</v>
      </c>
      <c r="H2235">
        <v>0</v>
      </c>
      <c r="I2235">
        <v>0</v>
      </c>
      <c r="J2235">
        <v>0</v>
      </c>
      <c r="K2235">
        <v>0</v>
      </c>
      <c r="L2235">
        <v>0</v>
      </c>
      <c r="M2235">
        <v>0</v>
      </c>
      <c r="N2235">
        <v>0</v>
      </c>
      <c r="O2235">
        <v>0</v>
      </c>
    </row>
    <row r="2236" spans="1:15">
      <c r="A2236" t="s">
        <v>2552</v>
      </c>
      <c r="B2236" t="s">
        <v>2389</v>
      </c>
      <c r="C2236" t="s">
        <v>404</v>
      </c>
      <c r="D2236">
        <v>77</v>
      </c>
      <c r="E2236">
        <v>100</v>
      </c>
      <c r="F2236">
        <v>0</v>
      </c>
      <c r="G2236">
        <v>0</v>
      </c>
      <c r="H2236">
        <v>0</v>
      </c>
      <c r="I2236">
        <v>0</v>
      </c>
      <c r="J2236">
        <v>0</v>
      </c>
      <c r="K2236">
        <v>0</v>
      </c>
      <c r="L2236">
        <v>0</v>
      </c>
      <c r="M2236">
        <v>0</v>
      </c>
      <c r="N2236">
        <v>0</v>
      </c>
      <c r="O2236">
        <v>0</v>
      </c>
    </row>
    <row r="2237" spans="1:15">
      <c r="A2237" t="s">
        <v>2553</v>
      </c>
      <c r="B2237" t="s">
        <v>2389</v>
      </c>
      <c r="C2237" t="s">
        <v>404</v>
      </c>
      <c r="D2237">
        <v>78</v>
      </c>
      <c r="E2237">
        <v>100</v>
      </c>
      <c r="F2237">
        <v>0</v>
      </c>
      <c r="G2237">
        <v>0</v>
      </c>
      <c r="H2237">
        <v>0</v>
      </c>
      <c r="I2237">
        <v>0</v>
      </c>
      <c r="J2237">
        <v>0</v>
      </c>
      <c r="K2237">
        <v>0</v>
      </c>
      <c r="L2237">
        <v>0</v>
      </c>
      <c r="M2237">
        <v>0</v>
      </c>
      <c r="N2237">
        <v>0</v>
      </c>
      <c r="O2237">
        <v>0</v>
      </c>
    </row>
    <row r="2238" spans="1:15">
      <c r="A2238" t="s">
        <v>2554</v>
      </c>
      <c r="B2238" t="s">
        <v>2389</v>
      </c>
      <c r="C2238" t="s">
        <v>404</v>
      </c>
      <c r="D2238">
        <v>79</v>
      </c>
      <c r="E2238">
        <v>100</v>
      </c>
      <c r="F2238">
        <v>0</v>
      </c>
      <c r="G2238">
        <v>0</v>
      </c>
      <c r="H2238">
        <v>0</v>
      </c>
      <c r="I2238">
        <v>0</v>
      </c>
      <c r="J2238">
        <v>0</v>
      </c>
      <c r="K2238">
        <v>0</v>
      </c>
      <c r="L2238">
        <v>0</v>
      </c>
      <c r="M2238">
        <v>0</v>
      </c>
      <c r="N2238">
        <v>0</v>
      </c>
      <c r="O2238">
        <v>0</v>
      </c>
    </row>
    <row r="2239" spans="1:15">
      <c r="A2239" t="s">
        <v>2555</v>
      </c>
      <c r="B2239" t="s">
        <v>2389</v>
      </c>
      <c r="C2239" t="s">
        <v>404</v>
      </c>
      <c r="D2239">
        <v>80</v>
      </c>
      <c r="E2239">
        <v>100</v>
      </c>
      <c r="F2239">
        <v>0</v>
      </c>
      <c r="G2239">
        <v>0</v>
      </c>
      <c r="H2239">
        <v>0</v>
      </c>
      <c r="I2239">
        <v>0</v>
      </c>
      <c r="J2239">
        <v>0</v>
      </c>
      <c r="K2239">
        <v>0</v>
      </c>
      <c r="L2239">
        <v>0</v>
      </c>
      <c r="M2239">
        <v>0</v>
      </c>
      <c r="N2239">
        <v>0</v>
      </c>
      <c r="O2239">
        <v>0</v>
      </c>
    </row>
    <row r="2240" spans="1:15">
      <c r="A2240" t="s">
        <v>2556</v>
      </c>
      <c r="B2240" t="s">
        <v>2389</v>
      </c>
      <c r="C2240" t="s">
        <v>404</v>
      </c>
      <c r="D2240">
        <v>81</v>
      </c>
      <c r="E2240">
        <v>100</v>
      </c>
      <c r="F2240">
        <v>0</v>
      </c>
      <c r="G2240">
        <v>0</v>
      </c>
      <c r="H2240">
        <v>0</v>
      </c>
      <c r="I2240">
        <v>0</v>
      </c>
      <c r="J2240">
        <v>0</v>
      </c>
      <c r="K2240">
        <v>0</v>
      </c>
      <c r="L2240">
        <v>0</v>
      </c>
      <c r="M2240">
        <v>0</v>
      </c>
      <c r="N2240">
        <v>0</v>
      </c>
      <c r="O2240">
        <v>0</v>
      </c>
    </row>
    <row r="2241" spans="1:15">
      <c r="A2241" t="s">
        <v>2557</v>
      </c>
      <c r="B2241" t="s">
        <v>2389</v>
      </c>
      <c r="C2241" t="s">
        <v>404</v>
      </c>
      <c r="D2241">
        <v>82</v>
      </c>
      <c r="E2241">
        <v>100</v>
      </c>
      <c r="F2241">
        <v>0</v>
      </c>
      <c r="G2241">
        <v>0</v>
      </c>
      <c r="H2241">
        <v>0</v>
      </c>
      <c r="I2241">
        <v>0</v>
      </c>
      <c r="J2241">
        <v>0</v>
      </c>
      <c r="K2241">
        <v>0</v>
      </c>
      <c r="L2241">
        <v>0</v>
      </c>
      <c r="M2241">
        <v>0</v>
      </c>
      <c r="N2241">
        <v>0</v>
      </c>
      <c r="O2241">
        <v>0</v>
      </c>
    </row>
    <row r="2242" spans="1:15">
      <c r="A2242" t="s">
        <v>2558</v>
      </c>
      <c r="B2242" t="s">
        <v>2389</v>
      </c>
      <c r="C2242" t="s">
        <v>404</v>
      </c>
      <c r="D2242">
        <v>83</v>
      </c>
      <c r="E2242">
        <v>100</v>
      </c>
      <c r="F2242">
        <v>0</v>
      </c>
      <c r="G2242">
        <v>0</v>
      </c>
      <c r="H2242">
        <v>0</v>
      </c>
      <c r="I2242">
        <v>0</v>
      </c>
      <c r="J2242">
        <v>0</v>
      </c>
      <c r="K2242">
        <v>0</v>
      </c>
      <c r="L2242">
        <v>0</v>
      </c>
      <c r="M2242">
        <v>0</v>
      </c>
      <c r="N2242">
        <v>0</v>
      </c>
      <c r="O2242">
        <v>0</v>
      </c>
    </row>
    <row r="2243" spans="1:15">
      <c r="A2243" t="s">
        <v>2559</v>
      </c>
      <c r="B2243" t="s">
        <v>2389</v>
      </c>
      <c r="C2243" t="s">
        <v>404</v>
      </c>
      <c r="D2243">
        <v>84</v>
      </c>
      <c r="E2243">
        <v>100</v>
      </c>
      <c r="F2243">
        <v>0</v>
      </c>
      <c r="G2243">
        <v>0</v>
      </c>
      <c r="H2243">
        <v>0</v>
      </c>
      <c r="I2243">
        <v>0</v>
      </c>
      <c r="J2243">
        <v>0</v>
      </c>
      <c r="K2243">
        <v>0</v>
      </c>
      <c r="L2243">
        <v>0</v>
      </c>
      <c r="M2243">
        <v>0</v>
      </c>
      <c r="N2243">
        <v>0</v>
      </c>
      <c r="O2243">
        <v>0</v>
      </c>
    </row>
    <row r="2244" spans="1:15">
      <c r="A2244" t="s">
        <v>2560</v>
      </c>
      <c r="B2244" t="s">
        <v>2389</v>
      </c>
      <c r="C2244" t="s">
        <v>404</v>
      </c>
      <c r="D2244">
        <v>85</v>
      </c>
      <c r="E2244">
        <v>100</v>
      </c>
      <c r="F2244">
        <v>0</v>
      </c>
      <c r="G2244">
        <v>0</v>
      </c>
      <c r="H2244">
        <v>0</v>
      </c>
      <c r="I2244">
        <v>0</v>
      </c>
      <c r="J2244">
        <v>0</v>
      </c>
      <c r="K2244">
        <v>0</v>
      </c>
      <c r="L2244">
        <v>0</v>
      </c>
      <c r="M2244">
        <v>0</v>
      </c>
      <c r="N2244">
        <v>0</v>
      </c>
      <c r="O2244">
        <v>0</v>
      </c>
    </row>
    <row r="2245" spans="1:15">
      <c r="A2245" t="s">
        <v>2561</v>
      </c>
      <c r="B2245" t="s">
        <v>2562</v>
      </c>
      <c r="C2245" t="s">
        <v>317</v>
      </c>
      <c r="D2245">
        <v>0</v>
      </c>
      <c r="E2245">
        <v>100</v>
      </c>
      <c r="F2245">
        <v>0</v>
      </c>
      <c r="G2245">
        <v>0</v>
      </c>
      <c r="H2245">
        <v>0</v>
      </c>
      <c r="I2245">
        <v>0</v>
      </c>
      <c r="J2245">
        <v>0</v>
      </c>
      <c r="K2245">
        <v>0</v>
      </c>
      <c r="L2245">
        <v>0</v>
      </c>
      <c r="M2245">
        <v>0</v>
      </c>
      <c r="N2245">
        <v>0</v>
      </c>
      <c r="O2245">
        <v>0</v>
      </c>
    </row>
    <row r="2246" spans="1:15">
      <c r="A2246" t="s">
        <v>2563</v>
      </c>
      <c r="B2246" t="s">
        <v>2562</v>
      </c>
      <c r="C2246" t="s">
        <v>317</v>
      </c>
      <c r="D2246">
        <v>1</v>
      </c>
      <c r="E2246">
        <v>100</v>
      </c>
      <c r="F2246">
        <v>0</v>
      </c>
      <c r="G2246">
        <v>0</v>
      </c>
      <c r="H2246">
        <v>0</v>
      </c>
      <c r="I2246">
        <v>0</v>
      </c>
      <c r="J2246">
        <v>0</v>
      </c>
      <c r="K2246">
        <v>0</v>
      </c>
      <c r="L2246">
        <v>0</v>
      </c>
      <c r="M2246">
        <v>0</v>
      </c>
      <c r="N2246">
        <v>0</v>
      </c>
      <c r="O2246">
        <v>0</v>
      </c>
    </row>
    <row r="2247" spans="1:15">
      <c r="A2247" t="s">
        <v>2564</v>
      </c>
      <c r="B2247" t="s">
        <v>2562</v>
      </c>
      <c r="C2247" t="s">
        <v>317</v>
      </c>
      <c r="D2247">
        <v>2</v>
      </c>
      <c r="E2247">
        <v>100</v>
      </c>
      <c r="F2247">
        <v>0</v>
      </c>
      <c r="G2247">
        <v>0</v>
      </c>
      <c r="H2247">
        <v>0</v>
      </c>
      <c r="I2247">
        <v>0</v>
      </c>
      <c r="J2247">
        <v>0</v>
      </c>
      <c r="K2247">
        <v>0</v>
      </c>
      <c r="L2247">
        <v>0</v>
      </c>
      <c r="M2247">
        <v>0</v>
      </c>
      <c r="N2247">
        <v>0</v>
      </c>
      <c r="O2247">
        <v>0</v>
      </c>
    </row>
    <row r="2248" spans="1:15">
      <c r="A2248" t="s">
        <v>2565</v>
      </c>
      <c r="B2248" t="s">
        <v>2562</v>
      </c>
      <c r="C2248" t="s">
        <v>317</v>
      </c>
      <c r="D2248">
        <v>3</v>
      </c>
      <c r="E2248">
        <v>100</v>
      </c>
      <c r="F2248">
        <v>0</v>
      </c>
      <c r="G2248">
        <v>0</v>
      </c>
      <c r="H2248">
        <v>0</v>
      </c>
      <c r="I2248">
        <v>0</v>
      </c>
      <c r="J2248">
        <v>0</v>
      </c>
      <c r="K2248">
        <v>0</v>
      </c>
      <c r="L2248">
        <v>0</v>
      </c>
      <c r="M2248">
        <v>0</v>
      </c>
      <c r="N2248">
        <v>0</v>
      </c>
      <c r="O2248">
        <v>0</v>
      </c>
    </row>
    <row r="2249" spans="1:15">
      <c r="A2249" t="s">
        <v>2566</v>
      </c>
      <c r="B2249" t="s">
        <v>2562</v>
      </c>
      <c r="C2249" t="s">
        <v>317</v>
      </c>
      <c r="D2249">
        <v>4</v>
      </c>
      <c r="E2249">
        <v>100</v>
      </c>
      <c r="F2249">
        <v>0</v>
      </c>
      <c r="G2249">
        <v>0</v>
      </c>
      <c r="H2249">
        <v>0</v>
      </c>
      <c r="I2249">
        <v>0</v>
      </c>
      <c r="J2249">
        <v>0</v>
      </c>
      <c r="K2249">
        <v>0</v>
      </c>
      <c r="L2249">
        <v>0</v>
      </c>
      <c r="M2249">
        <v>0</v>
      </c>
      <c r="N2249">
        <v>0</v>
      </c>
      <c r="O2249">
        <v>0</v>
      </c>
    </row>
    <row r="2250" spans="1:15">
      <c r="A2250" t="s">
        <v>2567</v>
      </c>
      <c r="B2250" t="s">
        <v>2562</v>
      </c>
      <c r="C2250" t="s">
        <v>317</v>
      </c>
      <c r="D2250">
        <v>5</v>
      </c>
      <c r="E2250">
        <v>100</v>
      </c>
      <c r="F2250">
        <v>0</v>
      </c>
      <c r="G2250">
        <v>0</v>
      </c>
      <c r="H2250">
        <v>0</v>
      </c>
      <c r="I2250">
        <v>0</v>
      </c>
      <c r="J2250">
        <v>0</v>
      </c>
      <c r="K2250">
        <v>0</v>
      </c>
      <c r="L2250">
        <v>0</v>
      </c>
      <c r="M2250">
        <v>0</v>
      </c>
      <c r="N2250">
        <v>0</v>
      </c>
      <c r="O2250">
        <v>0</v>
      </c>
    </row>
    <row r="2251" spans="1:15">
      <c r="A2251" t="s">
        <v>2568</v>
      </c>
      <c r="B2251" t="s">
        <v>2562</v>
      </c>
      <c r="C2251" t="s">
        <v>317</v>
      </c>
      <c r="D2251">
        <v>6</v>
      </c>
      <c r="E2251">
        <v>100</v>
      </c>
      <c r="F2251">
        <v>0</v>
      </c>
      <c r="G2251">
        <v>0</v>
      </c>
      <c r="H2251">
        <v>0</v>
      </c>
      <c r="I2251">
        <v>0</v>
      </c>
      <c r="J2251">
        <v>0</v>
      </c>
      <c r="K2251">
        <v>0</v>
      </c>
      <c r="L2251">
        <v>0</v>
      </c>
      <c r="M2251">
        <v>0</v>
      </c>
      <c r="N2251">
        <v>0</v>
      </c>
      <c r="O2251">
        <v>0</v>
      </c>
    </row>
    <row r="2252" spans="1:15">
      <c r="A2252" t="s">
        <v>2569</v>
      </c>
      <c r="B2252" t="s">
        <v>2562</v>
      </c>
      <c r="C2252" t="s">
        <v>317</v>
      </c>
      <c r="D2252">
        <v>7</v>
      </c>
      <c r="E2252">
        <v>100</v>
      </c>
      <c r="F2252">
        <v>0</v>
      </c>
      <c r="G2252">
        <v>0</v>
      </c>
      <c r="H2252">
        <v>0</v>
      </c>
      <c r="I2252">
        <v>0</v>
      </c>
      <c r="J2252">
        <v>0</v>
      </c>
      <c r="K2252">
        <v>0</v>
      </c>
      <c r="L2252">
        <v>0</v>
      </c>
      <c r="M2252">
        <v>0</v>
      </c>
      <c r="N2252">
        <v>0</v>
      </c>
      <c r="O2252">
        <v>0</v>
      </c>
    </row>
    <row r="2253" spans="1:15">
      <c r="A2253" t="s">
        <v>2570</v>
      </c>
      <c r="B2253" t="s">
        <v>2562</v>
      </c>
      <c r="C2253" t="s">
        <v>317</v>
      </c>
      <c r="D2253">
        <v>8</v>
      </c>
      <c r="E2253">
        <v>100</v>
      </c>
      <c r="F2253">
        <v>0</v>
      </c>
      <c r="G2253">
        <v>0</v>
      </c>
      <c r="H2253">
        <v>0</v>
      </c>
      <c r="I2253">
        <v>0</v>
      </c>
      <c r="J2253">
        <v>0</v>
      </c>
      <c r="K2253">
        <v>0</v>
      </c>
      <c r="L2253">
        <v>0</v>
      </c>
      <c r="M2253">
        <v>0</v>
      </c>
      <c r="N2253">
        <v>0</v>
      </c>
      <c r="O2253">
        <v>0</v>
      </c>
    </row>
    <row r="2254" spans="1:15">
      <c r="A2254" t="s">
        <v>2571</v>
      </c>
      <c r="B2254" t="s">
        <v>2562</v>
      </c>
      <c r="C2254" t="s">
        <v>317</v>
      </c>
      <c r="D2254">
        <v>9</v>
      </c>
      <c r="E2254">
        <v>100</v>
      </c>
      <c r="F2254">
        <v>0</v>
      </c>
      <c r="G2254">
        <v>0</v>
      </c>
      <c r="H2254">
        <v>0</v>
      </c>
      <c r="I2254">
        <v>0</v>
      </c>
      <c r="J2254">
        <v>0</v>
      </c>
      <c r="K2254">
        <v>0</v>
      </c>
      <c r="L2254">
        <v>0</v>
      </c>
      <c r="M2254">
        <v>0</v>
      </c>
      <c r="N2254">
        <v>0</v>
      </c>
      <c r="O2254">
        <v>0</v>
      </c>
    </row>
    <row r="2255" spans="1:15">
      <c r="A2255" t="s">
        <v>2572</v>
      </c>
      <c r="B2255" t="s">
        <v>2562</v>
      </c>
      <c r="C2255" t="s">
        <v>317</v>
      </c>
      <c r="D2255">
        <v>10</v>
      </c>
      <c r="E2255">
        <v>100</v>
      </c>
      <c r="F2255">
        <v>0</v>
      </c>
      <c r="G2255">
        <v>0</v>
      </c>
      <c r="H2255">
        <v>0</v>
      </c>
      <c r="I2255">
        <v>0</v>
      </c>
      <c r="J2255">
        <v>0</v>
      </c>
      <c r="K2255">
        <v>0</v>
      </c>
      <c r="L2255">
        <v>0</v>
      </c>
      <c r="M2255">
        <v>0</v>
      </c>
      <c r="N2255">
        <v>0</v>
      </c>
      <c r="O2255">
        <v>0</v>
      </c>
    </row>
    <row r="2256" spans="1:15">
      <c r="A2256" t="s">
        <v>2573</v>
      </c>
      <c r="B2256" t="s">
        <v>2562</v>
      </c>
      <c r="C2256" t="s">
        <v>317</v>
      </c>
      <c r="D2256">
        <v>11</v>
      </c>
      <c r="E2256">
        <v>100</v>
      </c>
      <c r="F2256">
        <v>0</v>
      </c>
      <c r="G2256">
        <v>0</v>
      </c>
      <c r="H2256">
        <v>0</v>
      </c>
      <c r="I2256">
        <v>0</v>
      </c>
      <c r="J2256">
        <v>0</v>
      </c>
      <c r="K2256">
        <v>0</v>
      </c>
      <c r="L2256">
        <v>0</v>
      </c>
      <c r="M2256">
        <v>0</v>
      </c>
      <c r="N2256">
        <v>0</v>
      </c>
      <c r="O2256">
        <v>0</v>
      </c>
    </row>
    <row r="2257" spans="1:15">
      <c r="A2257" t="s">
        <v>2574</v>
      </c>
      <c r="B2257" t="s">
        <v>2562</v>
      </c>
      <c r="C2257" t="s">
        <v>317</v>
      </c>
      <c r="D2257">
        <v>12</v>
      </c>
      <c r="E2257">
        <v>100</v>
      </c>
      <c r="F2257">
        <v>0</v>
      </c>
      <c r="G2257">
        <v>0</v>
      </c>
      <c r="H2257">
        <v>0</v>
      </c>
      <c r="I2257">
        <v>0</v>
      </c>
      <c r="J2257">
        <v>0</v>
      </c>
      <c r="K2257">
        <v>0</v>
      </c>
      <c r="L2257">
        <v>0</v>
      </c>
      <c r="M2257">
        <v>0</v>
      </c>
      <c r="N2257">
        <v>0</v>
      </c>
      <c r="O2257">
        <v>0</v>
      </c>
    </row>
    <row r="2258" spans="1:15">
      <c r="A2258" t="s">
        <v>2575</v>
      </c>
      <c r="B2258" t="s">
        <v>2562</v>
      </c>
      <c r="C2258" t="s">
        <v>317</v>
      </c>
      <c r="D2258">
        <v>13</v>
      </c>
      <c r="E2258">
        <v>100</v>
      </c>
      <c r="F2258">
        <v>0</v>
      </c>
      <c r="G2258">
        <v>0</v>
      </c>
      <c r="H2258">
        <v>0</v>
      </c>
      <c r="I2258">
        <v>0</v>
      </c>
      <c r="J2258">
        <v>0</v>
      </c>
      <c r="K2258">
        <v>0</v>
      </c>
      <c r="L2258">
        <v>0</v>
      </c>
      <c r="M2258">
        <v>0</v>
      </c>
      <c r="N2258">
        <v>0</v>
      </c>
      <c r="O2258">
        <v>0</v>
      </c>
    </row>
    <row r="2259" spans="1:15">
      <c r="A2259" t="s">
        <v>2576</v>
      </c>
      <c r="B2259" t="s">
        <v>2562</v>
      </c>
      <c r="C2259" t="s">
        <v>317</v>
      </c>
      <c r="D2259">
        <v>14</v>
      </c>
      <c r="E2259">
        <v>100</v>
      </c>
      <c r="F2259">
        <v>0</v>
      </c>
      <c r="G2259">
        <v>0</v>
      </c>
      <c r="H2259">
        <v>0</v>
      </c>
      <c r="I2259">
        <v>0</v>
      </c>
      <c r="J2259">
        <v>0</v>
      </c>
      <c r="K2259">
        <v>0</v>
      </c>
      <c r="L2259">
        <v>0</v>
      </c>
      <c r="M2259">
        <v>0</v>
      </c>
      <c r="N2259">
        <v>0</v>
      </c>
      <c r="O2259">
        <v>0</v>
      </c>
    </row>
    <row r="2260" spans="1:15">
      <c r="A2260" t="s">
        <v>2577</v>
      </c>
      <c r="B2260" t="s">
        <v>2562</v>
      </c>
      <c r="C2260" t="s">
        <v>317</v>
      </c>
      <c r="D2260">
        <v>15</v>
      </c>
      <c r="E2260">
        <v>100</v>
      </c>
      <c r="F2260">
        <v>0</v>
      </c>
      <c r="G2260">
        <v>0</v>
      </c>
      <c r="H2260">
        <v>0</v>
      </c>
      <c r="I2260">
        <v>0</v>
      </c>
      <c r="J2260">
        <v>0</v>
      </c>
      <c r="K2260">
        <v>0</v>
      </c>
      <c r="L2260">
        <v>0</v>
      </c>
      <c r="M2260">
        <v>0</v>
      </c>
      <c r="N2260">
        <v>0</v>
      </c>
      <c r="O2260">
        <v>0</v>
      </c>
    </row>
    <row r="2261" spans="1:15">
      <c r="A2261" t="s">
        <v>2578</v>
      </c>
      <c r="B2261" t="s">
        <v>2562</v>
      </c>
      <c r="C2261" t="s">
        <v>317</v>
      </c>
      <c r="D2261">
        <v>16</v>
      </c>
      <c r="E2261">
        <v>100</v>
      </c>
      <c r="F2261">
        <v>0</v>
      </c>
      <c r="G2261">
        <v>0</v>
      </c>
      <c r="H2261">
        <v>0</v>
      </c>
      <c r="I2261">
        <v>0</v>
      </c>
      <c r="J2261">
        <v>0</v>
      </c>
      <c r="K2261">
        <v>0</v>
      </c>
      <c r="L2261">
        <v>0</v>
      </c>
      <c r="M2261">
        <v>0</v>
      </c>
      <c r="N2261">
        <v>0</v>
      </c>
      <c r="O2261">
        <v>0</v>
      </c>
    </row>
    <row r="2262" spans="1:15">
      <c r="A2262" t="s">
        <v>2579</v>
      </c>
      <c r="B2262" t="s">
        <v>2562</v>
      </c>
      <c r="C2262" t="s">
        <v>317</v>
      </c>
      <c r="D2262">
        <v>17</v>
      </c>
      <c r="E2262">
        <v>100</v>
      </c>
      <c r="F2262">
        <v>0</v>
      </c>
      <c r="G2262">
        <v>0</v>
      </c>
      <c r="H2262">
        <v>0</v>
      </c>
      <c r="I2262">
        <v>0</v>
      </c>
      <c r="J2262">
        <v>0</v>
      </c>
      <c r="K2262">
        <v>0</v>
      </c>
      <c r="L2262">
        <v>0</v>
      </c>
      <c r="M2262">
        <v>0</v>
      </c>
      <c r="N2262">
        <v>0</v>
      </c>
      <c r="O2262">
        <v>0</v>
      </c>
    </row>
    <row r="2263" spans="1:15">
      <c r="A2263" t="s">
        <v>2580</v>
      </c>
      <c r="B2263" t="s">
        <v>2562</v>
      </c>
      <c r="C2263" t="s">
        <v>317</v>
      </c>
      <c r="D2263">
        <v>18</v>
      </c>
      <c r="E2263">
        <v>100</v>
      </c>
      <c r="F2263">
        <v>0</v>
      </c>
      <c r="G2263">
        <v>0</v>
      </c>
      <c r="H2263">
        <v>0</v>
      </c>
      <c r="I2263">
        <v>0</v>
      </c>
      <c r="J2263">
        <v>0</v>
      </c>
      <c r="K2263">
        <v>0</v>
      </c>
      <c r="L2263">
        <v>0</v>
      </c>
      <c r="M2263">
        <v>0</v>
      </c>
      <c r="N2263">
        <v>0</v>
      </c>
      <c r="O2263">
        <v>0</v>
      </c>
    </row>
    <row r="2264" spans="1:15">
      <c r="A2264" t="s">
        <v>2581</v>
      </c>
      <c r="B2264" t="s">
        <v>2562</v>
      </c>
      <c r="C2264" t="s">
        <v>317</v>
      </c>
      <c r="D2264">
        <v>19</v>
      </c>
      <c r="E2264">
        <v>100</v>
      </c>
      <c r="F2264">
        <v>0</v>
      </c>
      <c r="G2264">
        <v>0</v>
      </c>
      <c r="H2264">
        <v>0</v>
      </c>
      <c r="I2264">
        <v>0</v>
      </c>
      <c r="J2264">
        <v>0</v>
      </c>
      <c r="K2264">
        <v>0</v>
      </c>
      <c r="L2264">
        <v>0</v>
      </c>
      <c r="M2264">
        <v>0</v>
      </c>
      <c r="N2264">
        <v>0</v>
      </c>
      <c r="O2264">
        <v>0</v>
      </c>
    </row>
    <row r="2265" spans="1:15">
      <c r="A2265" t="s">
        <v>2582</v>
      </c>
      <c r="B2265" t="s">
        <v>2562</v>
      </c>
      <c r="C2265" t="s">
        <v>317</v>
      </c>
      <c r="D2265">
        <v>20</v>
      </c>
      <c r="E2265">
        <v>100</v>
      </c>
      <c r="F2265">
        <v>0</v>
      </c>
      <c r="G2265">
        <v>0</v>
      </c>
      <c r="H2265">
        <v>0</v>
      </c>
      <c r="I2265">
        <v>0</v>
      </c>
      <c r="J2265">
        <v>0</v>
      </c>
      <c r="K2265">
        <v>0</v>
      </c>
      <c r="L2265">
        <v>0</v>
      </c>
      <c r="M2265">
        <v>0</v>
      </c>
      <c r="N2265">
        <v>0</v>
      </c>
      <c r="O2265">
        <v>0</v>
      </c>
    </row>
    <row r="2266" spans="1:15">
      <c r="A2266" t="s">
        <v>2583</v>
      </c>
      <c r="B2266" t="s">
        <v>2562</v>
      </c>
      <c r="C2266" t="s">
        <v>317</v>
      </c>
      <c r="D2266">
        <v>21</v>
      </c>
      <c r="E2266">
        <v>100</v>
      </c>
      <c r="F2266">
        <v>0</v>
      </c>
      <c r="G2266">
        <v>0</v>
      </c>
      <c r="H2266">
        <v>0</v>
      </c>
      <c r="I2266">
        <v>0</v>
      </c>
      <c r="J2266">
        <v>0</v>
      </c>
      <c r="K2266">
        <v>0</v>
      </c>
      <c r="L2266">
        <v>0</v>
      </c>
      <c r="M2266">
        <v>0</v>
      </c>
      <c r="N2266">
        <v>0</v>
      </c>
      <c r="O2266">
        <v>0</v>
      </c>
    </row>
    <row r="2267" spans="1:15">
      <c r="A2267" t="s">
        <v>2584</v>
      </c>
      <c r="B2267" t="s">
        <v>2562</v>
      </c>
      <c r="C2267" t="s">
        <v>317</v>
      </c>
      <c r="D2267">
        <v>22</v>
      </c>
      <c r="E2267">
        <v>100</v>
      </c>
      <c r="F2267">
        <v>0</v>
      </c>
      <c r="G2267">
        <v>0</v>
      </c>
      <c r="H2267">
        <v>0</v>
      </c>
      <c r="I2267">
        <v>0</v>
      </c>
      <c r="J2267">
        <v>0</v>
      </c>
      <c r="K2267">
        <v>0</v>
      </c>
      <c r="L2267">
        <v>0</v>
      </c>
      <c r="M2267">
        <v>0</v>
      </c>
      <c r="N2267">
        <v>0</v>
      </c>
      <c r="O2267">
        <v>0</v>
      </c>
    </row>
    <row r="2268" spans="1:15">
      <c r="A2268" t="s">
        <v>2585</v>
      </c>
      <c r="B2268" t="s">
        <v>2562</v>
      </c>
      <c r="C2268" t="s">
        <v>317</v>
      </c>
      <c r="D2268">
        <v>23</v>
      </c>
      <c r="E2268">
        <v>100</v>
      </c>
      <c r="F2268">
        <v>0</v>
      </c>
      <c r="G2268">
        <v>0</v>
      </c>
      <c r="H2268">
        <v>0</v>
      </c>
      <c r="I2268">
        <v>0</v>
      </c>
      <c r="J2268">
        <v>0</v>
      </c>
      <c r="K2268">
        <v>0</v>
      </c>
      <c r="L2268">
        <v>0</v>
      </c>
      <c r="M2268">
        <v>0</v>
      </c>
      <c r="N2268">
        <v>0</v>
      </c>
      <c r="O2268">
        <v>0</v>
      </c>
    </row>
    <row r="2269" spans="1:15">
      <c r="A2269" t="s">
        <v>2586</v>
      </c>
      <c r="B2269" t="s">
        <v>2562</v>
      </c>
      <c r="C2269" t="s">
        <v>317</v>
      </c>
      <c r="D2269">
        <v>24</v>
      </c>
      <c r="E2269">
        <v>100</v>
      </c>
      <c r="F2269">
        <v>0</v>
      </c>
      <c r="G2269">
        <v>0</v>
      </c>
      <c r="H2269">
        <v>0</v>
      </c>
      <c r="I2269">
        <v>0</v>
      </c>
      <c r="J2269">
        <v>0</v>
      </c>
      <c r="K2269">
        <v>0</v>
      </c>
      <c r="L2269">
        <v>0</v>
      </c>
      <c r="M2269">
        <v>0</v>
      </c>
      <c r="N2269">
        <v>0</v>
      </c>
      <c r="O2269">
        <v>0</v>
      </c>
    </row>
    <row r="2270" spans="1:15">
      <c r="A2270" t="s">
        <v>2587</v>
      </c>
      <c r="B2270" t="s">
        <v>2562</v>
      </c>
      <c r="C2270" t="s">
        <v>317</v>
      </c>
      <c r="D2270">
        <v>25</v>
      </c>
      <c r="E2270">
        <v>100</v>
      </c>
      <c r="F2270">
        <v>0</v>
      </c>
      <c r="G2270">
        <v>0</v>
      </c>
      <c r="H2270">
        <v>0</v>
      </c>
      <c r="I2270">
        <v>0</v>
      </c>
      <c r="J2270">
        <v>0</v>
      </c>
      <c r="K2270">
        <v>0</v>
      </c>
      <c r="L2270">
        <v>0</v>
      </c>
      <c r="M2270">
        <v>0</v>
      </c>
      <c r="N2270">
        <v>0</v>
      </c>
      <c r="O2270">
        <v>0</v>
      </c>
    </row>
    <row r="2271" spans="1:15">
      <c r="A2271" t="s">
        <v>2588</v>
      </c>
      <c r="B2271" t="s">
        <v>2562</v>
      </c>
      <c r="C2271" t="s">
        <v>317</v>
      </c>
      <c r="D2271">
        <v>26</v>
      </c>
      <c r="E2271">
        <v>100</v>
      </c>
      <c r="F2271">
        <v>0</v>
      </c>
      <c r="G2271">
        <v>0</v>
      </c>
      <c r="H2271">
        <v>0</v>
      </c>
      <c r="I2271">
        <v>0</v>
      </c>
      <c r="J2271">
        <v>0</v>
      </c>
      <c r="K2271">
        <v>0</v>
      </c>
      <c r="L2271">
        <v>0</v>
      </c>
      <c r="M2271">
        <v>0</v>
      </c>
      <c r="N2271">
        <v>0</v>
      </c>
      <c r="O2271">
        <v>0</v>
      </c>
    </row>
    <row r="2272" spans="1:15">
      <c r="A2272" t="s">
        <v>2589</v>
      </c>
      <c r="B2272" t="s">
        <v>2562</v>
      </c>
      <c r="C2272" t="s">
        <v>317</v>
      </c>
      <c r="D2272">
        <v>27</v>
      </c>
      <c r="E2272">
        <v>100</v>
      </c>
      <c r="F2272">
        <v>0</v>
      </c>
      <c r="G2272">
        <v>0</v>
      </c>
      <c r="H2272">
        <v>0</v>
      </c>
      <c r="I2272">
        <v>0</v>
      </c>
      <c r="J2272">
        <v>0</v>
      </c>
      <c r="K2272">
        <v>0</v>
      </c>
      <c r="L2272">
        <v>0</v>
      </c>
      <c r="M2272">
        <v>0</v>
      </c>
      <c r="N2272">
        <v>0</v>
      </c>
      <c r="O2272">
        <v>0</v>
      </c>
    </row>
    <row r="2273" spans="1:15">
      <c r="A2273" t="s">
        <v>2590</v>
      </c>
      <c r="B2273" t="s">
        <v>2562</v>
      </c>
      <c r="C2273" t="s">
        <v>317</v>
      </c>
      <c r="D2273">
        <v>28</v>
      </c>
      <c r="E2273">
        <v>100</v>
      </c>
      <c r="F2273">
        <v>0</v>
      </c>
      <c r="G2273">
        <v>0</v>
      </c>
      <c r="H2273">
        <v>0</v>
      </c>
      <c r="I2273">
        <v>0</v>
      </c>
      <c r="J2273">
        <v>0</v>
      </c>
      <c r="K2273">
        <v>0</v>
      </c>
      <c r="L2273">
        <v>0</v>
      </c>
      <c r="M2273">
        <v>0</v>
      </c>
      <c r="N2273">
        <v>0</v>
      </c>
      <c r="O2273">
        <v>0</v>
      </c>
    </row>
    <row r="2274" spans="1:15">
      <c r="A2274" t="s">
        <v>2591</v>
      </c>
      <c r="B2274" t="s">
        <v>2562</v>
      </c>
      <c r="C2274" t="s">
        <v>317</v>
      </c>
      <c r="D2274">
        <v>29</v>
      </c>
      <c r="E2274">
        <v>100</v>
      </c>
      <c r="F2274">
        <v>0</v>
      </c>
      <c r="G2274">
        <v>0</v>
      </c>
      <c r="H2274">
        <v>0</v>
      </c>
      <c r="I2274">
        <v>0</v>
      </c>
      <c r="J2274">
        <v>0</v>
      </c>
      <c r="K2274">
        <v>0</v>
      </c>
      <c r="L2274">
        <v>0</v>
      </c>
      <c r="M2274">
        <v>0</v>
      </c>
      <c r="N2274">
        <v>0</v>
      </c>
      <c r="O2274">
        <v>0</v>
      </c>
    </row>
    <row r="2275" spans="1:15">
      <c r="A2275" t="s">
        <v>2592</v>
      </c>
      <c r="B2275" t="s">
        <v>2562</v>
      </c>
      <c r="C2275" t="s">
        <v>317</v>
      </c>
      <c r="D2275">
        <v>30</v>
      </c>
      <c r="E2275">
        <v>100</v>
      </c>
      <c r="F2275">
        <v>0</v>
      </c>
      <c r="G2275">
        <v>0</v>
      </c>
      <c r="H2275">
        <v>0</v>
      </c>
      <c r="I2275">
        <v>0</v>
      </c>
      <c r="J2275">
        <v>0</v>
      </c>
      <c r="K2275">
        <v>0</v>
      </c>
      <c r="L2275">
        <v>0</v>
      </c>
      <c r="M2275">
        <v>0</v>
      </c>
      <c r="N2275">
        <v>0</v>
      </c>
      <c r="O2275">
        <v>0</v>
      </c>
    </row>
    <row r="2276" spans="1:15">
      <c r="A2276" t="s">
        <v>2593</v>
      </c>
      <c r="B2276" t="s">
        <v>2562</v>
      </c>
      <c r="C2276" t="s">
        <v>317</v>
      </c>
      <c r="D2276">
        <v>31</v>
      </c>
      <c r="E2276">
        <v>100</v>
      </c>
      <c r="F2276">
        <v>0</v>
      </c>
      <c r="G2276">
        <v>0</v>
      </c>
      <c r="H2276">
        <v>0</v>
      </c>
      <c r="I2276">
        <v>0</v>
      </c>
      <c r="J2276">
        <v>0</v>
      </c>
      <c r="K2276">
        <v>0</v>
      </c>
      <c r="L2276">
        <v>0</v>
      </c>
      <c r="M2276">
        <v>0</v>
      </c>
      <c r="N2276">
        <v>0</v>
      </c>
      <c r="O2276">
        <v>0</v>
      </c>
    </row>
    <row r="2277" spans="1:15">
      <c r="A2277" t="s">
        <v>2594</v>
      </c>
      <c r="B2277" t="s">
        <v>2562</v>
      </c>
      <c r="C2277" t="s">
        <v>317</v>
      </c>
      <c r="D2277">
        <v>32</v>
      </c>
      <c r="E2277">
        <v>100</v>
      </c>
      <c r="F2277">
        <v>0</v>
      </c>
      <c r="G2277">
        <v>0</v>
      </c>
      <c r="H2277">
        <v>0</v>
      </c>
      <c r="I2277">
        <v>0</v>
      </c>
      <c r="J2277">
        <v>0</v>
      </c>
      <c r="K2277">
        <v>0</v>
      </c>
      <c r="L2277">
        <v>0</v>
      </c>
      <c r="M2277">
        <v>0</v>
      </c>
      <c r="N2277">
        <v>0</v>
      </c>
      <c r="O2277">
        <v>0</v>
      </c>
    </row>
    <row r="2278" spans="1:15">
      <c r="A2278" t="s">
        <v>2595</v>
      </c>
      <c r="B2278" t="s">
        <v>2562</v>
      </c>
      <c r="C2278" t="s">
        <v>317</v>
      </c>
      <c r="D2278">
        <v>33</v>
      </c>
      <c r="E2278">
        <v>100</v>
      </c>
      <c r="F2278">
        <v>0</v>
      </c>
      <c r="G2278">
        <v>0</v>
      </c>
      <c r="H2278">
        <v>0</v>
      </c>
      <c r="I2278">
        <v>0</v>
      </c>
      <c r="J2278">
        <v>0</v>
      </c>
      <c r="K2278">
        <v>0</v>
      </c>
      <c r="L2278">
        <v>0</v>
      </c>
      <c r="M2278">
        <v>0</v>
      </c>
      <c r="N2278">
        <v>0</v>
      </c>
      <c r="O2278">
        <v>0</v>
      </c>
    </row>
    <row r="2279" spans="1:15">
      <c r="A2279" t="s">
        <v>2596</v>
      </c>
      <c r="B2279" t="s">
        <v>2562</v>
      </c>
      <c r="C2279" t="s">
        <v>317</v>
      </c>
      <c r="D2279">
        <v>34</v>
      </c>
      <c r="E2279">
        <v>100</v>
      </c>
      <c r="F2279">
        <v>0</v>
      </c>
      <c r="G2279">
        <v>0</v>
      </c>
      <c r="H2279">
        <v>0</v>
      </c>
      <c r="I2279">
        <v>0</v>
      </c>
      <c r="J2279">
        <v>0</v>
      </c>
      <c r="K2279">
        <v>0</v>
      </c>
      <c r="L2279">
        <v>0</v>
      </c>
      <c r="M2279">
        <v>0</v>
      </c>
      <c r="N2279">
        <v>0</v>
      </c>
      <c r="O2279">
        <v>0</v>
      </c>
    </row>
    <row r="2280" spans="1:15">
      <c r="A2280" t="s">
        <v>2597</v>
      </c>
      <c r="B2280" t="s">
        <v>2562</v>
      </c>
      <c r="C2280" t="s">
        <v>317</v>
      </c>
      <c r="D2280">
        <v>35</v>
      </c>
      <c r="E2280">
        <v>100</v>
      </c>
      <c r="F2280">
        <v>0</v>
      </c>
      <c r="G2280">
        <v>0</v>
      </c>
      <c r="H2280">
        <v>0</v>
      </c>
      <c r="I2280">
        <v>0</v>
      </c>
      <c r="J2280">
        <v>0</v>
      </c>
      <c r="K2280">
        <v>0</v>
      </c>
      <c r="L2280">
        <v>0</v>
      </c>
      <c r="M2280">
        <v>0</v>
      </c>
      <c r="N2280">
        <v>0</v>
      </c>
      <c r="O2280">
        <v>0</v>
      </c>
    </row>
    <row r="2281" spans="1:15">
      <c r="A2281" t="s">
        <v>2598</v>
      </c>
      <c r="B2281" t="s">
        <v>2562</v>
      </c>
      <c r="C2281" t="s">
        <v>317</v>
      </c>
      <c r="D2281">
        <v>36</v>
      </c>
      <c r="E2281">
        <v>100</v>
      </c>
      <c r="F2281">
        <v>0</v>
      </c>
      <c r="G2281">
        <v>0</v>
      </c>
      <c r="H2281">
        <v>0</v>
      </c>
      <c r="I2281">
        <v>0</v>
      </c>
      <c r="J2281">
        <v>0</v>
      </c>
      <c r="K2281">
        <v>0</v>
      </c>
      <c r="L2281">
        <v>0</v>
      </c>
      <c r="M2281">
        <v>0</v>
      </c>
      <c r="N2281">
        <v>0</v>
      </c>
      <c r="O2281">
        <v>0</v>
      </c>
    </row>
    <row r="2282" spans="1:15">
      <c r="A2282" t="s">
        <v>2599</v>
      </c>
      <c r="B2282" t="s">
        <v>2562</v>
      </c>
      <c r="C2282" t="s">
        <v>317</v>
      </c>
      <c r="D2282">
        <v>37</v>
      </c>
      <c r="E2282">
        <v>100</v>
      </c>
      <c r="F2282">
        <v>0</v>
      </c>
      <c r="G2282">
        <v>0</v>
      </c>
      <c r="H2282">
        <v>0</v>
      </c>
      <c r="I2282">
        <v>0</v>
      </c>
      <c r="J2282">
        <v>0</v>
      </c>
      <c r="K2282">
        <v>0</v>
      </c>
      <c r="L2282">
        <v>0</v>
      </c>
      <c r="M2282">
        <v>0</v>
      </c>
      <c r="N2282">
        <v>0</v>
      </c>
      <c r="O2282">
        <v>0</v>
      </c>
    </row>
    <row r="2283" spans="1:15">
      <c r="A2283" t="s">
        <v>2600</v>
      </c>
      <c r="B2283" t="s">
        <v>2562</v>
      </c>
      <c r="C2283" t="s">
        <v>317</v>
      </c>
      <c r="D2283">
        <v>38</v>
      </c>
      <c r="E2283">
        <v>100</v>
      </c>
      <c r="F2283">
        <v>0</v>
      </c>
      <c r="G2283">
        <v>0</v>
      </c>
      <c r="H2283">
        <v>0</v>
      </c>
      <c r="I2283">
        <v>0</v>
      </c>
      <c r="J2283">
        <v>0</v>
      </c>
      <c r="K2283">
        <v>0</v>
      </c>
      <c r="L2283">
        <v>0</v>
      </c>
      <c r="M2283">
        <v>0</v>
      </c>
      <c r="N2283">
        <v>0</v>
      </c>
      <c r="O2283">
        <v>0</v>
      </c>
    </row>
    <row r="2284" spans="1:15">
      <c r="A2284" t="s">
        <v>2601</v>
      </c>
      <c r="B2284" t="s">
        <v>2562</v>
      </c>
      <c r="C2284" t="s">
        <v>317</v>
      </c>
      <c r="D2284">
        <v>39</v>
      </c>
      <c r="E2284">
        <v>100</v>
      </c>
      <c r="F2284">
        <v>0</v>
      </c>
      <c r="G2284">
        <v>0</v>
      </c>
      <c r="H2284">
        <v>0</v>
      </c>
      <c r="I2284">
        <v>0</v>
      </c>
      <c r="J2284">
        <v>0</v>
      </c>
      <c r="K2284">
        <v>0</v>
      </c>
      <c r="L2284">
        <v>0</v>
      </c>
      <c r="M2284">
        <v>0</v>
      </c>
      <c r="N2284">
        <v>0</v>
      </c>
      <c r="O2284">
        <v>0</v>
      </c>
    </row>
    <row r="2285" spans="1:15">
      <c r="A2285" t="s">
        <v>2602</v>
      </c>
      <c r="B2285" t="s">
        <v>2562</v>
      </c>
      <c r="C2285" t="s">
        <v>317</v>
      </c>
      <c r="D2285">
        <v>40</v>
      </c>
      <c r="E2285">
        <v>100</v>
      </c>
      <c r="F2285">
        <v>0</v>
      </c>
      <c r="G2285">
        <v>0</v>
      </c>
      <c r="H2285">
        <v>0</v>
      </c>
      <c r="I2285">
        <v>0</v>
      </c>
      <c r="J2285">
        <v>0</v>
      </c>
      <c r="K2285">
        <v>0</v>
      </c>
      <c r="L2285">
        <v>0</v>
      </c>
      <c r="M2285">
        <v>0</v>
      </c>
      <c r="N2285">
        <v>0</v>
      </c>
      <c r="O2285">
        <v>0</v>
      </c>
    </row>
    <row r="2286" spans="1:15">
      <c r="A2286" t="s">
        <v>2603</v>
      </c>
      <c r="B2286" t="s">
        <v>2562</v>
      </c>
      <c r="C2286" t="s">
        <v>317</v>
      </c>
      <c r="D2286">
        <v>41</v>
      </c>
      <c r="E2286">
        <v>100</v>
      </c>
      <c r="F2286">
        <v>0</v>
      </c>
      <c r="G2286">
        <v>0</v>
      </c>
      <c r="H2286">
        <v>0</v>
      </c>
      <c r="I2286">
        <v>0</v>
      </c>
      <c r="J2286">
        <v>0</v>
      </c>
      <c r="K2286">
        <v>0</v>
      </c>
      <c r="L2286">
        <v>0</v>
      </c>
      <c r="M2286">
        <v>0</v>
      </c>
      <c r="N2286">
        <v>0</v>
      </c>
      <c r="O2286">
        <v>0</v>
      </c>
    </row>
    <row r="2287" spans="1:15">
      <c r="A2287" t="s">
        <v>2604</v>
      </c>
      <c r="B2287" t="s">
        <v>2562</v>
      </c>
      <c r="C2287" t="s">
        <v>317</v>
      </c>
      <c r="D2287">
        <v>42</v>
      </c>
      <c r="E2287">
        <v>100</v>
      </c>
      <c r="F2287">
        <v>0</v>
      </c>
      <c r="G2287">
        <v>0</v>
      </c>
      <c r="H2287">
        <v>0</v>
      </c>
      <c r="I2287">
        <v>0</v>
      </c>
      <c r="J2287">
        <v>0</v>
      </c>
      <c r="K2287">
        <v>0</v>
      </c>
      <c r="L2287">
        <v>0</v>
      </c>
      <c r="M2287">
        <v>0</v>
      </c>
      <c r="N2287">
        <v>0</v>
      </c>
      <c r="O2287">
        <v>0</v>
      </c>
    </row>
    <row r="2288" spans="1:15">
      <c r="A2288" t="s">
        <v>2605</v>
      </c>
      <c r="B2288" t="s">
        <v>2562</v>
      </c>
      <c r="C2288" t="s">
        <v>317</v>
      </c>
      <c r="D2288">
        <v>43</v>
      </c>
      <c r="E2288">
        <v>100</v>
      </c>
      <c r="F2288">
        <v>0</v>
      </c>
      <c r="G2288">
        <v>0</v>
      </c>
      <c r="H2288">
        <v>0</v>
      </c>
      <c r="I2288">
        <v>0</v>
      </c>
      <c r="J2288">
        <v>0</v>
      </c>
      <c r="K2288">
        <v>0</v>
      </c>
      <c r="L2288">
        <v>0</v>
      </c>
      <c r="M2288">
        <v>0</v>
      </c>
      <c r="N2288">
        <v>0</v>
      </c>
      <c r="O2288">
        <v>0</v>
      </c>
    </row>
    <row r="2289" spans="1:15">
      <c r="A2289" t="s">
        <v>2606</v>
      </c>
      <c r="B2289" t="s">
        <v>2562</v>
      </c>
      <c r="C2289" t="s">
        <v>317</v>
      </c>
      <c r="D2289">
        <v>44</v>
      </c>
      <c r="E2289">
        <v>100</v>
      </c>
      <c r="F2289">
        <v>0</v>
      </c>
      <c r="G2289">
        <v>0</v>
      </c>
      <c r="H2289">
        <v>0</v>
      </c>
      <c r="I2289">
        <v>0</v>
      </c>
      <c r="J2289">
        <v>0</v>
      </c>
      <c r="K2289">
        <v>0</v>
      </c>
      <c r="L2289">
        <v>0</v>
      </c>
      <c r="M2289">
        <v>0</v>
      </c>
      <c r="N2289">
        <v>0</v>
      </c>
      <c r="O2289">
        <v>0</v>
      </c>
    </row>
    <row r="2290" spans="1:15">
      <c r="A2290" t="s">
        <v>2607</v>
      </c>
      <c r="B2290" t="s">
        <v>2562</v>
      </c>
      <c r="C2290" t="s">
        <v>317</v>
      </c>
      <c r="D2290">
        <v>45</v>
      </c>
      <c r="E2290">
        <v>100</v>
      </c>
      <c r="F2290">
        <v>0</v>
      </c>
      <c r="G2290">
        <v>0</v>
      </c>
      <c r="H2290">
        <v>0</v>
      </c>
      <c r="I2290">
        <v>0</v>
      </c>
      <c r="J2290">
        <v>0</v>
      </c>
      <c r="K2290">
        <v>0</v>
      </c>
      <c r="L2290">
        <v>0</v>
      </c>
      <c r="M2290">
        <v>0</v>
      </c>
      <c r="N2290">
        <v>0</v>
      </c>
      <c r="O2290">
        <v>0</v>
      </c>
    </row>
    <row r="2291" spans="1:15">
      <c r="A2291" t="s">
        <v>2608</v>
      </c>
      <c r="B2291" t="s">
        <v>2562</v>
      </c>
      <c r="C2291" t="s">
        <v>317</v>
      </c>
      <c r="D2291">
        <v>46</v>
      </c>
      <c r="E2291">
        <v>100</v>
      </c>
      <c r="F2291">
        <v>0</v>
      </c>
      <c r="G2291">
        <v>0</v>
      </c>
      <c r="H2291">
        <v>0</v>
      </c>
      <c r="I2291">
        <v>0</v>
      </c>
      <c r="J2291">
        <v>0</v>
      </c>
      <c r="K2291">
        <v>0</v>
      </c>
      <c r="L2291">
        <v>0</v>
      </c>
      <c r="M2291">
        <v>0</v>
      </c>
      <c r="N2291">
        <v>0</v>
      </c>
      <c r="O2291">
        <v>0</v>
      </c>
    </row>
    <row r="2292" spans="1:15">
      <c r="A2292" t="s">
        <v>2609</v>
      </c>
      <c r="B2292" t="s">
        <v>2562</v>
      </c>
      <c r="C2292" t="s">
        <v>317</v>
      </c>
      <c r="D2292">
        <v>47</v>
      </c>
      <c r="E2292">
        <v>100</v>
      </c>
      <c r="F2292">
        <v>0</v>
      </c>
      <c r="G2292">
        <v>0</v>
      </c>
      <c r="H2292">
        <v>0</v>
      </c>
      <c r="I2292">
        <v>0</v>
      </c>
      <c r="J2292">
        <v>0</v>
      </c>
      <c r="K2292">
        <v>0</v>
      </c>
      <c r="L2292">
        <v>0</v>
      </c>
      <c r="M2292">
        <v>0</v>
      </c>
      <c r="N2292">
        <v>0</v>
      </c>
      <c r="O2292">
        <v>0</v>
      </c>
    </row>
    <row r="2293" spans="1:15">
      <c r="A2293" t="s">
        <v>2610</v>
      </c>
      <c r="B2293" t="s">
        <v>2562</v>
      </c>
      <c r="C2293" t="s">
        <v>317</v>
      </c>
      <c r="D2293">
        <v>48</v>
      </c>
      <c r="E2293">
        <v>100</v>
      </c>
      <c r="F2293">
        <v>0</v>
      </c>
      <c r="G2293">
        <v>0</v>
      </c>
      <c r="H2293">
        <v>0</v>
      </c>
      <c r="I2293">
        <v>0</v>
      </c>
      <c r="J2293">
        <v>0</v>
      </c>
      <c r="K2293">
        <v>0</v>
      </c>
      <c r="L2293">
        <v>0</v>
      </c>
      <c r="M2293">
        <v>0</v>
      </c>
      <c r="N2293">
        <v>0</v>
      </c>
      <c r="O2293">
        <v>0</v>
      </c>
    </row>
    <row r="2294" spans="1:15">
      <c r="A2294" t="s">
        <v>2611</v>
      </c>
      <c r="B2294" t="s">
        <v>2562</v>
      </c>
      <c r="C2294" t="s">
        <v>317</v>
      </c>
      <c r="D2294">
        <v>49</v>
      </c>
      <c r="E2294">
        <v>100</v>
      </c>
      <c r="F2294">
        <v>0</v>
      </c>
      <c r="G2294">
        <v>0</v>
      </c>
      <c r="H2294">
        <v>0</v>
      </c>
      <c r="I2294">
        <v>0</v>
      </c>
      <c r="J2294">
        <v>0</v>
      </c>
      <c r="K2294">
        <v>0</v>
      </c>
      <c r="L2294">
        <v>0</v>
      </c>
      <c r="M2294">
        <v>0</v>
      </c>
      <c r="N2294">
        <v>0</v>
      </c>
      <c r="O2294">
        <v>0</v>
      </c>
    </row>
    <row r="2295" spans="1:15">
      <c r="A2295" t="s">
        <v>2612</v>
      </c>
      <c r="B2295" t="s">
        <v>2562</v>
      </c>
      <c r="C2295" t="s">
        <v>317</v>
      </c>
      <c r="D2295">
        <v>50</v>
      </c>
      <c r="E2295">
        <v>100</v>
      </c>
      <c r="F2295">
        <v>0</v>
      </c>
      <c r="G2295">
        <v>0</v>
      </c>
      <c r="H2295">
        <v>0</v>
      </c>
      <c r="I2295">
        <v>0</v>
      </c>
      <c r="J2295">
        <v>0</v>
      </c>
      <c r="K2295">
        <v>0</v>
      </c>
      <c r="L2295">
        <v>0</v>
      </c>
      <c r="M2295">
        <v>0</v>
      </c>
      <c r="N2295">
        <v>0</v>
      </c>
      <c r="O2295">
        <v>0</v>
      </c>
    </row>
    <row r="2296" spans="1:15">
      <c r="A2296" t="s">
        <v>2613</v>
      </c>
      <c r="B2296" t="s">
        <v>2562</v>
      </c>
      <c r="C2296" t="s">
        <v>317</v>
      </c>
      <c r="D2296">
        <v>51</v>
      </c>
      <c r="E2296">
        <v>100</v>
      </c>
      <c r="F2296">
        <v>0</v>
      </c>
      <c r="G2296">
        <v>0</v>
      </c>
      <c r="H2296">
        <v>0</v>
      </c>
      <c r="I2296">
        <v>0</v>
      </c>
      <c r="J2296">
        <v>0</v>
      </c>
      <c r="K2296">
        <v>0</v>
      </c>
      <c r="L2296">
        <v>0</v>
      </c>
      <c r="M2296">
        <v>0</v>
      </c>
      <c r="N2296">
        <v>0</v>
      </c>
      <c r="O2296">
        <v>0</v>
      </c>
    </row>
    <row r="2297" spans="1:15">
      <c r="A2297" t="s">
        <v>2614</v>
      </c>
      <c r="B2297" t="s">
        <v>2562</v>
      </c>
      <c r="C2297" t="s">
        <v>317</v>
      </c>
      <c r="D2297">
        <v>52</v>
      </c>
      <c r="E2297">
        <v>100</v>
      </c>
      <c r="F2297">
        <v>0</v>
      </c>
      <c r="G2297">
        <v>0</v>
      </c>
      <c r="H2297">
        <v>0</v>
      </c>
      <c r="I2297">
        <v>0</v>
      </c>
      <c r="J2297">
        <v>0</v>
      </c>
      <c r="K2297">
        <v>0</v>
      </c>
      <c r="L2297">
        <v>0</v>
      </c>
      <c r="M2297">
        <v>0</v>
      </c>
      <c r="N2297">
        <v>0</v>
      </c>
      <c r="O2297">
        <v>0</v>
      </c>
    </row>
    <row r="2298" spans="1:15">
      <c r="A2298" t="s">
        <v>2615</v>
      </c>
      <c r="B2298" t="s">
        <v>2562</v>
      </c>
      <c r="C2298" t="s">
        <v>317</v>
      </c>
      <c r="D2298">
        <v>53</v>
      </c>
      <c r="E2298">
        <v>100</v>
      </c>
      <c r="F2298">
        <v>0</v>
      </c>
      <c r="G2298">
        <v>0</v>
      </c>
      <c r="H2298">
        <v>0</v>
      </c>
      <c r="I2298">
        <v>0</v>
      </c>
      <c r="J2298">
        <v>0</v>
      </c>
      <c r="K2298">
        <v>0</v>
      </c>
      <c r="L2298">
        <v>0</v>
      </c>
      <c r="M2298">
        <v>0</v>
      </c>
      <c r="N2298">
        <v>0</v>
      </c>
      <c r="O2298">
        <v>0</v>
      </c>
    </row>
    <row r="2299" spans="1:15">
      <c r="A2299" t="s">
        <v>2616</v>
      </c>
      <c r="B2299" t="s">
        <v>2562</v>
      </c>
      <c r="C2299" t="s">
        <v>317</v>
      </c>
      <c r="D2299">
        <v>54</v>
      </c>
      <c r="E2299">
        <v>100</v>
      </c>
      <c r="F2299">
        <v>0</v>
      </c>
      <c r="G2299">
        <v>0</v>
      </c>
      <c r="H2299">
        <v>0</v>
      </c>
      <c r="I2299">
        <v>0</v>
      </c>
      <c r="J2299">
        <v>0</v>
      </c>
      <c r="K2299">
        <v>0</v>
      </c>
      <c r="L2299">
        <v>0</v>
      </c>
      <c r="M2299">
        <v>0</v>
      </c>
      <c r="N2299">
        <v>0</v>
      </c>
      <c r="O2299">
        <v>0</v>
      </c>
    </row>
    <row r="2300" spans="1:15">
      <c r="A2300" t="s">
        <v>2617</v>
      </c>
      <c r="B2300" t="s">
        <v>2562</v>
      </c>
      <c r="C2300" t="s">
        <v>317</v>
      </c>
      <c r="D2300">
        <v>55</v>
      </c>
      <c r="E2300">
        <v>100</v>
      </c>
      <c r="F2300">
        <v>0</v>
      </c>
      <c r="G2300">
        <v>0</v>
      </c>
      <c r="H2300">
        <v>0</v>
      </c>
      <c r="I2300">
        <v>0</v>
      </c>
      <c r="J2300">
        <v>0</v>
      </c>
      <c r="K2300">
        <v>0</v>
      </c>
      <c r="L2300">
        <v>0</v>
      </c>
      <c r="M2300">
        <v>0</v>
      </c>
      <c r="N2300">
        <v>0</v>
      </c>
      <c r="O2300">
        <v>0</v>
      </c>
    </row>
    <row r="2301" spans="1:15">
      <c r="A2301" t="s">
        <v>2618</v>
      </c>
      <c r="B2301" t="s">
        <v>2562</v>
      </c>
      <c r="C2301" t="s">
        <v>317</v>
      </c>
      <c r="D2301">
        <v>56</v>
      </c>
      <c r="E2301">
        <v>100</v>
      </c>
      <c r="F2301">
        <v>0</v>
      </c>
      <c r="G2301">
        <v>0</v>
      </c>
      <c r="H2301">
        <v>0</v>
      </c>
      <c r="I2301">
        <v>0</v>
      </c>
      <c r="J2301">
        <v>0</v>
      </c>
      <c r="K2301">
        <v>0</v>
      </c>
      <c r="L2301">
        <v>0</v>
      </c>
      <c r="M2301">
        <v>0</v>
      </c>
      <c r="N2301">
        <v>0</v>
      </c>
      <c r="O2301">
        <v>0</v>
      </c>
    </row>
    <row r="2302" spans="1:15">
      <c r="A2302" t="s">
        <v>2619</v>
      </c>
      <c r="B2302" t="s">
        <v>2562</v>
      </c>
      <c r="C2302" t="s">
        <v>317</v>
      </c>
      <c r="D2302">
        <v>57</v>
      </c>
      <c r="E2302">
        <v>100</v>
      </c>
      <c r="F2302">
        <v>0</v>
      </c>
      <c r="G2302">
        <v>0</v>
      </c>
      <c r="H2302">
        <v>0</v>
      </c>
      <c r="I2302">
        <v>0</v>
      </c>
      <c r="J2302">
        <v>0</v>
      </c>
      <c r="K2302">
        <v>0</v>
      </c>
      <c r="L2302">
        <v>0</v>
      </c>
      <c r="M2302">
        <v>0</v>
      </c>
      <c r="N2302">
        <v>0</v>
      </c>
      <c r="O2302">
        <v>0</v>
      </c>
    </row>
    <row r="2303" spans="1:15">
      <c r="A2303" t="s">
        <v>2620</v>
      </c>
      <c r="B2303" t="s">
        <v>2562</v>
      </c>
      <c r="C2303" t="s">
        <v>317</v>
      </c>
      <c r="D2303">
        <v>58</v>
      </c>
      <c r="E2303">
        <v>100</v>
      </c>
      <c r="F2303">
        <v>0</v>
      </c>
      <c r="G2303">
        <v>0</v>
      </c>
      <c r="H2303">
        <v>0</v>
      </c>
      <c r="I2303">
        <v>0</v>
      </c>
      <c r="J2303">
        <v>0</v>
      </c>
      <c r="K2303">
        <v>0</v>
      </c>
      <c r="L2303">
        <v>0</v>
      </c>
      <c r="M2303">
        <v>0</v>
      </c>
      <c r="N2303">
        <v>0</v>
      </c>
      <c r="O2303">
        <v>0</v>
      </c>
    </row>
    <row r="2304" spans="1:15">
      <c r="A2304" t="s">
        <v>2621</v>
      </c>
      <c r="B2304" t="s">
        <v>2562</v>
      </c>
      <c r="C2304" t="s">
        <v>317</v>
      </c>
      <c r="D2304">
        <v>59</v>
      </c>
      <c r="E2304">
        <v>100</v>
      </c>
      <c r="F2304">
        <v>0</v>
      </c>
      <c r="G2304">
        <v>0</v>
      </c>
      <c r="H2304">
        <v>0</v>
      </c>
      <c r="I2304">
        <v>0</v>
      </c>
      <c r="J2304">
        <v>0</v>
      </c>
      <c r="K2304">
        <v>0</v>
      </c>
      <c r="L2304">
        <v>0</v>
      </c>
      <c r="M2304">
        <v>0</v>
      </c>
      <c r="N2304">
        <v>0</v>
      </c>
      <c r="O2304">
        <v>0</v>
      </c>
    </row>
    <row r="2305" spans="1:15">
      <c r="A2305" t="s">
        <v>2622</v>
      </c>
      <c r="B2305" t="s">
        <v>2562</v>
      </c>
      <c r="C2305" t="s">
        <v>317</v>
      </c>
      <c r="D2305">
        <v>60</v>
      </c>
      <c r="E2305">
        <v>100</v>
      </c>
      <c r="F2305">
        <v>0</v>
      </c>
      <c r="G2305">
        <v>0</v>
      </c>
      <c r="H2305">
        <v>0</v>
      </c>
      <c r="I2305">
        <v>0</v>
      </c>
      <c r="J2305">
        <v>0</v>
      </c>
      <c r="K2305">
        <v>0</v>
      </c>
      <c r="L2305">
        <v>0</v>
      </c>
      <c r="M2305">
        <v>0</v>
      </c>
      <c r="N2305">
        <v>0</v>
      </c>
      <c r="O2305">
        <v>0</v>
      </c>
    </row>
    <row r="2306" spans="1:15">
      <c r="A2306" t="s">
        <v>2623</v>
      </c>
      <c r="B2306" t="s">
        <v>2562</v>
      </c>
      <c r="C2306" t="s">
        <v>317</v>
      </c>
      <c r="D2306">
        <v>61</v>
      </c>
      <c r="E2306">
        <v>100</v>
      </c>
      <c r="F2306">
        <v>0</v>
      </c>
      <c r="G2306">
        <v>0</v>
      </c>
      <c r="H2306">
        <v>0</v>
      </c>
      <c r="I2306">
        <v>0</v>
      </c>
      <c r="J2306">
        <v>0</v>
      </c>
      <c r="K2306">
        <v>0</v>
      </c>
      <c r="L2306">
        <v>0</v>
      </c>
      <c r="M2306">
        <v>0</v>
      </c>
      <c r="N2306">
        <v>0</v>
      </c>
      <c r="O2306">
        <v>0</v>
      </c>
    </row>
    <row r="2307" spans="1:15">
      <c r="A2307" t="s">
        <v>2624</v>
      </c>
      <c r="B2307" t="s">
        <v>2562</v>
      </c>
      <c r="C2307" t="s">
        <v>317</v>
      </c>
      <c r="D2307">
        <v>62</v>
      </c>
      <c r="E2307">
        <v>100</v>
      </c>
      <c r="F2307">
        <v>0</v>
      </c>
      <c r="G2307">
        <v>0</v>
      </c>
      <c r="H2307">
        <v>0</v>
      </c>
      <c r="I2307">
        <v>0</v>
      </c>
      <c r="J2307">
        <v>0</v>
      </c>
      <c r="K2307">
        <v>0</v>
      </c>
      <c r="L2307">
        <v>0</v>
      </c>
      <c r="M2307">
        <v>0</v>
      </c>
      <c r="N2307">
        <v>0</v>
      </c>
      <c r="O2307">
        <v>0</v>
      </c>
    </row>
    <row r="2308" spans="1:15">
      <c r="A2308" t="s">
        <v>2625</v>
      </c>
      <c r="B2308" t="s">
        <v>2562</v>
      </c>
      <c r="C2308" t="s">
        <v>317</v>
      </c>
      <c r="D2308">
        <v>63</v>
      </c>
      <c r="E2308">
        <v>100</v>
      </c>
      <c r="F2308">
        <v>0</v>
      </c>
      <c r="G2308">
        <v>0</v>
      </c>
      <c r="H2308">
        <v>0</v>
      </c>
      <c r="I2308">
        <v>0</v>
      </c>
      <c r="J2308">
        <v>0</v>
      </c>
      <c r="K2308">
        <v>0</v>
      </c>
      <c r="L2308">
        <v>0</v>
      </c>
      <c r="M2308">
        <v>0</v>
      </c>
      <c r="N2308">
        <v>0</v>
      </c>
      <c r="O2308">
        <v>0</v>
      </c>
    </row>
    <row r="2309" spans="1:15">
      <c r="A2309" t="s">
        <v>2626</v>
      </c>
      <c r="B2309" t="s">
        <v>2562</v>
      </c>
      <c r="C2309" t="s">
        <v>317</v>
      </c>
      <c r="D2309">
        <v>64</v>
      </c>
      <c r="E2309">
        <v>100</v>
      </c>
      <c r="F2309">
        <v>0</v>
      </c>
      <c r="G2309">
        <v>0</v>
      </c>
      <c r="H2309">
        <v>0</v>
      </c>
      <c r="I2309">
        <v>0</v>
      </c>
      <c r="J2309">
        <v>0</v>
      </c>
      <c r="K2309">
        <v>0</v>
      </c>
      <c r="L2309">
        <v>0</v>
      </c>
      <c r="M2309">
        <v>0</v>
      </c>
      <c r="N2309">
        <v>0</v>
      </c>
      <c r="O2309">
        <v>0</v>
      </c>
    </row>
    <row r="2310" spans="1:15">
      <c r="A2310" t="s">
        <v>2627</v>
      </c>
      <c r="B2310" t="s">
        <v>2562</v>
      </c>
      <c r="C2310" t="s">
        <v>317</v>
      </c>
      <c r="D2310">
        <v>65</v>
      </c>
      <c r="E2310">
        <v>100</v>
      </c>
      <c r="F2310">
        <v>0</v>
      </c>
      <c r="G2310">
        <v>0</v>
      </c>
      <c r="H2310">
        <v>0</v>
      </c>
      <c r="I2310">
        <v>0</v>
      </c>
      <c r="J2310">
        <v>0</v>
      </c>
      <c r="K2310">
        <v>0</v>
      </c>
      <c r="L2310">
        <v>0</v>
      </c>
      <c r="M2310">
        <v>0</v>
      </c>
      <c r="N2310">
        <v>0</v>
      </c>
      <c r="O2310">
        <v>0</v>
      </c>
    </row>
    <row r="2311" spans="1:15">
      <c r="A2311" t="s">
        <v>2628</v>
      </c>
      <c r="B2311" t="s">
        <v>2562</v>
      </c>
      <c r="C2311" t="s">
        <v>317</v>
      </c>
      <c r="D2311">
        <v>66</v>
      </c>
      <c r="E2311">
        <v>100</v>
      </c>
      <c r="F2311">
        <v>0</v>
      </c>
      <c r="G2311">
        <v>0</v>
      </c>
      <c r="H2311">
        <v>0</v>
      </c>
      <c r="I2311">
        <v>0</v>
      </c>
      <c r="J2311">
        <v>0</v>
      </c>
      <c r="K2311">
        <v>0</v>
      </c>
      <c r="L2311">
        <v>0</v>
      </c>
      <c r="M2311">
        <v>0</v>
      </c>
      <c r="N2311">
        <v>0</v>
      </c>
      <c r="O2311">
        <v>0</v>
      </c>
    </row>
    <row r="2312" spans="1:15">
      <c r="A2312" t="s">
        <v>2629</v>
      </c>
      <c r="B2312" t="s">
        <v>2562</v>
      </c>
      <c r="C2312" t="s">
        <v>317</v>
      </c>
      <c r="D2312">
        <v>67</v>
      </c>
      <c r="E2312">
        <v>100</v>
      </c>
      <c r="F2312">
        <v>0</v>
      </c>
      <c r="G2312">
        <v>0</v>
      </c>
      <c r="H2312">
        <v>0</v>
      </c>
      <c r="I2312">
        <v>0</v>
      </c>
      <c r="J2312">
        <v>0</v>
      </c>
      <c r="K2312">
        <v>0</v>
      </c>
      <c r="L2312">
        <v>0</v>
      </c>
      <c r="M2312">
        <v>0</v>
      </c>
      <c r="N2312">
        <v>0</v>
      </c>
      <c r="O2312">
        <v>0</v>
      </c>
    </row>
    <row r="2313" spans="1:15">
      <c r="A2313" t="s">
        <v>2630</v>
      </c>
      <c r="B2313" t="s">
        <v>2562</v>
      </c>
      <c r="C2313" t="s">
        <v>317</v>
      </c>
      <c r="D2313">
        <v>68</v>
      </c>
      <c r="E2313">
        <v>100</v>
      </c>
      <c r="F2313">
        <v>0</v>
      </c>
      <c r="G2313">
        <v>0</v>
      </c>
      <c r="H2313">
        <v>0</v>
      </c>
      <c r="I2313">
        <v>0</v>
      </c>
      <c r="J2313">
        <v>0</v>
      </c>
      <c r="K2313">
        <v>0</v>
      </c>
      <c r="L2313">
        <v>0</v>
      </c>
      <c r="M2313">
        <v>0</v>
      </c>
      <c r="N2313">
        <v>0</v>
      </c>
      <c r="O2313">
        <v>0</v>
      </c>
    </row>
    <row r="2314" spans="1:15">
      <c r="A2314" t="s">
        <v>2631</v>
      </c>
      <c r="B2314" t="s">
        <v>2562</v>
      </c>
      <c r="C2314" t="s">
        <v>317</v>
      </c>
      <c r="D2314">
        <v>69</v>
      </c>
      <c r="E2314">
        <v>100</v>
      </c>
      <c r="F2314">
        <v>0</v>
      </c>
      <c r="G2314">
        <v>0</v>
      </c>
      <c r="H2314">
        <v>0</v>
      </c>
      <c r="I2314">
        <v>0</v>
      </c>
      <c r="J2314">
        <v>0</v>
      </c>
      <c r="K2314">
        <v>0</v>
      </c>
      <c r="L2314">
        <v>0</v>
      </c>
      <c r="M2314">
        <v>0</v>
      </c>
      <c r="N2314">
        <v>0</v>
      </c>
      <c r="O2314">
        <v>0</v>
      </c>
    </row>
    <row r="2315" spans="1:15">
      <c r="A2315" t="s">
        <v>2632</v>
      </c>
      <c r="B2315" t="s">
        <v>2562</v>
      </c>
      <c r="C2315" t="s">
        <v>317</v>
      </c>
      <c r="D2315">
        <v>70</v>
      </c>
      <c r="E2315">
        <v>100</v>
      </c>
      <c r="F2315">
        <v>0</v>
      </c>
      <c r="G2315">
        <v>0</v>
      </c>
      <c r="H2315">
        <v>0</v>
      </c>
      <c r="I2315">
        <v>0</v>
      </c>
      <c r="J2315">
        <v>0</v>
      </c>
      <c r="K2315">
        <v>0</v>
      </c>
      <c r="L2315">
        <v>0</v>
      </c>
      <c r="M2315">
        <v>0</v>
      </c>
      <c r="N2315">
        <v>0</v>
      </c>
      <c r="O2315">
        <v>0</v>
      </c>
    </row>
    <row r="2316" spans="1:15">
      <c r="A2316" t="s">
        <v>2633</v>
      </c>
      <c r="B2316" t="s">
        <v>2562</v>
      </c>
      <c r="C2316" t="s">
        <v>317</v>
      </c>
      <c r="D2316">
        <v>71</v>
      </c>
      <c r="E2316">
        <v>100</v>
      </c>
      <c r="F2316">
        <v>0</v>
      </c>
      <c r="G2316">
        <v>0</v>
      </c>
      <c r="H2316">
        <v>0</v>
      </c>
      <c r="I2316">
        <v>0</v>
      </c>
      <c r="J2316">
        <v>0</v>
      </c>
      <c r="K2316">
        <v>0</v>
      </c>
      <c r="L2316">
        <v>0</v>
      </c>
      <c r="M2316">
        <v>0</v>
      </c>
      <c r="N2316">
        <v>0</v>
      </c>
      <c r="O2316">
        <v>0</v>
      </c>
    </row>
    <row r="2317" spans="1:15">
      <c r="A2317" t="s">
        <v>2634</v>
      </c>
      <c r="B2317" t="s">
        <v>2562</v>
      </c>
      <c r="C2317" t="s">
        <v>317</v>
      </c>
      <c r="D2317">
        <v>72</v>
      </c>
      <c r="E2317">
        <v>100</v>
      </c>
      <c r="F2317">
        <v>0</v>
      </c>
      <c r="G2317">
        <v>0</v>
      </c>
      <c r="H2317">
        <v>0</v>
      </c>
      <c r="I2317">
        <v>0</v>
      </c>
      <c r="J2317">
        <v>0</v>
      </c>
      <c r="K2317">
        <v>0</v>
      </c>
      <c r="L2317">
        <v>0</v>
      </c>
      <c r="M2317">
        <v>0</v>
      </c>
      <c r="N2317">
        <v>0</v>
      </c>
      <c r="O2317">
        <v>0</v>
      </c>
    </row>
    <row r="2318" spans="1:15">
      <c r="A2318" t="s">
        <v>2635</v>
      </c>
      <c r="B2318" t="s">
        <v>2562</v>
      </c>
      <c r="C2318" t="s">
        <v>317</v>
      </c>
      <c r="D2318">
        <v>73</v>
      </c>
      <c r="E2318">
        <v>100</v>
      </c>
      <c r="F2318">
        <v>0</v>
      </c>
      <c r="G2318">
        <v>0</v>
      </c>
      <c r="H2318">
        <v>0</v>
      </c>
      <c r="I2318">
        <v>0</v>
      </c>
      <c r="J2318">
        <v>0</v>
      </c>
      <c r="K2318">
        <v>0</v>
      </c>
      <c r="L2318">
        <v>0</v>
      </c>
      <c r="M2318">
        <v>0</v>
      </c>
      <c r="N2318">
        <v>0</v>
      </c>
      <c r="O2318">
        <v>0</v>
      </c>
    </row>
    <row r="2319" spans="1:15">
      <c r="A2319" t="s">
        <v>2636</v>
      </c>
      <c r="B2319" t="s">
        <v>2562</v>
      </c>
      <c r="C2319" t="s">
        <v>317</v>
      </c>
      <c r="D2319">
        <v>74</v>
      </c>
      <c r="E2319">
        <v>100</v>
      </c>
      <c r="F2319">
        <v>0</v>
      </c>
      <c r="G2319">
        <v>0</v>
      </c>
      <c r="H2319">
        <v>0</v>
      </c>
      <c r="I2319">
        <v>0</v>
      </c>
      <c r="J2319">
        <v>0</v>
      </c>
      <c r="K2319">
        <v>0</v>
      </c>
      <c r="L2319">
        <v>0</v>
      </c>
      <c r="M2319">
        <v>0</v>
      </c>
      <c r="N2319">
        <v>0</v>
      </c>
      <c r="O2319">
        <v>0</v>
      </c>
    </row>
    <row r="2320" spans="1:15">
      <c r="A2320" t="s">
        <v>2637</v>
      </c>
      <c r="B2320" t="s">
        <v>2562</v>
      </c>
      <c r="C2320" t="s">
        <v>317</v>
      </c>
      <c r="D2320">
        <v>75</v>
      </c>
      <c r="E2320">
        <v>100</v>
      </c>
      <c r="F2320">
        <v>0</v>
      </c>
      <c r="G2320">
        <v>0</v>
      </c>
      <c r="H2320">
        <v>0</v>
      </c>
      <c r="I2320">
        <v>0</v>
      </c>
      <c r="J2320">
        <v>0</v>
      </c>
      <c r="K2320">
        <v>0</v>
      </c>
      <c r="L2320">
        <v>0</v>
      </c>
      <c r="M2320">
        <v>0</v>
      </c>
      <c r="N2320">
        <v>0</v>
      </c>
      <c r="O2320">
        <v>0</v>
      </c>
    </row>
    <row r="2321" spans="1:15">
      <c r="A2321" t="s">
        <v>2638</v>
      </c>
      <c r="B2321" t="s">
        <v>2562</v>
      </c>
      <c r="C2321" t="s">
        <v>317</v>
      </c>
      <c r="D2321">
        <v>76</v>
      </c>
      <c r="E2321">
        <v>100</v>
      </c>
      <c r="F2321">
        <v>0</v>
      </c>
      <c r="G2321">
        <v>0</v>
      </c>
      <c r="H2321">
        <v>0</v>
      </c>
      <c r="I2321">
        <v>0</v>
      </c>
      <c r="J2321">
        <v>0</v>
      </c>
      <c r="K2321">
        <v>0</v>
      </c>
      <c r="L2321">
        <v>0</v>
      </c>
      <c r="M2321">
        <v>0</v>
      </c>
      <c r="N2321">
        <v>0</v>
      </c>
      <c r="O2321">
        <v>0</v>
      </c>
    </row>
    <row r="2322" spans="1:15">
      <c r="A2322" t="s">
        <v>2639</v>
      </c>
      <c r="B2322" t="s">
        <v>2562</v>
      </c>
      <c r="C2322" t="s">
        <v>317</v>
      </c>
      <c r="D2322">
        <v>77</v>
      </c>
      <c r="E2322">
        <v>100</v>
      </c>
      <c r="F2322">
        <v>0</v>
      </c>
      <c r="G2322">
        <v>0</v>
      </c>
      <c r="H2322">
        <v>0</v>
      </c>
      <c r="I2322">
        <v>0</v>
      </c>
      <c r="J2322">
        <v>0</v>
      </c>
      <c r="K2322">
        <v>0</v>
      </c>
      <c r="L2322">
        <v>0</v>
      </c>
      <c r="M2322">
        <v>0</v>
      </c>
      <c r="N2322">
        <v>0</v>
      </c>
      <c r="O2322">
        <v>0</v>
      </c>
    </row>
    <row r="2323" spans="1:15">
      <c r="A2323" t="s">
        <v>2640</v>
      </c>
      <c r="B2323" t="s">
        <v>2562</v>
      </c>
      <c r="C2323" t="s">
        <v>317</v>
      </c>
      <c r="D2323">
        <v>78</v>
      </c>
      <c r="E2323">
        <v>100</v>
      </c>
      <c r="F2323">
        <v>0</v>
      </c>
      <c r="G2323">
        <v>0</v>
      </c>
      <c r="H2323">
        <v>0</v>
      </c>
      <c r="I2323">
        <v>0</v>
      </c>
      <c r="J2323">
        <v>0</v>
      </c>
      <c r="K2323">
        <v>0</v>
      </c>
      <c r="L2323">
        <v>0</v>
      </c>
      <c r="M2323">
        <v>0</v>
      </c>
      <c r="N2323">
        <v>0</v>
      </c>
      <c r="O2323">
        <v>0</v>
      </c>
    </row>
    <row r="2324" spans="1:15">
      <c r="A2324" t="s">
        <v>2641</v>
      </c>
      <c r="B2324" t="s">
        <v>2562</v>
      </c>
      <c r="C2324" t="s">
        <v>317</v>
      </c>
      <c r="D2324">
        <v>79</v>
      </c>
      <c r="E2324">
        <v>100</v>
      </c>
      <c r="F2324">
        <v>0</v>
      </c>
      <c r="G2324">
        <v>0</v>
      </c>
      <c r="H2324">
        <v>0</v>
      </c>
      <c r="I2324">
        <v>0</v>
      </c>
      <c r="J2324">
        <v>0</v>
      </c>
      <c r="K2324">
        <v>0</v>
      </c>
      <c r="L2324">
        <v>0</v>
      </c>
      <c r="M2324">
        <v>0</v>
      </c>
      <c r="N2324">
        <v>0</v>
      </c>
      <c r="O2324">
        <v>0</v>
      </c>
    </row>
    <row r="2325" spans="1:15">
      <c r="A2325" t="s">
        <v>2642</v>
      </c>
      <c r="B2325" t="s">
        <v>2562</v>
      </c>
      <c r="C2325" t="s">
        <v>317</v>
      </c>
      <c r="D2325">
        <v>80</v>
      </c>
      <c r="E2325">
        <v>100</v>
      </c>
      <c r="F2325">
        <v>0</v>
      </c>
      <c r="G2325">
        <v>0</v>
      </c>
      <c r="H2325">
        <v>0</v>
      </c>
      <c r="I2325">
        <v>0</v>
      </c>
      <c r="J2325">
        <v>0</v>
      </c>
      <c r="K2325">
        <v>0</v>
      </c>
      <c r="L2325">
        <v>0</v>
      </c>
      <c r="M2325">
        <v>0</v>
      </c>
      <c r="N2325">
        <v>0</v>
      </c>
      <c r="O2325">
        <v>0</v>
      </c>
    </row>
    <row r="2326" spans="1:15">
      <c r="A2326" t="s">
        <v>2643</v>
      </c>
      <c r="B2326" t="s">
        <v>2562</v>
      </c>
      <c r="C2326" t="s">
        <v>317</v>
      </c>
      <c r="D2326">
        <v>81</v>
      </c>
      <c r="E2326">
        <v>100</v>
      </c>
      <c r="F2326">
        <v>0</v>
      </c>
      <c r="G2326">
        <v>0</v>
      </c>
      <c r="H2326">
        <v>0</v>
      </c>
      <c r="I2326">
        <v>0</v>
      </c>
      <c r="J2326">
        <v>0</v>
      </c>
      <c r="K2326">
        <v>0</v>
      </c>
      <c r="L2326">
        <v>0</v>
      </c>
      <c r="M2326">
        <v>0</v>
      </c>
      <c r="N2326">
        <v>0</v>
      </c>
      <c r="O2326">
        <v>0</v>
      </c>
    </row>
    <row r="2327" spans="1:15">
      <c r="A2327" t="s">
        <v>2644</v>
      </c>
      <c r="B2327" t="s">
        <v>2562</v>
      </c>
      <c r="C2327" t="s">
        <v>317</v>
      </c>
      <c r="D2327">
        <v>82</v>
      </c>
      <c r="E2327">
        <v>100</v>
      </c>
      <c r="F2327">
        <v>0</v>
      </c>
      <c r="G2327">
        <v>0</v>
      </c>
      <c r="H2327">
        <v>0</v>
      </c>
      <c r="I2327">
        <v>0</v>
      </c>
      <c r="J2327">
        <v>0</v>
      </c>
      <c r="K2327">
        <v>0</v>
      </c>
      <c r="L2327">
        <v>0</v>
      </c>
      <c r="M2327">
        <v>0</v>
      </c>
      <c r="N2327">
        <v>0</v>
      </c>
      <c r="O2327">
        <v>0</v>
      </c>
    </row>
    <row r="2328" spans="1:15">
      <c r="A2328" t="s">
        <v>2645</v>
      </c>
      <c r="B2328" t="s">
        <v>2562</v>
      </c>
      <c r="C2328" t="s">
        <v>317</v>
      </c>
      <c r="D2328">
        <v>83</v>
      </c>
      <c r="E2328">
        <v>100</v>
      </c>
      <c r="F2328">
        <v>0</v>
      </c>
      <c r="G2328">
        <v>0</v>
      </c>
      <c r="H2328">
        <v>0</v>
      </c>
      <c r="I2328">
        <v>0</v>
      </c>
      <c r="J2328">
        <v>0</v>
      </c>
      <c r="K2328">
        <v>0</v>
      </c>
      <c r="L2328">
        <v>0</v>
      </c>
      <c r="M2328">
        <v>0</v>
      </c>
      <c r="N2328">
        <v>0</v>
      </c>
      <c r="O2328">
        <v>0</v>
      </c>
    </row>
    <row r="2329" spans="1:15">
      <c r="A2329" t="s">
        <v>2646</v>
      </c>
      <c r="B2329" t="s">
        <v>2562</v>
      </c>
      <c r="C2329" t="s">
        <v>317</v>
      </c>
      <c r="D2329">
        <v>84</v>
      </c>
      <c r="E2329">
        <v>100</v>
      </c>
      <c r="F2329">
        <v>0</v>
      </c>
      <c r="G2329">
        <v>0</v>
      </c>
      <c r="H2329">
        <v>0</v>
      </c>
      <c r="I2329">
        <v>0</v>
      </c>
      <c r="J2329">
        <v>0</v>
      </c>
      <c r="K2329">
        <v>0</v>
      </c>
      <c r="L2329">
        <v>0</v>
      </c>
      <c r="M2329">
        <v>0</v>
      </c>
      <c r="N2329">
        <v>0</v>
      </c>
      <c r="O2329">
        <v>0</v>
      </c>
    </row>
    <row r="2330" spans="1:15">
      <c r="A2330" t="s">
        <v>2647</v>
      </c>
      <c r="B2330" t="s">
        <v>2562</v>
      </c>
      <c r="C2330" t="s">
        <v>317</v>
      </c>
      <c r="D2330">
        <v>85</v>
      </c>
      <c r="E2330">
        <v>100</v>
      </c>
      <c r="F2330">
        <v>0</v>
      </c>
      <c r="G2330">
        <v>0</v>
      </c>
      <c r="H2330">
        <v>0</v>
      </c>
      <c r="I2330">
        <v>0</v>
      </c>
      <c r="J2330">
        <v>0</v>
      </c>
      <c r="K2330">
        <v>0</v>
      </c>
      <c r="L2330">
        <v>0</v>
      </c>
      <c r="M2330">
        <v>0</v>
      </c>
      <c r="N2330">
        <v>0</v>
      </c>
      <c r="O2330">
        <v>0</v>
      </c>
    </row>
    <row r="2331" spans="1:15">
      <c r="A2331" t="s">
        <v>2648</v>
      </c>
      <c r="B2331" t="s">
        <v>2562</v>
      </c>
      <c r="C2331" t="s">
        <v>404</v>
      </c>
      <c r="D2331">
        <v>0</v>
      </c>
      <c r="E2331">
        <v>100</v>
      </c>
      <c r="F2331">
        <v>0</v>
      </c>
      <c r="G2331">
        <v>0</v>
      </c>
      <c r="H2331">
        <v>0</v>
      </c>
      <c r="I2331">
        <v>0</v>
      </c>
      <c r="J2331">
        <v>0</v>
      </c>
      <c r="K2331">
        <v>0</v>
      </c>
      <c r="L2331">
        <v>0</v>
      </c>
      <c r="M2331">
        <v>0</v>
      </c>
      <c r="N2331">
        <v>0</v>
      </c>
      <c r="O2331">
        <v>0</v>
      </c>
    </row>
    <row r="2332" spans="1:15">
      <c r="A2332" t="s">
        <v>2649</v>
      </c>
      <c r="B2332" t="s">
        <v>2562</v>
      </c>
      <c r="C2332" t="s">
        <v>404</v>
      </c>
      <c r="D2332">
        <v>1</v>
      </c>
      <c r="E2332">
        <v>100</v>
      </c>
      <c r="F2332">
        <v>0</v>
      </c>
      <c r="G2332">
        <v>0</v>
      </c>
      <c r="H2332">
        <v>0</v>
      </c>
      <c r="I2332">
        <v>0</v>
      </c>
      <c r="J2332">
        <v>0</v>
      </c>
      <c r="K2332">
        <v>0</v>
      </c>
      <c r="L2332">
        <v>0</v>
      </c>
      <c r="M2332">
        <v>0</v>
      </c>
      <c r="N2332">
        <v>0</v>
      </c>
      <c r="O2332">
        <v>0</v>
      </c>
    </row>
    <row r="2333" spans="1:15">
      <c r="A2333" t="s">
        <v>2650</v>
      </c>
      <c r="B2333" t="s">
        <v>2562</v>
      </c>
      <c r="C2333" t="s">
        <v>404</v>
      </c>
      <c r="D2333">
        <v>2</v>
      </c>
      <c r="E2333">
        <v>100</v>
      </c>
      <c r="F2333">
        <v>0</v>
      </c>
      <c r="G2333">
        <v>0</v>
      </c>
      <c r="H2333">
        <v>0</v>
      </c>
      <c r="I2333">
        <v>0</v>
      </c>
      <c r="J2333">
        <v>0</v>
      </c>
      <c r="K2333">
        <v>0</v>
      </c>
      <c r="L2333">
        <v>0</v>
      </c>
      <c r="M2333">
        <v>0</v>
      </c>
      <c r="N2333">
        <v>0</v>
      </c>
      <c r="O2333">
        <v>0</v>
      </c>
    </row>
    <row r="2334" spans="1:15">
      <c r="A2334" t="s">
        <v>2651</v>
      </c>
      <c r="B2334" t="s">
        <v>2562</v>
      </c>
      <c r="C2334" t="s">
        <v>404</v>
      </c>
      <c r="D2334">
        <v>3</v>
      </c>
      <c r="E2334">
        <v>100</v>
      </c>
      <c r="F2334">
        <v>0</v>
      </c>
      <c r="G2334">
        <v>0</v>
      </c>
      <c r="H2334">
        <v>0</v>
      </c>
      <c r="I2334">
        <v>0</v>
      </c>
      <c r="J2334">
        <v>0</v>
      </c>
      <c r="K2334">
        <v>0</v>
      </c>
      <c r="L2334">
        <v>0</v>
      </c>
      <c r="M2334">
        <v>0</v>
      </c>
      <c r="N2334">
        <v>0</v>
      </c>
      <c r="O2334">
        <v>0</v>
      </c>
    </row>
    <row r="2335" spans="1:15">
      <c r="A2335" t="s">
        <v>2652</v>
      </c>
      <c r="B2335" t="s">
        <v>2562</v>
      </c>
      <c r="C2335" t="s">
        <v>404</v>
      </c>
      <c r="D2335">
        <v>4</v>
      </c>
      <c r="E2335">
        <v>100</v>
      </c>
      <c r="F2335">
        <v>0</v>
      </c>
      <c r="G2335">
        <v>0</v>
      </c>
      <c r="H2335">
        <v>0</v>
      </c>
      <c r="I2335">
        <v>0</v>
      </c>
      <c r="J2335">
        <v>0</v>
      </c>
      <c r="K2335">
        <v>0</v>
      </c>
      <c r="L2335">
        <v>0</v>
      </c>
      <c r="M2335">
        <v>0</v>
      </c>
      <c r="N2335">
        <v>0</v>
      </c>
      <c r="O2335">
        <v>0</v>
      </c>
    </row>
    <row r="2336" spans="1:15">
      <c r="A2336" t="s">
        <v>2653</v>
      </c>
      <c r="B2336" t="s">
        <v>2562</v>
      </c>
      <c r="C2336" t="s">
        <v>404</v>
      </c>
      <c r="D2336">
        <v>5</v>
      </c>
      <c r="E2336">
        <v>100</v>
      </c>
      <c r="F2336">
        <v>0</v>
      </c>
      <c r="G2336">
        <v>0</v>
      </c>
      <c r="H2336">
        <v>0</v>
      </c>
      <c r="I2336">
        <v>0</v>
      </c>
      <c r="J2336">
        <v>0</v>
      </c>
      <c r="K2336">
        <v>0</v>
      </c>
      <c r="L2336">
        <v>0</v>
      </c>
      <c r="M2336">
        <v>0</v>
      </c>
      <c r="N2336">
        <v>0</v>
      </c>
      <c r="O2336">
        <v>0</v>
      </c>
    </row>
    <row r="2337" spans="1:15">
      <c r="A2337" t="s">
        <v>2654</v>
      </c>
      <c r="B2337" t="s">
        <v>2562</v>
      </c>
      <c r="C2337" t="s">
        <v>404</v>
      </c>
      <c r="D2337">
        <v>6</v>
      </c>
      <c r="E2337">
        <v>100</v>
      </c>
      <c r="F2337">
        <v>0</v>
      </c>
      <c r="G2337">
        <v>0</v>
      </c>
      <c r="H2337">
        <v>0</v>
      </c>
      <c r="I2337">
        <v>0</v>
      </c>
      <c r="J2337">
        <v>0</v>
      </c>
      <c r="K2337">
        <v>0</v>
      </c>
      <c r="L2337">
        <v>0</v>
      </c>
      <c r="M2337">
        <v>0</v>
      </c>
      <c r="N2337">
        <v>0</v>
      </c>
      <c r="O2337">
        <v>0</v>
      </c>
    </row>
    <row r="2338" spans="1:15">
      <c r="A2338" t="s">
        <v>2655</v>
      </c>
      <c r="B2338" t="s">
        <v>2562</v>
      </c>
      <c r="C2338" t="s">
        <v>404</v>
      </c>
      <c r="D2338">
        <v>7</v>
      </c>
      <c r="E2338">
        <v>100</v>
      </c>
      <c r="F2338">
        <v>0</v>
      </c>
      <c r="G2338">
        <v>0</v>
      </c>
      <c r="H2338">
        <v>0</v>
      </c>
      <c r="I2338">
        <v>0</v>
      </c>
      <c r="J2338">
        <v>0</v>
      </c>
      <c r="K2338">
        <v>0</v>
      </c>
      <c r="L2338">
        <v>0</v>
      </c>
      <c r="M2338">
        <v>0</v>
      </c>
      <c r="N2338">
        <v>0</v>
      </c>
      <c r="O2338">
        <v>0</v>
      </c>
    </row>
    <row r="2339" spans="1:15">
      <c r="A2339" t="s">
        <v>2656</v>
      </c>
      <c r="B2339" t="s">
        <v>2562</v>
      </c>
      <c r="C2339" t="s">
        <v>404</v>
      </c>
      <c r="D2339">
        <v>8</v>
      </c>
      <c r="E2339">
        <v>100</v>
      </c>
      <c r="F2339">
        <v>0</v>
      </c>
      <c r="G2339">
        <v>0</v>
      </c>
      <c r="H2339">
        <v>0</v>
      </c>
      <c r="I2339">
        <v>0</v>
      </c>
      <c r="J2339">
        <v>0</v>
      </c>
      <c r="K2339">
        <v>0</v>
      </c>
      <c r="L2339">
        <v>0</v>
      </c>
      <c r="M2339">
        <v>0</v>
      </c>
      <c r="N2339">
        <v>0</v>
      </c>
      <c r="O2339">
        <v>0</v>
      </c>
    </row>
    <row r="2340" spans="1:15">
      <c r="A2340" t="s">
        <v>2657</v>
      </c>
      <c r="B2340" t="s">
        <v>2562</v>
      </c>
      <c r="C2340" t="s">
        <v>404</v>
      </c>
      <c r="D2340">
        <v>9</v>
      </c>
      <c r="E2340">
        <v>100</v>
      </c>
      <c r="F2340">
        <v>0</v>
      </c>
      <c r="G2340">
        <v>0</v>
      </c>
      <c r="H2340">
        <v>0</v>
      </c>
      <c r="I2340">
        <v>0</v>
      </c>
      <c r="J2340">
        <v>0</v>
      </c>
      <c r="K2340">
        <v>0</v>
      </c>
      <c r="L2340">
        <v>0</v>
      </c>
      <c r="M2340">
        <v>0</v>
      </c>
      <c r="N2340">
        <v>0</v>
      </c>
      <c r="O2340">
        <v>0</v>
      </c>
    </row>
    <row r="2341" spans="1:15">
      <c r="A2341" t="s">
        <v>2658</v>
      </c>
      <c r="B2341" t="s">
        <v>2562</v>
      </c>
      <c r="C2341" t="s">
        <v>404</v>
      </c>
      <c r="D2341">
        <v>10</v>
      </c>
      <c r="E2341">
        <v>100</v>
      </c>
      <c r="F2341">
        <v>0</v>
      </c>
      <c r="G2341">
        <v>0</v>
      </c>
      <c r="H2341">
        <v>0</v>
      </c>
      <c r="I2341">
        <v>0</v>
      </c>
      <c r="J2341">
        <v>0</v>
      </c>
      <c r="K2341">
        <v>0</v>
      </c>
      <c r="L2341">
        <v>0</v>
      </c>
      <c r="M2341">
        <v>0</v>
      </c>
      <c r="N2341">
        <v>0</v>
      </c>
      <c r="O2341">
        <v>0</v>
      </c>
    </row>
    <row r="2342" spans="1:15">
      <c r="A2342" t="s">
        <v>2659</v>
      </c>
      <c r="B2342" t="s">
        <v>2562</v>
      </c>
      <c r="C2342" t="s">
        <v>404</v>
      </c>
      <c r="D2342">
        <v>11</v>
      </c>
      <c r="E2342">
        <v>100</v>
      </c>
      <c r="F2342">
        <v>0</v>
      </c>
      <c r="G2342">
        <v>0</v>
      </c>
      <c r="H2342">
        <v>0</v>
      </c>
      <c r="I2342">
        <v>0</v>
      </c>
      <c r="J2342">
        <v>0</v>
      </c>
      <c r="K2342">
        <v>0</v>
      </c>
      <c r="L2342">
        <v>0</v>
      </c>
      <c r="M2342">
        <v>0</v>
      </c>
      <c r="N2342">
        <v>0</v>
      </c>
      <c r="O2342">
        <v>0</v>
      </c>
    </row>
    <row r="2343" spans="1:15">
      <c r="A2343" t="s">
        <v>2660</v>
      </c>
      <c r="B2343" t="s">
        <v>2562</v>
      </c>
      <c r="C2343" t="s">
        <v>404</v>
      </c>
      <c r="D2343">
        <v>12</v>
      </c>
      <c r="E2343">
        <v>100</v>
      </c>
      <c r="F2343">
        <v>0</v>
      </c>
      <c r="G2343">
        <v>0</v>
      </c>
      <c r="H2343">
        <v>0</v>
      </c>
      <c r="I2343">
        <v>0</v>
      </c>
      <c r="J2343">
        <v>0</v>
      </c>
      <c r="K2343">
        <v>0</v>
      </c>
      <c r="L2343">
        <v>0</v>
      </c>
      <c r="M2343">
        <v>0</v>
      </c>
      <c r="N2343">
        <v>0</v>
      </c>
      <c r="O2343">
        <v>0</v>
      </c>
    </row>
    <row r="2344" spans="1:15">
      <c r="A2344" t="s">
        <v>2661</v>
      </c>
      <c r="B2344" t="s">
        <v>2562</v>
      </c>
      <c r="C2344" t="s">
        <v>404</v>
      </c>
      <c r="D2344">
        <v>13</v>
      </c>
      <c r="E2344">
        <v>100</v>
      </c>
      <c r="F2344">
        <v>0</v>
      </c>
      <c r="G2344">
        <v>0</v>
      </c>
      <c r="H2344">
        <v>0</v>
      </c>
      <c r="I2344">
        <v>0</v>
      </c>
      <c r="J2344">
        <v>0</v>
      </c>
      <c r="K2344">
        <v>0</v>
      </c>
      <c r="L2344">
        <v>0</v>
      </c>
      <c r="M2344">
        <v>0</v>
      </c>
      <c r="N2344">
        <v>0</v>
      </c>
      <c r="O2344">
        <v>0</v>
      </c>
    </row>
    <row r="2345" spans="1:15">
      <c r="A2345" t="s">
        <v>2662</v>
      </c>
      <c r="B2345" t="s">
        <v>2562</v>
      </c>
      <c r="C2345" t="s">
        <v>404</v>
      </c>
      <c r="D2345">
        <v>14</v>
      </c>
      <c r="E2345">
        <v>100</v>
      </c>
      <c r="F2345">
        <v>0</v>
      </c>
      <c r="G2345">
        <v>0</v>
      </c>
      <c r="H2345">
        <v>0</v>
      </c>
      <c r="I2345">
        <v>0</v>
      </c>
      <c r="J2345">
        <v>0</v>
      </c>
      <c r="K2345">
        <v>0</v>
      </c>
      <c r="L2345">
        <v>0</v>
      </c>
      <c r="M2345">
        <v>0</v>
      </c>
      <c r="N2345">
        <v>0</v>
      </c>
      <c r="O2345">
        <v>0</v>
      </c>
    </row>
    <row r="2346" spans="1:15">
      <c r="A2346" t="s">
        <v>2663</v>
      </c>
      <c r="B2346" t="s">
        <v>2562</v>
      </c>
      <c r="C2346" t="s">
        <v>404</v>
      </c>
      <c r="D2346">
        <v>15</v>
      </c>
      <c r="E2346">
        <v>100</v>
      </c>
      <c r="F2346">
        <v>0</v>
      </c>
      <c r="G2346">
        <v>0</v>
      </c>
      <c r="H2346">
        <v>0</v>
      </c>
      <c r="I2346">
        <v>0</v>
      </c>
      <c r="J2346">
        <v>0</v>
      </c>
      <c r="K2346">
        <v>0</v>
      </c>
      <c r="L2346">
        <v>0</v>
      </c>
      <c r="M2346">
        <v>0</v>
      </c>
      <c r="N2346">
        <v>0</v>
      </c>
      <c r="O2346">
        <v>0</v>
      </c>
    </row>
    <row r="2347" spans="1:15">
      <c r="A2347" t="s">
        <v>2664</v>
      </c>
      <c r="B2347" t="s">
        <v>2562</v>
      </c>
      <c r="C2347" t="s">
        <v>404</v>
      </c>
      <c r="D2347">
        <v>16</v>
      </c>
      <c r="E2347">
        <v>100</v>
      </c>
      <c r="F2347">
        <v>0</v>
      </c>
      <c r="G2347">
        <v>0</v>
      </c>
      <c r="H2347">
        <v>0</v>
      </c>
      <c r="I2347">
        <v>0</v>
      </c>
      <c r="J2347">
        <v>0</v>
      </c>
      <c r="K2347">
        <v>0</v>
      </c>
      <c r="L2347">
        <v>0</v>
      </c>
      <c r="M2347">
        <v>0</v>
      </c>
      <c r="N2347">
        <v>0</v>
      </c>
      <c r="O2347">
        <v>0</v>
      </c>
    </row>
    <row r="2348" spans="1:15">
      <c r="A2348" t="s">
        <v>2665</v>
      </c>
      <c r="B2348" t="s">
        <v>2562</v>
      </c>
      <c r="C2348" t="s">
        <v>404</v>
      </c>
      <c r="D2348">
        <v>17</v>
      </c>
      <c r="E2348">
        <v>100</v>
      </c>
      <c r="F2348">
        <v>0</v>
      </c>
      <c r="G2348">
        <v>0</v>
      </c>
      <c r="H2348">
        <v>0</v>
      </c>
      <c r="I2348">
        <v>0</v>
      </c>
      <c r="J2348">
        <v>0</v>
      </c>
      <c r="K2348">
        <v>0</v>
      </c>
      <c r="L2348">
        <v>0</v>
      </c>
      <c r="M2348">
        <v>0</v>
      </c>
      <c r="N2348">
        <v>0</v>
      </c>
      <c r="O2348">
        <v>0</v>
      </c>
    </row>
    <row r="2349" spans="1:15">
      <c r="A2349" t="s">
        <v>2666</v>
      </c>
      <c r="B2349" t="s">
        <v>2562</v>
      </c>
      <c r="C2349" t="s">
        <v>404</v>
      </c>
      <c r="D2349">
        <v>18</v>
      </c>
      <c r="E2349">
        <v>100</v>
      </c>
      <c r="F2349">
        <v>0</v>
      </c>
      <c r="G2349">
        <v>0</v>
      </c>
      <c r="H2349">
        <v>0</v>
      </c>
      <c r="I2349">
        <v>0</v>
      </c>
      <c r="J2349">
        <v>0</v>
      </c>
      <c r="K2349">
        <v>0</v>
      </c>
      <c r="L2349">
        <v>0</v>
      </c>
      <c r="M2349">
        <v>0</v>
      </c>
      <c r="N2349">
        <v>0</v>
      </c>
      <c r="O2349">
        <v>0</v>
      </c>
    </row>
    <row r="2350" spans="1:15">
      <c r="A2350" t="s">
        <v>2667</v>
      </c>
      <c r="B2350" t="s">
        <v>2562</v>
      </c>
      <c r="C2350" t="s">
        <v>404</v>
      </c>
      <c r="D2350">
        <v>19</v>
      </c>
      <c r="E2350">
        <v>100</v>
      </c>
      <c r="F2350">
        <v>0</v>
      </c>
      <c r="G2350">
        <v>0</v>
      </c>
      <c r="H2350">
        <v>0</v>
      </c>
      <c r="I2350">
        <v>0</v>
      </c>
      <c r="J2350">
        <v>0</v>
      </c>
      <c r="K2350">
        <v>0</v>
      </c>
      <c r="L2350">
        <v>0</v>
      </c>
      <c r="M2350">
        <v>0</v>
      </c>
      <c r="N2350">
        <v>0</v>
      </c>
      <c r="O2350">
        <v>0</v>
      </c>
    </row>
    <row r="2351" spans="1:15">
      <c r="A2351" t="s">
        <v>2668</v>
      </c>
      <c r="B2351" t="s">
        <v>2562</v>
      </c>
      <c r="C2351" t="s">
        <v>404</v>
      </c>
      <c r="D2351">
        <v>20</v>
      </c>
      <c r="E2351">
        <v>100</v>
      </c>
      <c r="F2351">
        <v>0</v>
      </c>
      <c r="G2351">
        <v>0</v>
      </c>
      <c r="H2351">
        <v>0</v>
      </c>
      <c r="I2351">
        <v>0</v>
      </c>
      <c r="J2351">
        <v>0</v>
      </c>
      <c r="K2351">
        <v>0</v>
      </c>
      <c r="L2351">
        <v>0</v>
      </c>
      <c r="M2351">
        <v>0</v>
      </c>
      <c r="N2351">
        <v>0</v>
      </c>
      <c r="O2351">
        <v>0</v>
      </c>
    </row>
    <row r="2352" spans="1:15">
      <c r="A2352" t="s">
        <v>2669</v>
      </c>
      <c r="B2352" t="s">
        <v>2562</v>
      </c>
      <c r="C2352" t="s">
        <v>404</v>
      </c>
      <c r="D2352">
        <v>21</v>
      </c>
      <c r="E2352">
        <v>100</v>
      </c>
      <c r="F2352">
        <v>0</v>
      </c>
      <c r="G2352">
        <v>0</v>
      </c>
      <c r="H2352">
        <v>0</v>
      </c>
      <c r="I2352">
        <v>0</v>
      </c>
      <c r="J2352">
        <v>0</v>
      </c>
      <c r="K2352">
        <v>0</v>
      </c>
      <c r="L2352">
        <v>0</v>
      </c>
      <c r="M2352">
        <v>0</v>
      </c>
      <c r="N2352">
        <v>0</v>
      </c>
      <c r="O2352">
        <v>0</v>
      </c>
    </row>
    <row r="2353" spans="1:15">
      <c r="A2353" t="s">
        <v>2670</v>
      </c>
      <c r="B2353" t="s">
        <v>2562</v>
      </c>
      <c r="C2353" t="s">
        <v>404</v>
      </c>
      <c r="D2353">
        <v>22</v>
      </c>
      <c r="E2353">
        <v>100</v>
      </c>
      <c r="F2353">
        <v>0</v>
      </c>
      <c r="G2353">
        <v>0</v>
      </c>
      <c r="H2353">
        <v>0</v>
      </c>
      <c r="I2353">
        <v>0</v>
      </c>
      <c r="J2353">
        <v>0</v>
      </c>
      <c r="K2353">
        <v>0</v>
      </c>
      <c r="L2353">
        <v>0</v>
      </c>
      <c r="M2353">
        <v>0</v>
      </c>
      <c r="N2353">
        <v>0</v>
      </c>
      <c r="O2353">
        <v>0</v>
      </c>
    </row>
    <row r="2354" spans="1:15">
      <c r="A2354" t="s">
        <v>2671</v>
      </c>
      <c r="B2354" t="s">
        <v>2562</v>
      </c>
      <c r="C2354" t="s">
        <v>404</v>
      </c>
      <c r="D2354">
        <v>23</v>
      </c>
      <c r="E2354">
        <v>100</v>
      </c>
      <c r="F2354">
        <v>0</v>
      </c>
      <c r="G2354">
        <v>0</v>
      </c>
      <c r="H2354">
        <v>0</v>
      </c>
      <c r="I2354">
        <v>0</v>
      </c>
      <c r="J2354">
        <v>0</v>
      </c>
      <c r="K2354">
        <v>0</v>
      </c>
      <c r="L2354">
        <v>0</v>
      </c>
      <c r="M2354">
        <v>0</v>
      </c>
      <c r="N2354">
        <v>0</v>
      </c>
      <c r="O2354">
        <v>0</v>
      </c>
    </row>
    <row r="2355" spans="1:15">
      <c r="A2355" t="s">
        <v>2672</v>
      </c>
      <c r="B2355" t="s">
        <v>2562</v>
      </c>
      <c r="C2355" t="s">
        <v>404</v>
      </c>
      <c r="D2355">
        <v>24</v>
      </c>
      <c r="E2355">
        <v>100</v>
      </c>
      <c r="F2355">
        <v>0</v>
      </c>
      <c r="G2355">
        <v>0</v>
      </c>
      <c r="H2355">
        <v>0</v>
      </c>
      <c r="I2355">
        <v>0</v>
      </c>
      <c r="J2355">
        <v>0</v>
      </c>
      <c r="K2355">
        <v>0</v>
      </c>
      <c r="L2355">
        <v>0</v>
      </c>
      <c r="M2355">
        <v>0</v>
      </c>
      <c r="N2355">
        <v>0</v>
      </c>
      <c r="O2355">
        <v>0</v>
      </c>
    </row>
    <row r="2356" spans="1:15">
      <c r="A2356" t="s">
        <v>2673</v>
      </c>
      <c r="B2356" t="s">
        <v>2562</v>
      </c>
      <c r="C2356" t="s">
        <v>404</v>
      </c>
      <c r="D2356">
        <v>25</v>
      </c>
      <c r="E2356">
        <v>100</v>
      </c>
      <c r="F2356">
        <v>0</v>
      </c>
      <c r="G2356">
        <v>0</v>
      </c>
      <c r="H2356">
        <v>0</v>
      </c>
      <c r="I2356">
        <v>0</v>
      </c>
      <c r="J2356">
        <v>0</v>
      </c>
      <c r="K2356">
        <v>0</v>
      </c>
      <c r="L2356">
        <v>0</v>
      </c>
      <c r="M2356">
        <v>0</v>
      </c>
      <c r="N2356">
        <v>0</v>
      </c>
      <c r="O2356">
        <v>0</v>
      </c>
    </row>
    <row r="2357" spans="1:15">
      <c r="A2357" t="s">
        <v>2674</v>
      </c>
      <c r="B2357" t="s">
        <v>2562</v>
      </c>
      <c r="C2357" t="s">
        <v>404</v>
      </c>
      <c r="D2357">
        <v>26</v>
      </c>
      <c r="E2357">
        <v>100</v>
      </c>
      <c r="F2357">
        <v>0</v>
      </c>
      <c r="G2357">
        <v>0</v>
      </c>
      <c r="H2357">
        <v>0</v>
      </c>
      <c r="I2357">
        <v>0</v>
      </c>
      <c r="J2357">
        <v>0</v>
      </c>
      <c r="K2357">
        <v>0</v>
      </c>
      <c r="L2357">
        <v>0</v>
      </c>
      <c r="M2357">
        <v>0</v>
      </c>
      <c r="N2357">
        <v>0</v>
      </c>
      <c r="O2357">
        <v>0</v>
      </c>
    </row>
    <row r="2358" spans="1:15">
      <c r="A2358" t="s">
        <v>2675</v>
      </c>
      <c r="B2358" t="s">
        <v>2562</v>
      </c>
      <c r="C2358" t="s">
        <v>404</v>
      </c>
      <c r="D2358">
        <v>27</v>
      </c>
      <c r="E2358">
        <v>100</v>
      </c>
      <c r="F2358">
        <v>0</v>
      </c>
      <c r="G2358">
        <v>0</v>
      </c>
      <c r="H2358">
        <v>0</v>
      </c>
      <c r="I2358">
        <v>0</v>
      </c>
      <c r="J2358">
        <v>0</v>
      </c>
      <c r="K2358">
        <v>0</v>
      </c>
      <c r="L2358">
        <v>0</v>
      </c>
      <c r="M2358">
        <v>0</v>
      </c>
      <c r="N2358">
        <v>0</v>
      </c>
      <c r="O2358">
        <v>0</v>
      </c>
    </row>
    <row r="2359" spans="1:15">
      <c r="A2359" t="s">
        <v>2676</v>
      </c>
      <c r="B2359" t="s">
        <v>2562</v>
      </c>
      <c r="C2359" t="s">
        <v>404</v>
      </c>
      <c r="D2359">
        <v>28</v>
      </c>
      <c r="E2359">
        <v>100</v>
      </c>
      <c r="F2359">
        <v>0</v>
      </c>
      <c r="G2359">
        <v>0</v>
      </c>
      <c r="H2359">
        <v>0</v>
      </c>
      <c r="I2359">
        <v>0</v>
      </c>
      <c r="J2359">
        <v>0</v>
      </c>
      <c r="K2359">
        <v>0</v>
      </c>
      <c r="L2359">
        <v>0</v>
      </c>
      <c r="M2359">
        <v>0</v>
      </c>
      <c r="N2359">
        <v>0</v>
      </c>
      <c r="O2359">
        <v>0</v>
      </c>
    </row>
    <row r="2360" spans="1:15">
      <c r="A2360" t="s">
        <v>2677</v>
      </c>
      <c r="B2360" t="s">
        <v>2562</v>
      </c>
      <c r="C2360" t="s">
        <v>404</v>
      </c>
      <c r="D2360">
        <v>29</v>
      </c>
      <c r="E2360">
        <v>100</v>
      </c>
      <c r="F2360">
        <v>0</v>
      </c>
      <c r="G2360">
        <v>0</v>
      </c>
      <c r="H2360">
        <v>0</v>
      </c>
      <c r="I2360">
        <v>0</v>
      </c>
      <c r="J2360">
        <v>0</v>
      </c>
      <c r="K2360">
        <v>0</v>
      </c>
      <c r="L2360">
        <v>0</v>
      </c>
      <c r="M2360">
        <v>0</v>
      </c>
      <c r="N2360">
        <v>0</v>
      </c>
      <c r="O2360">
        <v>0</v>
      </c>
    </row>
    <row r="2361" spans="1:15">
      <c r="A2361" t="s">
        <v>2678</v>
      </c>
      <c r="B2361" t="s">
        <v>2562</v>
      </c>
      <c r="C2361" t="s">
        <v>404</v>
      </c>
      <c r="D2361">
        <v>30</v>
      </c>
      <c r="E2361">
        <v>100</v>
      </c>
      <c r="F2361">
        <v>0</v>
      </c>
      <c r="G2361">
        <v>0</v>
      </c>
      <c r="H2361">
        <v>0</v>
      </c>
      <c r="I2361">
        <v>0</v>
      </c>
      <c r="J2361">
        <v>0</v>
      </c>
      <c r="K2361">
        <v>0</v>
      </c>
      <c r="L2361">
        <v>0</v>
      </c>
      <c r="M2361">
        <v>0</v>
      </c>
      <c r="N2361">
        <v>0</v>
      </c>
      <c r="O2361">
        <v>0</v>
      </c>
    </row>
    <row r="2362" spans="1:15">
      <c r="A2362" t="s">
        <v>2679</v>
      </c>
      <c r="B2362" t="s">
        <v>2562</v>
      </c>
      <c r="C2362" t="s">
        <v>404</v>
      </c>
      <c r="D2362">
        <v>31</v>
      </c>
      <c r="E2362">
        <v>100</v>
      </c>
      <c r="F2362">
        <v>0</v>
      </c>
      <c r="G2362">
        <v>0</v>
      </c>
      <c r="H2362">
        <v>0</v>
      </c>
      <c r="I2362">
        <v>0</v>
      </c>
      <c r="J2362">
        <v>0</v>
      </c>
      <c r="K2362">
        <v>0</v>
      </c>
      <c r="L2362">
        <v>0</v>
      </c>
      <c r="M2362">
        <v>0</v>
      </c>
      <c r="N2362">
        <v>0</v>
      </c>
      <c r="O2362">
        <v>0</v>
      </c>
    </row>
    <row r="2363" spans="1:15">
      <c r="A2363" t="s">
        <v>2680</v>
      </c>
      <c r="B2363" t="s">
        <v>2562</v>
      </c>
      <c r="C2363" t="s">
        <v>404</v>
      </c>
      <c r="D2363">
        <v>32</v>
      </c>
      <c r="E2363">
        <v>100</v>
      </c>
      <c r="F2363">
        <v>0</v>
      </c>
      <c r="G2363">
        <v>0</v>
      </c>
      <c r="H2363">
        <v>0</v>
      </c>
      <c r="I2363">
        <v>0</v>
      </c>
      <c r="J2363">
        <v>0</v>
      </c>
      <c r="K2363">
        <v>0</v>
      </c>
      <c r="L2363">
        <v>0</v>
      </c>
      <c r="M2363">
        <v>0</v>
      </c>
      <c r="N2363">
        <v>0</v>
      </c>
      <c r="O2363">
        <v>0</v>
      </c>
    </row>
    <row r="2364" spans="1:15">
      <c r="A2364" t="s">
        <v>2681</v>
      </c>
      <c r="B2364" t="s">
        <v>2562</v>
      </c>
      <c r="C2364" t="s">
        <v>404</v>
      </c>
      <c r="D2364">
        <v>33</v>
      </c>
      <c r="E2364">
        <v>100</v>
      </c>
      <c r="F2364">
        <v>0</v>
      </c>
      <c r="G2364">
        <v>0</v>
      </c>
      <c r="H2364">
        <v>0</v>
      </c>
      <c r="I2364">
        <v>0</v>
      </c>
      <c r="J2364">
        <v>0</v>
      </c>
      <c r="K2364">
        <v>0</v>
      </c>
      <c r="L2364">
        <v>0</v>
      </c>
      <c r="M2364">
        <v>0</v>
      </c>
      <c r="N2364">
        <v>0</v>
      </c>
      <c r="O2364">
        <v>0</v>
      </c>
    </row>
    <row r="2365" spans="1:15">
      <c r="A2365" t="s">
        <v>2682</v>
      </c>
      <c r="B2365" t="s">
        <v>2562</v>
      </c>
      <c r="C2365" t="s">
        <v>404</v>
      </c>
      <c r="D2365">
        <v>34</v>
      </c>
      <c r="E2365">
        <v>100</v>
      </c>
      <c r="F2365">
        <v>0</v>
      </c>
      <c r="G2365">
        <v>0</v>
      </c>
      <c r="H2365">
        <v>0</v>
      </c>
      <c r="I2365">
        <v>0</v>
      </c>
      <c r="J2365">
        <v>0</v>
      </c>
      <c r="K2365">
        <v>0</v>
      </c>
      <c r="L2365">
        <v>0</v>
      </c>
      <c r="M2365">
        <v>0</v>
      </c>
      <c r="N2365">
        <v>0</v>
      </c>
      <c r="O2365">
        <v>0</v>
      </c>
    </row>
    <row r="2366" spans="1:15">
      <c r="A2366" t="s">
        <v>2683</v>
      </c>
      <c r="B2366" t="s">
        <v>2562</v>
      </c>
      <c r="C2366" t="s">
        <v>404</v>
      </c>
      <c r="D2366">
        <v>35</v>
      </c>
      <c r="E2366">
        <v>100</v>
      </c>
      <c r="F2366">
        <v>0</v>
      </c>
      <c r="G2366">
        <v>0</v>
      </c>
      <c r="H2366">
        <v>0</v>
      </c>
      <c r="I2366">
        <v>0</v>
      </c>
      <c r="J2366">
        <v>0</v>
      </c>
      <c r="K2366">
        <v>0</v>
      </c>
      <c r="L2366">
        <v>0</v>
      </c>
      <c r="M2366">
        <v>0</v>
      </c>
      <c r="N2366">
        <v>0</v>
      </c>
      <c r="O2366">
        <v>0</v>
      </c>
    </row>
    <row r="2367" spans="1:15">
      <c r="A2367" t="s">
        <v>2684</v>
      </c>
      <c r="B2367" t="s">
        <v>2562</v>
      </c>
      <c r="C2367" t="s">
        <v>404</v>
      </c>
      <c r="D2367">
        <v>36</v>
      </c>
      <c r="E2367">
        <v>100</v>
      </c>
      <c r="F2367">
        <v>0</v>
      </c>
      <c r="G2367">
        <v>0</v>
      </c>
      <c r="H2367">
        <v>0</v>
      </c>
      <c r="I2367">
        <v>0</v>
      </c>
      <c r="J2367">
        <v>0</v>
      </c>
      <c r="K2367">
        <v>0</v>
      </c>
      <c r="L2367">
        <v>0</v>
      </c>
      <c r="M2367">
        <v>0</v>
      </c>
      <c r="N2367">
        <v>0</v>
      </c>
      <c r="O2367">
        <v>0</v>
      </c>
    </row>
    <row r="2368" spans="1:15">
      <c r="A2368" t="s">
        <v>2685</v>
      </c>
      <c r="B2368" t="s">
        <v>2562</v>
      </c>
      <c r="C2368" t="s">
        <v>404</v>
      </c>
      <c r="D2368">
        <v>37</v>
      </c>
      <c r="E2368">
        <v>100</v>
      </c>
      <c r="F2368">
        <v>0</v>
      </c>
      <c r="G2368">
        <v>0</v>
      </c>
      <c r="H2368">
        <v>0</v>
      </c>
      <c r="I2368">
        <v>0</v>
      </c>
      <c r="J2368">
        <v>0</v>
      </c>
      <c r="K2368">
        <v>0</v>
      </c>
      <c r="L2368">
        <v>0</v>
      </c>
      <c r="M2368">
        <v>0</v>
      </c>
      <c r="N2368">
        <v>0</v>
      </c>
      <c r="O2368">
        <v>0</v>
      </c>
    </row>
    <row r="2369" spans="1:15">
      <c r="A2369" t="s">
        <v>2686</v>
      </c>
      <c r="B2369" t="s">
        <v>2562</v>
      </c>
      <c r="C2369" t="s">
        <v>404</v>
      </c>
      <c r="D2369">
        <v>38</v>
      </c>
      <c r="E2369">
        <v>100</v>
      </c>
      <c r="F2369">
        <v>0</v>
      </c>
      <c r="G2369">
        <v>0</v>
      </c>
      <c r="H2369">
        <v>0</v>
      </c>
      <c r="I2369">
        <v>0</v>
      </c>
      <c r="J2369">
        <v>0</v>
      </c>
      <c r="K2369">
        <v>0</v>
      </c>
      <c r="L2369">
        <v>0</v>
      </c>
      <c r="M2369">
        <v>0</v>
      </c>
      <c r="N2369">
        <v>0</v>
      </c>
      <c r="O2369">
        <v>0</v>
      </c>
    </row>
    <row r="2370" spans="1:15">
      <c r="A2370" t="s">
        <v>2687</v>
      </c>
      <c r="B2370" t="s">
        <v>2562</v>
      </c>
      <c r="C2370" t="s">
        <v>404</v>
      </c>
      <c r="D2370">
        <v>39</v>
      </c>
      <c r="E2370">
        <v>100</v>
      </c>
      <c r="F2370">
        <v>0</v>
      </c>
      <c r="G2370">
        <v>0</v>
      </c>
      <c r="H2370">
        <v>0</v>
      </c>
      <c r="I2370">
        <v>0</v>
      </c>
      <c r="J2370">
        <v>0</v>
      </c>
      <c r="K2370">
        <v>0</v>
      </c>
      <c r="L2370">
        <v>0</v>
      </c>
      <c r="M2370">
        <v>0</v>
      </c>
      <c r="N2370">
        <v>0</v>
      </c>
      <c r="O2370">
        <v>0</v>
      </c>
    </row>
    <row r="2371" spans="1:15">
      <c r="A2371" t="s">
        <v>2688</v>
      </c>
      <c r="B2371" t="s">
        <v>2562</v>
      </c>
      <c r="C2371" t="s">
        <v>404</v>
      </c>
      <c r="D2371">
        <v>40</v>
      </c>
      <c r="E2371">
        <v>100</v>
      </c>
      <c r="F2371">
        <v>0</v>
      </c>
      <c r="G2371">
        <v>0</v>
      </c>
      <c r="H2371">
        <v>0</v>
      </c>
      <c r="I2371">
        <v>0</v>
      </c>
      <c r="J2371">
        <v>0</v>
      </c>
      <c r="K2371">
        <v>0</v>
      </c>
      <c r="L2371">
        <v>0</v>
      </c>
      <c r="M2371">
        <v>0</v>
      </c>
      <c r="N2371">
        <v>0</v>
      </c>
      <c r="O2371">
        <v>0</v>
      </c>
    </row>
    <row r="2372" spans="1:15">
      <c r="A2372" t="s">
        <v>2689</v>
      </c>
      <c r="B2372" t="s">
        <v>2562</v>
      </c>
      <c r="C2372" t="s">
        <v>404</v>
      </c>
      <c r="D2372">
        <v>41</v>
      </c>
      <c r="E2372">
        <v>100</v>
      </c>
      <c r="F2372">
        <v>0</v>
      </c>
      <c r="G2372">
        <v>0</v>
      </c>
      <c r="H2372">
        <v>0</v>
      </c>
      <c r="I2372">
        <v>0</v>
      </c>
      <c r="J2372">
        <v>0</v>
      </c>
      <c r="K2372">
        <v>0</v>
      </c>
      <c r="L2372">
        <v>0</v>
      </c>
      <c r="M2372">
        <v>0</v>
      </c>
      <c r="N2372">
        <v>0</v>
      </c>
      <c r="O2372">
        <v>0</v>
      </c>
    </row>
    <row r="2373" spans="1:15">
      <c r="A2373" t="s">
        <v>2690</v>
      </c>
      <c r="B2373" t="s">
        <v>2562</v>
      </c>
      <c r="C2373" t="s">
        <v>404</v>
      </c>
      <c r="D2373">
        <v>42</v>
      </c>
      <c r="E2373">
        <v>100</v>
      </c>
      <c r="F2373">
        <v>0</v>
      </c>
      <c r="G2373">
        <v>0</v>
      </c>
      <c r="H2373">
        <v>0</v>
      </c>
      <c r="I2373">
        <v>0</v>
      </c>
      <c r="J2373">
        <v>0</v>
      </c>
      <c r="K2373">
        <v>0</v>
      </c>
      <c r="L2373">
        <v>0</v>
      </c>
      <c r="M2373">
        <v>0</v>
      </c>
      <c r="N2373">
        <v>0</v>
      </c>
      <c r="O2373">
        <v>0</v>
      </c>
    </row>
    <row r="2374" spans="1:15">
      <c r="A2374" t="s">
        <v>2691</v>
      </c>
      <c r="B2374" t="s">
        <v>2562</v>
      </c>
      <c r="C2374" t="s">
        <v>404</v>
      </c>
      <c r="D2374">
        <v>43</v>
      </c>
      <c r="E2374">
        <v>100</v>
      </c>
      <c r="F2374">
        <v>0</v>
      </c>
      <c r="G2374">
        <v>0</v>
      </c>
      <c r="H2374">
        <v>0</v>
      </c>
      <c r="I2374">
        <v>0</v>
      </c>
      <c r="J2374">
        <v>0</v>
      </c>
      <c r="K2374">
        <v>0</v>
      </c>
      <c r="L2374">
        <v>0</v>
      </c>
      <c r="M2374">
        <v>0</v>
      </c>
      <c r="N2374">
        <v>0</v>
      </c>
      <c r="O2374">
        <v>0</v>
      </c>
    </row>
    <row r="2375" spans="1:15">
      <c r="A2375" t="s">
        <v>2692</v>
      </c>
      <c r="B2375" t="s">
        <v>2562</v>
      </c>
      <c r="C2375" t="s">
        <v>404</v>
      </c>
      <c r="D2375">
        <v>44</v>
      </c>
      <c r="E2375">
        <v>100</v>
      </c>
      <c r="F2375">
        <v>0</v>
      </c>
      <c r="G2375">
        <v>0</v>
      </c>
      <c r="H2375">
        <v>0</v>
      </c>
      <c r="I2375">
        <v>0</v>
      </c>
      <c r="J2375">
        <v>0</v>
      </c>
      <c r="K2375">
        <v>0</v>
      </c>
      <c r="L2375">
        <v>0</v>
      </c>
      <c r="M2375">
        <v>0</v>
      </c>
      <c r="N2375">
        <v>0</v>
      </c>
      <c r="O2375">
        <v>0</v>
      </c>
    </row>
    <row r="2376" spans="1:15">
      <c r="A2376" t="s">
        <v>2693</v>
      </c>
      <c r="B2376" t="s">
        <v>2562</v>
      </c>
      <c r="C2376" t="s">
        <v>404</v>
      </c>
      <c r="D2376">
        <v>45</v>
      </c>
      <c r="E2376">
        <v>100</v>
      </c>
      <c r="F2376">
        <v>0</v>
      </c>
      <c r="G2376">
        <v>0</v>
      </c>
      <c r="H2376">
        <v>0</v>
      </c>
      <c r="I2376">
        <v>0</v>
      </c>
      <c r="J2376">
        <v>0</v>
      </c>
      <c r="K2376">
        <v>0</v>
      </c>
      <c r="L2376">
        <v>0</v>
      </c>
      <c r="M2376">
        <v>0</v>
      </c>
      <c r="N2376">
        <v>0</v>
      </c>
      <c r="O2376">
        <v>0</v>
      </c>
    </row>
    <row r="2377" spans="1:15">
      <c r="A2377" t="s">
        <v>2694</v>
      </c>
      <c r="B2377" t="s">
        <v>2562</v>
      </c>
      <c r="C2377" t="s">
        <v>404</v>
      </c>
      <c r="D2377">
        <v>46</v>
      </c>
      <c r="E2377">
        <v>100</v>
      </c>
      <c r="F2377">
        <v>0</v>
      </c>
      <c r="G2377">
        <v>0</v>
      </c>
      <c r="H2377">
        <v>0</v>
      </c>
      <c r="I2377">
        <v>0</v>
      </c>
      <c r="J2377">
        <v>0</v>
      </c>
      <c r="K2377">
        <v>0</v>
      </c>
      <c r="L2377">
        <v>0</v>
      </c>
      <c r="M2377">
        <v>0</v>
      </c>
      <c r="N2377">
        <v>0</v>
      </c>
      <c r="O2377">
        <v>0</v>
      </c>
    </row>
    <row r="2378" spans="1:15">
      <c r="A2378" t="s">
        <v>2695</v>
      </c>
      <c r="B2378" t="s">
        <v>2562</v>
      </c>
      <c r="C2378" t="s">
        <v>404</v>
      </c>
      <c r="D2378">
        <v>47</v>
      </c>
      <c r="E2378">
        <v>100</v>
      </c>
      <c r="F2378">
        <v>0</v>
      </c>
      <c r="G2378">
        <v>0</v>
      </c>
      <c r="H2378">
        <v>0</v>
      </c>
      <c r="I2378">
        <v>0</v>
      </c>
      <c r="J2378">
        <v>0</v>
      </c>
      <c r="K2378">
        <v>0</v>
      </c>
      <c r="L2378">
        <v>0</v>
      </c>
      <c r="M2378">
        <v>0</v>
      </c>
      <c r="N2378">
        <v>0</v>
      </c>
      <c r="O2378">
        <v>0</v>
      </c>
    </row>
    <row r="2379" spans="1:15">
      <c r="A2379" t="s">
        <v>2696</v>
      </c>
      <c r="B2379" t="s">
        <v>2562</v>
      </c>
      <c r="C2379" t="s">
        <v>404</v>
      </c>
      <c r="D2379">
        <v>48</v>
      </c>
      <c r="E2379">
        <v>100</v>
      </c>
      <c r="F2379">
        <v>0</v>
      </c>
      <c r="G2379">
        <v>0</v>
      </c>
      <c r="H2379">
        <v>0</v>
      </c>
      <c r="I2379">
        <v>0</v>
      </c>
      <c r="J2379">
        <v>0</v>
      </c>
      <c r="K2379">
        <v>0</v>
      </c>
      <c r="L2379">
        <v>0</v>
      </c>
      <c r="M2379">
        <v>0</v>
      </c>
      <c r="N2379">
        <v>0</v>
      </c>
      <c r="O2379">
        <v>0</v>
      </c>
    </row>
    <row r="2380" spans="1:15">
      <c r="A2380" t="s">
        <v>2697</v>
      </c>
      <c r="B2380" t="s">
        <v>2562</v>
      </c>
      <c r="C2380" t="s">
        <v>404</v>
      </c>
      <c r="D2380">
        <v>49</v>
      </c>
      <c r="E2380">
        <v>100</v>
      </c>
      <c r="F2380">
        <v>0</v>
      </c>
      <c r="G2380">
        <v>0</v>
      </c>
      <c r="H2380">
        <v>0</v>
      </c>
      <c r="I2380">
        <v>0</v>
      </c>
      <c r="J2380">
        <v>0</v>
      </c>
      <c r="K2380">
        <v>0</v>
      </c>
      <c r="L2380">
        <v>0</v>
      </c>
      <c r="M2380">
        <v>0</v>
      </c>
      <c r="N2380">
        <v>0</v>
      </c>
      <c r="O2380">
        <v>0</v>
      </c>
    </row>
    <row r="2381" spans="1:15">
      <c r="A2381" t="s">
        <v>2698</v>
      </c>
      <c r="B2381" t="s">
        <v>2562</v>
      </c>
      <c r="C2381" t="s">
        <v>404</v>
      </c>
      <c r="D2381">
        <v>50</v>
      </c>
      <c r="E2381">
        <v>100</v>
      </c>
      <c r="F2381">
        <v>0</v>
      </c>
      <c r="G2381">
        <v>0</v>
      </c>
      <c r="H2381">
        <v>0</v>
      </c>
      <c r="I2381">
        <v>0</v>
      </c>
      <c r="J2381">
        <v>0</v>
      </c>
      <c r="K2381">
        <v>0</v>
      </c>
      <c r="L2381">
        <v>0</v>
      </c>
      <c r="M2381">
        <v>0</v>
      </c>
      <c r="N2381">
        <v>0</v>
      </c>
      <c r="O2381">
        <v>0</v>
      </c>
    </row>
    <row r="2382" spans="1:15">
      <c r="A2382" t="s">
        <v>2699</v>
      </c>
      <c r="B2382" t="s">
        <v>2562</v>
      </c>
      <c r="C2382" t="s">
        <v>404</v>
      </c>
      <c r="D2382">
        <v>51</v>
      </c>
      <c r="E2382">
        <v>100</v>
      </c>
      <c r="F2382">
        <v>0</v>
      </c>
      <c r="G2382">
        <v>0</v>
      </c>
      <c r="H2382">
        <v>0</v>
      </c>
      <c r="I2382">
        <v>0</v>
      </c>
      <c r="J2382">
        <v>0</v>
      </c>
      <c r="K2382">
        <v>0</v>
      </c>
      <c r="L2382">
        <v>0</v>
      </c>
      <c r="M2382">
        <v>0</v>
      </c>
      <c r="N2382">
        <v>0</v>
      </c>
      <c r="O2382">
        <v>0</v>
      </c>
    </row>
    <row r="2383" spans="1:15">
      <c r="A2383" t="s">
        <v>2700</v>
      </c>
      <c r="B2383" t="s">
        <v>2562</v>
      </c>
      <c r="C2383" t="s">
        <v>404</v>
      </c>
      <c r="D2383">
        <v>52</v>
      </c>
      <c r="E2383">
        <v>100</v>
      </c>
      <c r="F2383">
        <v>0</v>
      </c>
      <c r="G2383">
        <v>0</v>
      </c>
      <c r="H2383">
        <v>0</v>
      </c>
      <c r="I2383">
        <v>0</v>
      </c>
      <c r="J2383">
        <v>0</v>
      </c>
      <c r="K2383">
        <v>0</v>
      </c>
      <c r="L2383">
        <v>0</v>
      </c>
      <c r="M2383">
        <v>0</v>
      </c>
      <c r="N2383">
        <v>0</v>
      </c>
      <c r="O2383">
        <v>0</v>
      </c>
    </row>
    <row r="2384" spans="1:15">
      <c r="A2384" t="s">
        <v>2701</v>
      </c>
      <c r="B2384" t="s">
        <v>2562</v>
      </c>
      <c r="C2384" t="s">
        <v>404</v>
      </c>
      <c r="D2384">
        <v>53</v>
      </c>
      <c r="E2384">
        <v>100</v>
      </c>
      <c r="F2384">
        <v>0</v>
      </c>
      <c r="G2384">
        <v>0</v>
      </c>
      <c r="H2384">
        <v>0</v>
      </c>
      <c r="I2384">
        <v>0</v>
      </c>
      <c r="J2384">
        <v>0</v>
      </c>
      <c r="K2384">
        <v>0</v>
      </c>
      <c r="L2384">
        <v>0</v>
      </c>
      <c r="M2384">
        <v>0</v>
      </c>
      <c r="N2384">
        <v>0</v>
      </c>
      <c r="O2384">
        <v>0</v>
      </c>
    </row>
    <row r="2385" spans="1:15">
      <c r="A2385" t="s">
        <v>2702</v>
      </c>
      <c r="B2385" t="s">
        <v>2562</v>
      </c>
      <c r="C2385" t="s">
        <v>404</v>
      </c>
      <c r="D2385">
        <v>54</v>
      </c>
      <c r="E2385">
        <v>100</v>
      </c>
      <c r="F2385">
        <v>0</v>
      </c>
      <c r="G2385">
        <v>0</v>
      </c>
      <c r="H2385">
        <v>0</v>
      </c>
      <c r="I2385">
        <v>0</v>
      </c>
      <c r="J2385">
        <v>0</v>
      </c>
      <c r="K2385">
        <v>0</v>
      </c>
      <c r="L2385">
        <v>0</v>
      </c>
      <c r="M2385">
        <v>0</v>
      </c>
      <c r="N2385">
        <v>0</v>
      </c>
      <c r="O2385">
        <v>0</v>
      </c>
    </row>
    <row r="2386" spans="1:15">
      <c r="A2386" t="s">
        <v>2703</v>
      </c>
      <c r="B2386" t="s">
        <v>2562</v>
      </c>
      <c r="C2386" t="s">
        <v>404</v>
      </c>
      <c r="D2386">
        <v>55</v>
      </c>
      <c r="E2386">
        <v>100</v>
      </c>
      <c r="F2386">
        <v>0</v>
      </c>
      <c r="G2386">
        <v>0</v>
      </c>
      <c r="H2386">
        <v>0</v>
      </c>
      <c r="I2386">
        <v>0</v>
      </c>
      <c r="J2386">
        <v>0</v>
      </c>
      <c r="K2386">
        <v>0</v>
      </c>
      <c r="L2386">
        <v>0</v>
      </c>
      <c r="M2386">
        <v>0</v>
      </c>
      <c r="N2386">
        <v>0</v>
      </c>
      <c r="O2386">
        <v>0</v>
      </c>
    </row>
    <row r="2387" spans="1:15">
      <c r="A2387" t="s">
        <v>2704</v>
      </c>
      <c r="B2387" t="s">
        <v>2562</v>
      </c>
      <c r="C2387" t="s">
        <v>404</v>
      </c>
      <c r="D2387">
        <v>56</v>
      </c>
      <c r="E2387">
        <v>100</v>
      </c>
      <c r="F2387">
        <v>0</v>
      </c>
      <c r="G2387">
        <v>0</v>
      </c>
      <c r="H2387">
        <v>0</v>
      </c>
      <c r="I2387">
        <v>0</v>
      </c>
      <c r="J2387">
        <v>0</v>
      </c>
      <c r="K2387">
        <v>0</v>
      </c>
      <c r="L2387">
        <v>0</v>
      </c>
      <c r="M2387">
        <v>0</v>
      </c>
      <c r="N2387">
        <v>0</v>
      </c>
      <c r="O2387">
        <v>0</v>
      </c>
    </row>
    <row r="2388" spans="1:15">
      <c r="A2388" t="s">
        <v>2705</v>
      </c>
      <c r="B2388" t="s">
        <v>2562</v>
      </c>
      <c r="C2388" t="s">
        <v>404</v>
      </c>
      <c r="D2388">
        <v>57</v>
      </c>
      <c r="E2388">
        <v>100</v>
      </c>
      <c r="F2388">
        <v>0</v>
      </c>
      <c r="G2388">
        <v>0</v>
      </c>
      <c r="H2388">
        <v>0</v>
      </c>
      <c r="I2388">
        <v>0</v>
      </c>
      <c r="J2388">
        <v>0</v>
      </c>
      <c r="K2388">
        <v>0</v>
      </c>
      <c r="L2388">
        <v>0</v>
      </c>
      <c r="M2388">
        <v>0</v>
      </c>
      <c r="N2388">
        <v>0</v>
      </c>
      <c r="O2388">
        <v>0</v>
      </c>
    </row>
    <row r="2389" spans="1:15">
      <c r="A2389" t="s">
        <v>2706</v>
      </c>
      <c r="B2389" t="s">
        <v>2562</v>
      </c>
      <c r="C2389" t="s">
        <v>404</v>
      </c>
      <c r="D2389">
        <v>58</v>
      </c>
      <c r="E2389">
        <v>100</v>
      </c>
      <c r="F2389">
        <v>0</v>
      </c>
      <c r="G2389">
        <v>0</v>
      </c>
      <c r="H2389">
        <v>0</v>
      </c>
      <c r="I2389">
        <v>0</v>
      </c>
      <c r="J2389">
        <v>0</v>
      </c>
      <c r="K2389">
        <v>0</v>
      </c>
      <c r="L2389">
        <v>0</v>
      </c>
      <c r="M2389">
        <v>0</v>
      </c>
      <c r="N2389">
        <v>0</v>
      </c>
      <c r="O2389">
        <v>0</v>
      </c>
    </row>
    <row r="2390" spans="1:15">
      <c r="A2390" t="s">
        <v>2707</v>
      </c>
      <c r="B2390" t="s">
        <v>2562</v>
      </c>
      <c r="C2390" t="s">
        <v>404</v>
      </c>
      <c r="D2390">
        <v>59</v>
      </c>
      <c r="E2390">
        <v>100</v>
      </c>
      <c r="F2390">
        <v>0</v>
      </c>
      <c r="G2390">
        <v>0</v>
      </c>
      <c r="H2390">
        <v>0</v>
      </c>
      <c r="I2390">
        <v>0</v>
      </c>
      <c r="J2390">
        <v>0</v>
      </c>
      <c r="K2390">
        <v>0</v>
      </c>
      <c r="L2390">
        <v>0</v>
      </c>
      <c r="M2390">
        <v>0</v>
      </c>
      <c r="N2390">
        <v>0</v>
      </c>
      <c r="O2390">
        <v>0</v>
      </c>
    </row>
    <row r="2391" spans="1:15">
      <c r="A2391" t="s">
        <v>2708</v>
      </c>
      <c r="B2391" t="s">
        <v>2562</v>
      </c>
      <c r="C2391" t="s">
        <v>404</v>
      </c>
      <c r="D2391">
        <v>60</v>
      </c>
      <c r="E2391">
        <v>100</v>
      </c>
      <c r="F2391">
        <v>0</v>
      </c>
      <c r="G2391">
        <v>0</v>
      </c>
      <c r="H2391">
        <v>0</v>
      </c>
      <c r="I2391">
        <v>0</v>
      </c>
      <c r="J2391">
        <v>0</v>
      </c>
      <c r="K2391">
        <v>0</v>
      </c>
      <c r="L2391">
        <v>0</v>
      </c>
      <c r="M2391">
        <v>0</v>
      </c>
      <c r="N2391">
        <v>0</v>
      </c>
      <c r="O2391">
        <v>0</v>
      </c>
    </row>
    <row r="2392" spans="1:15">
      <c r="A2392" t="s">
        <v>2709</v>
      </c>
      <c r="B2392" t="s">
        <v>2562</v>
      </c>
      <c r="C2392" t="s">
        <v>404</v>
      </c>
      <c r="D2392">
        <v>61</v>
      </c>
      <c r="E2392">
        <v>100</v>
      </c>
      <c r="F2392">
        <v>0</v>
      </c>
      <c r="G2392">
        <v>0</v>
      </c>
      <c r="H2392">
        <v>0</v>
      </c>
      <c r="I2392">
        <v>0</v>
      </c>
      <c r="J2392">
        <v>0</v>
      </c>
      <c r="K2392">
        <v>0</v>
      </c>
      <c r="L2392">
        <v>0</v>
      </c>
      <c r="M2392">
        <v>0</v>
      </c>
      <c r="N2392">
        <v>0</v>
      </c>
      <c r="O2392">
        <v>0</v>
      </c>
    </row>
    <row r="2393" spans="1:15">
      <c r="A2393" t="s">
        <v>2710</v>
      </c>
      <c r="B2393" t="s">
        <v>2562</v>
      </c>
      <c r="C2393" t="s">
        <v>404</v>
      </c>
      <c r="D2393">
        <v>62</v>
      </c>
      <c r="E2393">
        <v>100</v>
      </c>
      <c r="F2393">
        <v>0</v>
      </c>
      <c r="G2393">
        <v>0</v>
      </c>
      <c r="H2393">
        <v>0</v>
      </c>
      <c r="I2393">
        <v>0</v>
      </c>
      <c r="J2393">
        <v>0</v>
      </c>
      <c r="K2393">
        <v>0</v>
      </c>
      <c r="L2393">
        <v>0</v>
      </c>
      <c r="M2393">
        <v>0</v>
      </c>
      <c r="N2393">
        <v>0</v>
      </c>
      <c r="O2393">
        <v>0</v>
      </c>
    </row>
    <row r="2394" spans="1:15">
      <c r="A2394" t="s">
        <v>2711</v>
      </c>
      <c r="B2394" t="s">
        <v>2562</v>
      </c>
      <c r="C2394" t="s">
        <v>404</v>
      </c>
      <c r="D2394">
        <v>63</v>
      </c>
      <c r="E2394">
        <v>100</v>
      </c>
      <c r="F2394">
        <v>0</v>
      </c>
      <c r="G2394">
        <v>0</v>
      </c>
      <c r="H2394">
        <v>0</v>
      </c>
      <c r="I2394">
        <v>0</v>
      </c>
      <c r="J2394">
        <v>0</v>
      </c>
      <c r="K2394">
        <v>0</v>
      </c>
      <c r="L2394">
        <v>0</v>
      </c>
      <c r="M2394">
        <v>0</v>
      </c>
      <c r="N2394">
        <v>0</v>
      </c>
      <c r="O2394">
        <v>0</v>
      </c>
    </row>
    <row r="2395" spans="1:15">
      <c r="A2395" t="s">
        <v>2712</v>
      </c>
      <c r="B2395" t="s">
        <v>2562</v>
      </c>
      <c r="C2395" t="s">
        <v>404</v>
      </c>
      <c r="D2395">
        <v>64</v>
      </c>
      <c r="E2395">
        <v>100</v>
      </c>
      <c r="F2395">
        <v>0</v>
      </c>
      <c r="G2395">
        <v>0</v>
      </c>
      <c r="H2395">
        <v>0</v>
      </c>
      <c r="I2395">
        <v>0</v>
      </c>
      <c r="J2395">
        <v>0</v>
      </c>
      <c r="K2395">
        <v>0</v>
      </c>
      <c r="L2395">
        <v>0</v>
      </c>
      <c r="M2395">
        <v>0</v>
      </c>
      <c r="N2395">
        <v>0</v>
      </c>
      <c r="O2395">
        <v>0</v>
      </c>
    </row>
    <row r="2396" spans="1:15">
      <c r="A2396" t="s">
        <v>2713</v>
      </c>
      <c r="B2396" t="s">
        <v>2562</v>
      </c>
      <c r="C2396" t="s">
        <v>404</v>
      </c>
      <c r="D2396">
        <v>65</v>
      </c>
      <c r="E2396">
        <v>100</v>
      </c>
      <c r="F2396">
        <v>0</v>
      </c>
      <c r="G2396">
        <v>0</v>
      </c>
      <c r="H2396">
        <v>0</v>
      </c>
      <c r="I2396">
        <v>0</v>
      </c>
      <c r="J2396">
        <v>0</v>
      </c>
      <c r="K2396">
        <v>0</v>
      </c>
      <c r="L2396">
        <v>0</v>
      </c>
      <c r="M2396">
        <v>0</v>
      </c>
      <c r="N2396">
        <v>0</v>
      </c>
      <c r="O2396">
        <v>0</v>
      </c>
    </row>
    <row r="2397" spans="1:15">
      <c r="A2397" t="s">
        <v>2714</v>
      </c>
      <c r="B2397" t="s">
        <v>2562</v>
      </c>
      <c r="C2397" t="s">
        <v>404</v>
      </c>
      <c r="D2397">
        <v>66</v>
      </c>
      <c r="E2397">
        <v>100</v>
      </c>
      <c r="F2397">
        <v>0</v>
      </c>
      <c r="G2397">
        <v>0</v>
      </c>
      <c r="H2397">
        <v>0</v>
      </c>
      <c r="I2397">
        <v>0</v>
      </c>
      <c r="J2397">
        <v>0</v>
      </c>
      <c r="K2397">
        <v>0</v>
      </c>
      <c r="L2397">
        <v>0</v>
      </c>
      <c r="M2397">
        <v>0</v>
      </c>
      <c r="N2397">
        <v>0</v>
      </c>
      <c r="O2397">
        <v>0</v>
      </c>
    </row>
    <row r="2398" spans="1:15">
      <c r="A2398" t="s">
        <v>2715</v>
      </c>
      <c r="B2398" t="s">
        <v>2562</v>
      </c>
      <c r="C2398" t="s">
        <v>404</v>
      </c>
      <c r="D2398">
        <v>67</v>
      </c>
      <c r="E2398">
        <v>100</v>
      </c>
      <c r="F2398">
        <v>0</v>
      </c>
      <c r="G2398">
        <v>0</v>
      </c>
      <c r="H2398">
        <v>0</v>
      </c>
      <c r="I2398">
        <v>0</v>
      </c>
      <c r="J2398">
        <v>0</v>
      </c>
      <c r="K2398">
        <v>0</v>
      </c>
      <c r="L2398">
        <v>0</v>
      </c>
      <c r="M2398">
        <v>0</v>
      </c>
      <c r="N2398">
        <v>0</v>
      </c>
      <c r="O2398">
        <v>0</v>
      </c>
    </row>
    <row r="2399" spans="1:15">
      <c r="A2399" t="s">
        <v>2716</v>
      </c>
      <c r="B2399" t="s">
        <v>2562</v>
      </c>
      <c r="C2399" t="s">
        <v>404</v>
      </c>
      <c r="D2399">
        <v>68</v>
      </c>
      <c r="E2399">
        <v>100</v>
      </c>
      <c r="F2399">
        <v>0</v>
      </c>
      <c r="G2399">
        <v>0</v>
      </c>
      <c r="H2399">
        <v>0</v>
      </c>
      <c r="I2399">
        <v>0</v>
      </c>
      <c r="J2399">
        <v>0</v>
      </c>
      <c r="K2399">
        <v>0</v>
      </c>
      <c r="L2399">
        <v>0</v>
      </c>
      <c r="M2399">
        <v>0</v>
      </c>
      <c r="N2399">
        <v>0</v>
      </c>
      <c r="O2399">
        <v>0</v>
      </c>
    </row>
    <row r="2400" spans="1:15">
      <c r="A2400" t="s">
        <v>2717</v>
      </c>
      <c r="B2400" t="s">
        <v>2562</v>
      </c>
      <c r="C2400" t="s">
        <v>404</v>
      </c>
      <c r="D2400">
        <v>69</v>
      </c>
      <c r="E2400">
        <v>100</v>
      </c>
      <c r="F2400">
        <v>0</v>
      </c>
      <c r="G2400">
        <v>0</v>
      </c>
      <c r="H2400">
        <v>0</v>
      </c>
      <c r="I2400">
        <v>0</v>
      </c>
      <c r="J2400">
        <v>0</v>
      </c>
      <c r="K2400">
        <v>0</v>
      </c>
      <c r="L2400">
        <v>0</v>
      </c>
      <c r="M2400">
        <v>0</v>
      </c>
      <c r="N2400">
        <v>0</v>
      </c>
      <c r="O2400">
        <v>0</v>
      </c>
    </row>
    <row r="2401" spans="1:15">
      <c r="A2401" t="s">
        <v>2718</v>
      </c>
      <c r="B2401" t="s">
        <v>2562</v>
      </c>
      <c r="C2401" t="s">
        <v>404</v>
      </c>
      <c r="D2401">
        <v>70</v>
      </c>
      <c r="E2401">
        <v>100</v>
      </c>
      <c r="F2401">
        <v>0</v>
      </c>
      <c r="G2401">
        <v>0</v>
      </c>
      <c r="H2401">
        <v>0</v>
      </c>
      <c r="I2401">
        <v>0</v>
      </c>
      <c r="J2401">
        <v>0</v>
      </c>
      <c r="K2401">
        <v>0</v>
      </c>
      <c r="L2401">
        <v>0</v>
      </c>
      <c r="M2401">
        <v>0</v>
      </c>
      <c r="N2401">
        <v>0</v>
      </c>
      <c r="O2401">
        <v>0</v>
      </c>
    </row>
    <row r="2402" spans="1:15">
      <c r="A2402" t="s">
        <v>2719</v>
      </c>
      <c r="B2402" t="s">
        <v>2562</v>
      </c>
      <c r="C2402" t="s">
        <v>404</v>
      </c>
      <c r="D2402">
        <v>71</v>
      </c>
      <c r="E2402">
        <v>100</v>
      </c>
      <c r="F2402">
        <v>0</v>
      </c>
      <c r="G2402">
        <v>0</v>
      </c>
      <c r="H2402">
        <v>0</v>
      </c>
      <c r="I2402">
        <v>0</v>
      </c>
      <c r="J2402">
        <v>0</v>
      </c>
      <c r="K2402">
        <v>0</v>
      </c>
      <c r="L2402">
        <v>0</v>
      </c>
      <c r="M2402">
        <v>0</v>
      </c>
      <c r="N2402">
        <v>0</v>
      </c>
      <c r="O2402">
        <v>0</v>
      </c>
    </row>
    <row r="2403" spans="1:15">
      <c r="A2403" t="s">
        <v>2720</v>
      </c>
      <c r="B2403" t="s">
        <v>2562</v>
      </c>
      <c r="C2403" t="s">
        <v>404</v>
      </c>
      <c r="D2403">
        <v>72</v>
      </c>
      <c r="E2403">
        <v>100</v>
      </c>
      <c r="F2403">
        <v>0</v>
      </c>
      <c r="G2403">
        <v>0</v>
      </c>
      <c r="H2403">
        <v>0</v>
      </c>
      <c r="I2403">
        <v>0</v>
      </c>
      <c r="J2403">
        <v>0</v>
      </c>
      <c r="K2403">
        <v>0</v>
      </c>
      <c r="L2403">
        <v>0</v>
      </c>
      <c r="M2403">
        <v>0</v>
      </c>
      <c r="N2403">
        <v>0</v>
      </c>
      <c r="O2403">
        <v>0</v>
      </c>
    </row>
    <row r="2404" spans="1:15">
      <c r="A2404" t="s">
        <v>2721</v>
      </c>
      <c r="B2404" t="s">
        <v>2562</v>
      </c>
      <c r="C2404" t="s">
        <v>404</v>
      </c>
      <c r="D2404">
        <v>73</v>
      </c>
      <c r="E2404">
        <v>100</v>
      </c>
      <c r="F2404">
        <v>0</v>
      </c>
      <c r="G2404">
        <v>0</v>
      </c>
      <c r="H2404">
        <v>0</v>
      </c>
      <c r="I2404">
        <v>0</v>
      </c>
      <c r="J2404">
        <v>0</v>
      </c>
      <c r="K2404">
        <v>0</v>
      </c>
      <c r="L2404">
        <v>0</v>
      </c>
      <c r="M2404">
        <v>0</v>
      </c>
      <c r="N2404">
        <v>0</v>
      </c>
      <c r="O2404">
        <v>0</v>
      </c>
    </row>
    <row r="2405" spans="1:15">
      <c r="A2405" t="s">
        <v>2722</v>
      </c>
      <c r="B2405" t="s">
        <v>2562</v>
      </c>
      <c r="C2405" t="s">
        <v>404</v>
      </c>
      <c r="D2405">
        <v>74</v>
      </c>
      <c r="E2405">
        <v>100</v>
      </c>
      <c r="F2405">
        <v>0</v>
      </c>
      <c r="G2405">
        <v>0</v>
      </c>
      <c r="H2405">
        <v>0</v>
      </c>
      <c r="I2405">
        <v>0</v>
      </c>
      <c r="J2405">
        <v>0</v>
      </c>
      <c r="K2405">
        <v>0</v>
      </c>
      <c r="L2405">
        <v>0</v>
      </c>
      <c r="M2405">
        <v>0</v>
      </c>
      <c r="N2405">
        <v>0</v>
      </c>
      <c r="O2405">
        <v>0</v>
      </c>
    </row>
    <row r="2406" spans="1:15">
      <c r="A2406" t="s">
        <v>2723</v>
      </c>
      <c r="B2406" t="s">
        <v>2562</v>
      </c>
      <c r="C2406" t="s">
        <v>404</v>
      </c>
      <c r="D2406">
        <v>75</v>
      </c>
      <c r="E2406">
        <v>100</v>
      </c>
      <c r="F2406">
        <v>0</v>
      </c>
      <c r="G2406">
        <v>0</v>
      </c>
      <c r="H2406">
        <v>0</v>
      </c>
      <c r="I2406">
        <v>0</v>
      </c>
      <c r="J2406">
        <v>0</v>
      </c>
      <c r="K2406">
        <v>0</v>
      </c>
      <c r="L2406">
        <v>0</v>
      </c>
      <c r="M2406">
        <v>0</v>
      </c>
      <c r="N2406">
        <v>0</v>
      </c>
      <c r="O2406">
        <v>0</v>
      </c>
    </row>
    <row r="2407" spans="1:15">
      <c r="A2407" t="s">
        <v>2724</v>
      </c>
      <c r="B2407" t="s">
        <v>2562</v>
      </c>
      <c r="C2407" t="s">
        <v>404</v>
      </c>
      <c r="D2407">
        <v>76</v>
      </c>
      <c r="E2407">
        <v>100</v>
      </c>
      <c r="F2407">
        <v>0</v>
      </c>
      <c r="G2407">
        <v>0</v>
      </c>
      <c r="H2407">
        <v>0</v>
      </c>
      <c r="I2407">
        <v>0</v>
      </c>
      <c r="J2407">
        <v>0</v>
      </c>
      <c r="K2407">
        <v>0</v>
      </c>
      <c r="L2407">
        <v>0</v>
      </c>
      <c r="M2407">
        <v>0</v>
      </c>
      <c r="N2407">
        <v>0</v>
      </c>
      <c r="O2407">
        <v>0</v>
      </c>
    </row>
    <row r="2408" spans="1:15">
      <c r="A2408" t="s">
        <v>2725</v>
      </c>
      <c r="B2408" t="s">
        <v>2562</v>
      </c>
      <c r="C2408" t="s">
        <v>404</v>
      </c>
      <c r="D2408">
        <v>77</v>
      </c>
      <c r="E2408">
        <v>100</v>
      </c>
      <c r="F2408">
        <v>0</v>
      </c>
      <c r="G2408">
        <v>0</v>
      </c>
      <c r="H2408">
        <v>0</v>
      </c>
      <c r="I2408">
        <v>0</v>
      </c>
      <c r="J2408">
        <v>0</v>
      </c>
      <c r="K2408">
        <v>0</v>
      </c>
      <c r="L2408">
        <v>0</v>
      </c>
      <c r="M2408">
        <v>0</v>
      </c>
      <c r="N2408">
        <v>0</v>
      </c>
      <c r="O2408">
        <v>0</v>
      </c>
    </row>
    <row r="2409" spans="1:15">
      <c r="A2409" t="s">
        <v>2726</v>
      </c>
      <c r="B2409" t="s">
        <v>2562</v>
      </c>
      <c r="C2409" t="s">
        <v>404</v>
      </c>
      <c r="D2409">
        <v>78</v>
      </c>
      <c r="E2409">
        <v>100</v>
      </c>
      <c r="F2409">
        <v>0</v>
      </c>
      <c r="G2409">
        <v>0</v>
      </c>
      <c r="H2409">
        <v>0</v>
      </c>
      <c r="I2409">
        <v>0</v>
      </c>
      <c r="J2409">
        <v>0</v>
      </c>
      <c r="K2409">
        <v>0</v>
      </c>
      <c r="L2409">
        <v>0</v>
      </c>
      <c r="M2409">
        <v>0</v>
      </c>
      <c r="N2409">
        <v>0</v>
      </c>
      <c r="O2409">
        <v>0</v>
      </c>
    </row>
    <row r="2410" spans="1:15">
      <c r="A2410" t="s">
        <v>2727</v>
      </c>
      <c r="B2410" t="s">
        <v>2562</v>
      </c>
      <c r="C2410" t="s">
        <v>404</v>
      </c>
      <c r="D2410">
        <v>79</v>
      </c>
      <c r="E2410">
        <v>100</v>
      </c>
      <c r="F2410">
        <v>0</v>
      </c>
      <c r="G2410">
        <v>0</v>
      </c>
      <c r="H2410">
        <v>0</v>
      </c>
      <c r="I2410">
        <v>0</v>
      </c>
      <c r="J2410">
        <v>0</v>
      </c>
      <c r="K2410">
        <v>0</v>
      </c>
      <c r="L2410">
        <v>0</v>
      </c>
      <c r="M2410">
        <v>0</v>
      </c>
      <c r="N2410">
        <v>0</v>
      </c>
      <c r="O2410">
        <v>0</v>
      </c>
    </row>
    <row r="2411" spans="1:15">
      <c r="A2411" t="s">
        <v>2728</v>
      </c>
      <c r="B2411" t="s">
        <v>2562</v>
      </c>
      <c r="C2411" t="s">
        <v>404</v>
      </c>
      <c r="D2411">
        <v>80</v>
      </c>
      <c r="E2411">
        <v>100</v>
      </c>
      <c r="F2411">
        <v>0</v>
      </c>
      <c r="G2411">
        <v>0</v>
      </c>
      <c r="H2411">
        <v>0</v>
      </c>
      <c r="I2411">
        <v>0</v>
      </c>
      <c r="J2411">
        <v>0</v>
      </c>
      <c r="K2411">
        <v>0</v>
      </c>
      <c r="L2411">
        <v>0</v>
      </c>
      <c r="M2411">
        <v>0</v>
      </c>
      <c r="N2411">
        <v>0</v>
      </c>
      <c r="O2411">
        <v>0</v>
      </c>
    </row>
    <row r="2412" spans="1:15">
      <c r="A2412" t="s">
        <v>2729</v>
      </c>
      <c r="B2412" t="s">
        <v>2562</v>
      </c>
      <c r="C2412" t="s">
        <v>404</v>
      </c>
      <c r="D2412">
        <v>81</v>
      </c>
      <c r="E2412">
        <v>100</v>
      </c>
      <c r="F2412">
        <v>0</v>
      </c>
      <c r="G2412">
        <v>0</v>
      </c>
      <c r="H2412">
        <v>0</v>
      </c>
      <c r="I2412">
        <v>0</v>
      </c>
      <c r="J2412">
        <v>0</v>
      </c>
      <c r="K2412">
        <v>0</v>
      </c>
      <c r="L2412">
        <v>0</v>
      </c>
      <c r="M2412">
        <v>0</v>
      </c>
      <c r="N2412">
        <v>0</v>
      </c>
      <c r="O2412">
        <v>0</v>
      </c>
    </row>
    <row r="2413" spans="1:15">
      <c r="A2413" t="s">
        <v>2730</v>
      </c>
      <c r="B2413" t="s">
        <v>2562</v>
      </c>
      <c r="C2413" t="s">
        <v>404</v>
      </c>
      <c r="D2413">
        <v>82</v>
      </c>
      <c r="E2413">
        <v>100</v>
      </c>
      <c r="F2413">
        <v>0</v>
      </c>
      <c r="G2413">
        <v>0</v>
      </c>
      <c r="H2413">
        <v>0</v>
      </c>
      <c r="I2413">
        <v>0</v>
      </c>
      <c r="J2413">
        <v>0</v>
      </c>
      <c r="K2413">
        <v>0</v>
      </c>
      <c r="L2413">
        <v>0</v>
      </c>
      <c r="M2413">
        <v>0</v>
      </c>
      <c r="N2413">
        <v>0</v>
      </c>
      <c r="O2413">
        <v>0</v>
      </c>
    </row>
    <row r="2414" spans="1:15">
      <c r="A2414" t="s">
        <v>2731</v>
      </c>
      <c r="B2414" t="s">
        <v>2562</v>
      </c>
      <c r="C2414" t="s">
        <v>404</v>
      </c>
      <c r="D2414">
        <v>83</v>
      </c>
      <c r="E2414">
        <v>100</v>
      </c>
      <c r="F2414">
        <v>0</v>
      </c>
      <c r="G2414">
        <v>0</v>
      </c>
      <c r="H2414">
        <v>0</v>
      </c>
      <c r="I2414">
        <v>0</v>
      </c>
      <c r="J2414">
        <v>0</v>
      </c>
      <c r="K2414">
        <v>0</v>
      </c>
      <c r="L2414">
        <v>0</v>
      </c>
      <c r="M2414">
        <v>0</v>
      </c>
      <c r="N2414">
        <v>0</v>
      </c>
      <c r="O2414">
        <v>0</v>
      </c>
    </row>
    <row r="2415" spans="1:15">
      <c r="A2415" t="s">
        <v>2732</v>
      </c>
      <c r="B2415" t="s">
        <v>2562</v>
      </c>
      <c r="C2415" t="s">
        <v>404</v>
      </c>
      <c r="D2415">
        <v>84</v>
      </c>
      <c r="E2415">
        <v>100</v>
      </c>
      <c r="F2415">
        <v>0</v>
      </c>
      <c r="G2415">
        <v>0</v>
      </c>
      <c r="H2415">
        <v>0</v>
      </c>
      <c r="I2415">
        <v>0</v>
      </c>
      <c r="J2415">
        <v>0</v>
      </c>
      <c r="K2415">
        <v>0</v>
      </c>
      <c r="L2415">
        <v>0</v>
      </c>
      <c r="M2415">
        <v>0</v>
      </c>
      <c r="N2415">
        <v>0</v>
      </c>
      <c r="O2415">
        <v>0</v>
      </c>
    </row>
    <row r="2416" spans="1:15">
      <c r="A2416" t="s">
        <v>2733</v>
      </c>
      <c r="B2416" t="s">
        <v>2562</v>
      </c>
      <c r="C2416" t="s">
        <v>404</v>
      </c>
      <c r="D2416">
        <v>85</v>
      </c>
      <c r="E2416">
        <v>100</v>
      </c>
      <c r="F2416">
        <v>0</v>
      </c>
      <c r="G2416">
        <v>0</v>
      </c>
      <c r="H2416">
        <v>0</v>
      </c>
      <c r="I2416">
        <v>0</v>
      </c>
      <c r="J2416">
        <v>0</v>
      </c>
      <c r="K2416">
        <v>0</v>
      </c>
      <c r="L2416">
        <v>0</v>
      </c>
      <c r="M2416">
        <v>0</v>
      </c>
      <c r="N2416">
        <v>0</v>
      </c>
      <c r="O2416">
        <v>0</v>
      </c>
    </row>
    <row r="2418" spans="1:15">
      <c r="A2418" t="s">
        <v>2734</v>
      </c>
      <c r="B2418" t="s">
        <v>2735</v>
      </c>
      <c r="C2418" t="s">
        <v>317</v>
      </c>
      <c r="D2418">
        <v>0</v>
      </c>
      <c r="E2418">
        <v>100</v>
      </c>
      <c r="F2418">
        <v>0</v>
      </c>
      <c r="G2418">
        <v>0</v>
      </c>
      <c r="H2418">
        <v>0</v>
      </c>
      <c r="I2418">
        <v>0</v>
      </c>
      <c r="J2418">
        <v>0</v>
      </c>
      <c r="K2418">
        <v>0</v>
      </c>
      <c r="L2418">
        <v>0</v>
      </c>
      <c r="M2418">
        <v>0</v>
      </c>
      <c r="N2418">
        <v>0</v>
      </c>
      <c r="O2418">
        <v>0</v>
      </c>
    </row>
    <row r="2419" spans="1:15">
      <c r="A2419" t="s">
        <v>2736</v>
      </c>
      <c r="B2419" t="s">
        <v>2735</v>
      </c>
      <c r="C2419" t="s">
        <v>317</v>
      </c>
      <c r="D2419">
        <v>1</v>
      </c>
      <c r="E2419">
        <v>100</v>
      </c>
      <c r="F2419">
        <v>0</v>
      </c>
      <c r="G2419">
        <v>0</v>
      </c>
      <c r="H2419">
        <v>0</v>
      </c>
      <c r="I2419">
        <v>0</v>
      </c>
      <c r="J2419">
        <v>0</v>
      </c>
      <c r="K2419">
        <v>0</v>
      </c>
      <c r="L2419">
        <v>0</v>
      </c>
      <c r="M2419">
        <v>0</v>
      </c>
      <c r="N2419">
        <v>0</v>
      </c>
      <c r="O2419">
        <v>0</v>
      </c>
    </row>
    <row r="2420" spans="1:15">
      <c r="A2420" t="s">
        <v>2737</v>
      </c>
      <c r="B2420" t="s">
        <v>2735</v>
      </c>
      <c r="C2420" t="s">
        <v>317</v>
      </c>
      <c r="D2420">
        <v>2</v>
      </c>
      <c r="E2420">
        <v>100</v>
      </c>
      <c r="F2420">
        <v>0</v>
      </c>
      <c r="G2420">
        <v>0</v>
      </c>
      <c r="H2420">
        <v>0</v>
      </c>
      <c r="I2420">
        <v>0</v>
      </c>
      <c r="J2420">
        <v>0</v>
      </c>
      <c r="K2420">
        <v>0</v>
      </c>
      <c r="L2420">
        <v>0</v>
      </c>
      <c r="M2420">
        <v>0</v>
      </c>
      <c r="N2420">
        <v>0</v>
      </c>
      <c r="O2420">
        <v>0</v>
      </c>
    </row>
    <row r="2421" spans="1:15">
      <c r="A2421" t="s">
        <v>2738</v>
      </c>
      <c r="B2421" t="s">
        <v>2735</v>
      </c>
      <c r="C2421" t="s">
        <v>317</v>
      </c>
      <c r="D2421">
        <v>3</v>
      </c>
      <c r="E2421">
        <v>100</v>
      </c>
      <c r="F2421">
        <v>0</v>
      </c>
      <c r="G2421">
        <v>0</v>
      </c>
      <c r="H2421">
        <v>0</v>
      </c>
      <c r="I2421">
        <v>0</v>
      </c>
      <c r="J2421">
        <v>0</v>
      </c>
      <c r="K2421">
        <v>0</v>
      </c>
      <c r="L2421">
        <v>0</v>
      </c>
      <c r="M2421">
        <v>0</v>
      </c>
      <c r="N2421">
        <v>0</v>
      </c>
      <c r="O2421">
        <v>0</v>
      </c>
    </row>
    <row r="2422" spans="1:15">
      <c r="A2422" t="s">
        <v>2739</v>
      </c>
      <c r="B2422" t="s">
        <v>2735</v>
      </c>
      <c r="C2422" t="s">
        <v>317</v>
      </c>
      <c r="D2422">
        <v>4</v>
      </c>
      <c r="E2422">
        <v>100</v>
      </c>
      <c r="F2422">
        <v>0</v>
      </c>
      <c r="G2422">
        <v>0</v>
      </c>
      <c r="H2422">
        <v>0</v>
      </c>
      <c r="I2422">
        <v>0</v>
      </c>
      <c r="J2422">
        <v>0</v>
      </c>
      <c r="K2422">
        <v>0</v>
      </c>
      <c r="L2422">
        <v>0</v>
      </c>
      <c r="M2422">
        <v>0</v>
      </c>
      <c r="N2422">
        <v>0</v>
      </c>
      <c r="O2422">
        <v>0</v>
      </c>
    </row>
    <row r="2423" spans="1:15">
      <c r="A2423" t="s">
        <v>2740</v>
      </c>
      <c r="B2423" t="s">
        <v>2735</v>
      </c>
      <c r="C2423" t="s">
        <v>317</v>
      </c>
      <c r="D2423">
        <v>5</v>
      </c>
      <c r="E2423">
        <v>100</v>
      </c>
      <c r="F2423">
        <v>0</v>
      </c>
      <c r="G2423">
        <v>0</v>
      </c>
      <c r="H2423">
        <v>0</v>
      </c>
      <c r="I2423">
        <v>0</v>
      </c>
      <c r="J2423">
        <v>0</v>
      </c>
      <c r="K2423">
        <v>0</v>
      </c>
      <c r="L2423">
        <v>0</v>
      </c>
      <c r="M2423">
        <v>0</v>
      </c>
      <c r="N2423">
        <v>0</v>
      </c>
      <c r="O2423">
        <v>0</v>
      </c>
    </row>
    <row r="2424" spans="1:15">
      <c r="A2424" t="s">
        <v>2741</v>
      </c>
      <c r="B2424" t="s">
        <v>2735</v>
      </c>
      <c r="C2424" t="s">
        <v>317</v>
      </c>
      <c r="D2424">
        <v>6</v>
      </c>
      <c r="E2424">
        <v>100</v>
      </c>
      <c r="F2424">
        <v>0</v>
      </c>
      <c r="G2424">
        <v>0</v>
      </c>
      <c r="H2424">
        <v>0</v>
      </c>
      <c r="I2424">
        <v>0</v>
      </c>
      <c r="J2424">
        <v>0</v>
      </c>
      <c r="K2424">
        <v>0</v>
      </c>
      <c r="L2424">
        <v>0</v>
      </c>
      <c r="M2424">
        <v>0</v>
      </c>
      <c r="N2424">
        <v>0</v>
      </c>
      <c r="O2424">
        <v>0</v>
      </c>
    </row>
    <row r="2425" spans="1:15">
      <c r="A2425" t="s">
        <v>2742</v>
      </c>
      <c r="B2425" t="s">
        <v>2735</v>
      </c>
      <c r="C2425" t="s">
        <v>317</v>
      </c>
      <c r="D2425">
        <v>7</v>
      </c>
      <c r="E2425">
        <v>100</v>
      </c>
      <c r="F2425">
        <v>0</v>
      </c>
      <c r="G2425">
        <v>0</v>
      </c>
      <c r="H2425">
        <v>0</v>
      </c>
      <c r="I2425">
        <v>0</v>
      </c>
      <c r="J2425">
        <v>0</v>
      </c>
      <c r="K2425">
        <v>0</v>
      </c>
      <c r="L2425">
        <v>0</v>
      </c>
      <c r="M2425">
        <v>0</v>
      </c>
      <c r="N2425">
        <v>0</v>
      </c>
      <c r="O2425">
        <v>0</v>
      </c>
    </row>
    <row r="2426" spans="1:15">
      <c r="A2426" t="s">
        <v>2743</v>
      </c>
      <c r="B2426" t="s">
        <v>2735</v>
      </c>
      <c r="C2426" t="s">
        <v>317</v>
      </c>
      <c r="D2426">
        <v>8</v>
      </c>
      <c r="E2426">
        <v>100</v>
      </c>
      <c r="F2426">
        <v>0</v>
      </c>
      <c r="G2426">
        <v>0</v>
      </c>
      <c r="H2426">
        <v>0</v>
      </c>
      <c r="I2426">
        <v>0</v>
      </c>
      <c r="J2426">
        <v>0</v>
      </c>
      <c r="K2426">
        <v>0</v>
      </c>
      <c r="L2426">
        <v>0</v>
      </c>
      <c r="M2426">
        <v>0</v>
      </c>
      <c r="N2426">
        <v>0</v>
      </c>
      <c r="O2426">
        <v>0</v>
      </c>
    </row>
    <row r="2427" spans="1:15">
      <c r="A2427" t="s">
        <v>2744</v>
      </c>
      <c r="B2427" t="s">
        <v>2735</v>
      </c>
      <c r="C2427" t="s">
        <v>317</v>
      </c>
      <c r="D2427">
        <v>9</v>
      </c>
      <c r="E2427">
        <v>100</v>
      </c>
      <c r="F2427">
        <v>0</v>
      </c>
      <c r="G2427">
        <v>0</v>
      </c>
      <c r="H2427">
        <v>0</v>
      </c>
      <c r="I2427">
        <v>0</v>
      </c>
      <c r="J2427">
        <v>0</v>
      </c>
      <c r="K2427">
        <v>0</v>
      </c>
      <c r="L2427">
        <v>0</v>
      </c>
      <c r="M2427">
        <v>0</v>
      </c>
      <c r="N2427">
        <v>0</v>
      </c>
      <c r="O2427">
        <v>0</v>
      </c>
    </row>
    <row r="2428" spans="1:15">
      <c r="A2428" t="s">
        <v>2745</v>
      </c>
      <c r="B2428" t="s">
        <v>2735</v>
      </c>
      <c r="C2428" t="s">
        <v>317</v>
      </c>
      <c r="D2428">
        <v>10</v>
      </c>
      <c r="E2428">
        <v>100</v>
      </c>
      <c r="F2428">
        <v>0</v>
      </c>
      <c r="G2428">
        <v>0</v>
      </c>
      <c r="H2428">
        <v>0</v>
      </c>
      <c r="I2428">
        <v>0</v>
      </c>
      <c r="J2428">
        <v>0</v>
      </c>
      <c r="K2428">
        <v>0</v>
      </c>
      <c r="L2428">
        <v>0</v>
      </c>
      <c r="M2428">
        <v>0</v>
      </c>
      <c r="N2428">
        <v>0</v>
      </c>
      <c r="O2428">
        <v>0</v>
      </c>
    </row>
    <row r="2429" spans="1:15">
      <c r="A2429" t="s">
        <v>2746</v>
      </c>
      <c r="B2429" t="s">
        <v>2735</v>
      </c>
      <c r="C2429" t="s">
        <v>317</v>
      </c>
      <c r="D2429">
        <v>11</v>
      </c>
      <c r="E2429">
        <v>100</v>
      </c>
      <c r="F2429">
        <v>0</v>
      </c>
      <c r="G2429">
        <v>0</v>
      </c>
      <c r="H2429">
        <v>0</v>
      </c>
      <c r="I2429">
        <v>0</v>
      </c>
      <c r="J2429">
        <v>0</v>
      </c>
      <c r="K2429">
        <v>0</v>
      </c>
      <c r="L2429">
        <v>0</v>
      </c>
      <c r="M2429">
        <v>0</v>
      </c>
      <c r="N2429">
        <v>0</v>
      </c>
      <c r="O2429">
        <v>0</v>
      </c>
    </row>
    <row r="2430" spans="1:15">
      <c r="A2430" t="s">
        <v>2747</v>
      </c>
      <c r="B2430" t="s">
        <v>2735</v>
      </c>
      <c r="C2430" t="s">
        <v>317</v>
      </c>
      <c r="D2430">
        <v>12</v>
      </c>
      <c r="E2430">
        <v>100</v>
      </c>
      <c r="F2430">
        <v>0</v>
      </c>
      <c r="G2430">
        <v>0</v>
      </c>
      <c r="H2430">
        <v>0</v>
      </c>
      <c r="I2430">
        <v>0</v>
      </c>
      <c r="J2430">
        <v>0</v>
      </c>
      <c r="K2430">
        <v>0</v>
      </c>
      <c r="L2430">
        <v>0</v>
      </c>
      <c r="M2430">
        <v>0</v>
      </c>
      <c r="N2430">
        <v>0</v>
      </c>
      <c r="O2430">
        <v>0</v>
      </c>
    </row>
    <row r="2431" spans="1:15">
      <c r="A2431" t="s">
        <v>2748</v>
      </c>
      <c r="B2431" t="s">
        <v>2735</v>
      </c>
      <c r="C2431" t="s">
        <v>317</v>
      </c>
      <c r="D2431">
        <v>13</v>
      </c>
      <c r="E2431">
        <v>100</v>
      </c>
      <c r="F2431">
        <v>0</v>
      </c>
      <c r="G2431">
        <v>0</v>
      </c>
      <c r="H2431">
        <v>0</v>
      </c>
      <c r="I2431">
        <v>0</v>
      </c>
      <c r="J2431">
        <v>0</v>
      </c>
      <c r="K2431">
        <v>0</v>
      </c>
      <c r="L2431">
        <v>0</v>
      </c>
      <c r="M2431">
        <v>0</v>
      </c>
      <c r="N2431">
        <v>0</v>
      </c>
      <c r="O2431">
        <v>0</v>
      </c>
    </row>
    <row r="2432" spans="1:15">
      <c r="A2432" t="s">
        <v>2749</v>
      </c>
      <c r="B2432" t="s">
        <v>2735</v>
      </c>
      <c r="C2432" t="s">
        <v>317</v>
      </c>
      <c r="D2432">
        <v>14</v>
      </c>
      <c r="E2432">
        <v>100</v>
      </c>
      <c r="F2432">
        <v>0</v>
      </c>
      <c r="G2432">
        <v>0</v>
      </c>
      <c r="H2432">
        <v>0</v>
      </c>
      <c r="I2432">
        <v>0</v>
      </c>
      <c r="J2432">
        <v>0</v>
      </c>
      <c r="K2432">
        <v>0</v>
      </c>
      <c r="L2432">
        <v>0</v>
      </c>
      <c r="M2432">
        <v>0</v>
      </c>
      <c r="N2432">
        <v>0</v>
      </c>
      <c r="O2432">
        <v>0</v>
      </c>
    </row>
    <row r="2433" spans="1:15">
      <c r="A2433" t="s">
        <v>2750</v>
      </c>
      <c r="B2433" t="s">
        <v>2735</v>
      </c>
      <c r="C2433" t="s">
        <v>317</v>
      </c>
      <c r="D2433">
        <v>15</v>
      </c>
      <c r="E2433">
        <v>100</v>
      </c>
      <c r="F2433">
        <v>0</v>
      </c>
      <c r="G2433">
        <v>0</v>
      </c>
      <c r="H2433">
        <v>0</v>
      </c>
      <c r="I2433">
        <v>0</v>
      </c>
      <c r="J2433">
        <v>0</v>
      </c>
      <c r="K2433">
        <v>0</v>
      </c>
      <c r="L2433">
        <v>0</v>
      </c>
      <c r="M2433">
        <v>0</v>
      </c>
      <c r="N2433">
        <v>0</v>
      </c>
      <c r="O2433">
        <v>0</v>
      </c>
    </row>
    <row r="2434" spans="1:15">
      <c r="A2434" t="s">
        <v>2751</v>
      </c>
      <c r="B2434" t="s">
        <v>2735</v>
      </c>
      <c r="C2434" t="s">
        <v>317</v>
      </c>
      <c r="D2434">
        <v>16</v>
      </c>
      <c r="E2434">
        <v>100</v>
      </c>
      <c r="F2434">
        <v>0</v>
      </c>
      <c r="G2434">
        <v>0</v>
      </c>
      <c r="H2434">
        <v>0</v>
      </c>
      <c r="I2434">
        <v>0</v>
      </c>
      <c r="J2434">
        <v>0</v>
      </c>
      <c r="K2434">
        <v>0</v>
      </c>
      <c r="L2434">
        <v>0</v>
      </c>
      <c r="M2434">
        <v>0</v>
      </c>
      <c r="N2434">
        <v>0</v>
      </c>
      <c r="O2434">
        <v>0</v>
      </c>
    </row>
    <row r="2435" spans="1:15">
      <c r="A2435" t="s">
        <v>2752</v>
      </c>
      <c r="B2435" t="s">
        <v>2735</v>
      </c>
      <c r="C2435" t="s">
        <v>317</v>
      </c>
      <c r="D2435">
        <v>17</v>
      </c>
      <c r="E2435">
        <v>100</v>
      </c>
      <c r="F2435">
        <v>0</v>
      </c>
      <c r="G2435">
        <v>0</v>
      </c>
      <c r="H2435">
        <v>0</v>
      </c>
      <c r="I2435">
        <v>0</v>
      </c>
      <c r="J2435">
        <v>0</v>
      </c>
      <c r="K2435">
        <v>0</v>
      </c>
      <c r="L2435">
        <v>0</v>
      </c>
      <c r="M2435">
        <v>0</v>
      </c>
      <c r="N2435">
        <v>0</v>
      </c>
      <c r="O2435">
        <v>0</v>
      </c>
    </row>
    <row r="2436" spans="1:15">
      <c r="A2436" t="s">
        <v>2753</v>
      </c>
      <c r="B2436" t="s">
        <v>2735</v>
      </c>
      <c r="C2436" t="s">
        <v>317</v>
      </c>
      <c r="D2436">
        <v>18</v>
      </c>
      <c r="E2436">
        <v>100</v>
      </c>
      <c r="F2436">
        <v>0</v>
      </c>
      <c r="G2436">
        <v>0</v>
      </c>
      <c r="H2436">
        <v>0</v>
      </c>
      <c r="I2436">
        <v>0</v>
      </c>
      <c r="J2436">
        <v>0</v>
      </c>
      <c r="K2436">
        <v>0</v>
      </c>
      <c r="L2436">
        <v>0</v>
      </c>
      <c r="M2436">
        <v>0</v>
      </c>
      <c r="N2436">
        <v>0</v>
      </c>
      <c r="O2436">
        <v>0</v>
      </c>
    </row>
    <row r="2437" spans="1:15">
      <c r="A2437" t="s">
        <v>2754</v>
      </c>
      <c r="B2437" t="s">
        <v>2735</v>
      </c>
      <c r="C2437" t="s">
        <v>317</v>
      </c>
      <c r="D2437">
        <v>19</v>
      </c>
      <c r="E2437">
        <v>100</v>
      </c>
      <c r="F2437">
        <v>0</v>
      </c>
      <c r="G2437">
        <v>0</v>
      </c>
      <c r="H2437">
        <v>0</v>
      </c>
      <c r="I2437">
        <v>0</v>
      </c>
      <c r="J2437">
        <v>0</v>
      </c>
      <c r="K2437">
        <v>0</v>
      </c>
      <c r="L2437">
        <v>0</v>
      </c>
      <c r="M2437">
        <v>0</v>
      </c>
      <c r="N2437">
        <v>0</v>
      </c>
      <c r="O2437">
        <v>0</v>
      </c>
    </row>
    <row r="2438" spans="1:15">
      <c r="A2438" t="s">
        <v>2755</v>
      </c>
      <c r="B2438" t="s">
        <v>2735</v>
      </c>
      <c r="C2438" t="s">
        <v>317</v>
      </c>
      <c r="D2438">
        <v>20</v>
      </c>
      <c r="E2438">
        <v>100</v>
      </c>
      <c r="F2438">
        <v>0</v>
      </c>
      <c r="G2438">
        <v>0</v>
      </c>
      <c r="H2438">
        <v>0</v>
      </c>
      <c r="I2438">
        <v>0</v>
      </c>
      <c r="J2438">
        <v>0</v>
      </c>
      <c r="K2438">
        <v>0</v>
      </c>
      <c r="L2438">
        <v>0</v>
      </c>
      <c r="M2438">
        <v>0</v>
      </c>
      <c r="N2438">
        <v>0</v>
      </c>
      <c r="O2438">
        <v>0</v>
      </c>
    </row>
    <row r="2439" spans="1:15">
      <c r="A2439" t="s">
        <v>2756</v>
      </c>
      <c r="B2439" t="s">
        <v>2735</v>
      </c>
      <c r="C2439" t="s">
        <v>317</v>
      </c>
      <c r="D2439">
        <v>21</v>
      </c>
      <c r="E2439">
        <v>100</v>
      </c>
      <c r="F2439">
        <v>0</v>
      </c>
      <c r="G2439">
        <v>0</v>
      </c>
      <c r="H2439">
        <v>0</v>
      </c>
      <c r="I2439">
        <v>0</v>
      </c>
      <c r="J2439">
        <v>0</v>
      </c>
      <c r="K2439">
        <v>0</v>
      </c>
      <c r="L2439">
        <v>0</v>
      </c>
      <c r="M2439">
        <v>0</v>
      </c>
      <c r="N2439">
        <v>0</v>
      </c>
      <c r="O2439">
        <v>0</v>
      </c>
    </row>
    <row r="2440" spans="1:15">
      <c r="A2440" t="s">
        <v>2757</v>
      </c>
      <c r="B2440" t="s">
        <v>2735</v>
      </c>
      <c r="C2440" t="s">
        <v>317</v>
      </c>
      <c r="D2440">
        <v>22</v>
      </c>
      <c r="E2440">
        <v>100</v>
      </c>
      <c r="F2440">
        <v>0</v>
      </c>
      <c r="G2440">
        <v>0</v>
      </c>
      <c r="H2440">
        <v>0</v>
      </c>
      <c r="I2440">
        <v>0</v>
      </c>
      <c r="J2440">
        <v>0</v>
      </c>
      <c r="K2440">
        <v>0</v>
      </c>
      <c r="L2440">
        <v>0</v>
      </c>
      <c r="M2440">
        <v>0</v>
      </c>
      <c r="N2440">
        <v>0</v>
      </c>
      <c r="O2440">
        <v>0</v>
      </c>
    </row>
    <row r="2441" spans="1:15">
      <c r="A2441" t="s">
        <v>2758</v>
      </c>
      <c r="B2441" t="s">
        <v>2735</v>
      </c>
      <c r="C2441" t="s">
        <v>317</v>
      </c>
      <c r="D2441">
        <v>23</v>
      </c>
      <c r="E2441">
        <v>100</v>
      </c>
      <c r="F2441">
        <v>0</v>
      </c>
      <c r="G2441">
        <v>0</v>
      </c>
      <c r="H2441">
        <v>0</v>
      </c>
      <c r="I2441">
        <v>0</v>
      </c>
      <c r="J2441">
        <v>0</v>
      </c>
      <c r="K2441">
        <v>0</v>
      </c>
      <c r="L2441">
        <v>0</v>
      </c>
      <c r="M2441">
        <v>0</v>
      </c>
      <c r="N2441">
        <v>0</v>
      </c>
      <c r="O2441">
        <v>0</v>
      </c>
    </row>
    <row r="2442" spans="1:15">
      <c r="A2442" t="s">
        <v>2759</v>
      </c>
      <c r="B2442" t="s">
        <v>2735</v>
      </c>
      <c r="C2442" t="s">
        <v>317</v>
      </c>
      <c r="D2442">
        <v>24</v>
      </c>
      <c r="E2442">
        <v>100</v>
      </c>
      <c r="F2442">
        <v>0</v>
      </c>
      <c r="G2442">
        <v>0</v>
      </c>
      <c r="H2442">
        <v>0</v>
      </c>
      <c r="I2442">
        <v>0</v>
      </c>
      <c r="J2442">
        <v>0</v>
      </c>
      <c r="K2442">
        <v>0</v>
      </c>
      <c r="L2442">
        <v>0</v>
      </c>
      <c r="M2442">
        <v>0</v>
      </c>
      <c r="N2442">
        <v>0</v>
      </c>
      <c r="O2442">
        <v>0</v>
      </c>
    </row>
    <row r="2443" spans="1:15">
      <c r="A2443" t="s">
        <v>2760</v>
      </c>
      <c r="B2443" t="s">
        <v>2735</v>
      </c>
      <c r="C2443" t="s">
        <v>317</v>
      </c>
      <c r="D2443">
        <v>25</v>
      </c>
      <c r="E2443">
        <v>100</v>
      </c>
      <c r="F2443">
        <v>0</v>
      </c>
      <c r="G2443">
        <v>0</v>
      </c>
      <c r="H2443">
        <v>0</v>
      </c>
      <c r="I2443">
        <v>0</v>
      </c>
      <c r="J2443">
        <v>0</v>
      </c>
      <c r="K2443">
        <v>0</v>
      </c>
      <c r="L2443">
        <v>0</v>
      </c>
      <c r="M2443">
        <v>0</v>
      </c>
      <c r="N2443">
        <v>0</v>
      </c>
      <c r="O2443">
        <v>0</v>
      </c>
    </row>
    <row r="2444" spans="1:15">
      <c r="A2444" t="s">
        <v>2761</v>
      </c>
      <c r="B2444" t="s">
        <v>2735</v>
      </c>
      <c r="C2444" t="s">
        <v>317</v>
      </c>
      <c r="D2444">
        <v>26</v>
      </c>
      <c r="E2444">
        <v>100</v>
      </c>
      <c r="F2444">
        <v>0</v>
      </c>
      <c r="G2444">
        <v>0</v>
      </c>
      <c r="H2444">
        <v>0</v>
      </c>
      <c r="I2444">
        <v>0</v>
      </c>
      <c r="J2444">
        <v>0</v>
      </c>
      <c r="K2444">
        <v>0</v>
      </c>
      <c r="L2444">
        <v>0</v>
      </c>
      <c r="M2444">
        <v>0</v>
      </c>
      <c r="N2444">
        <v>0</v>
      </c>
      <c r="O2444">
        <v>0</v>
      </c>
    </row>
    <row r="2445" spans="1:15">
      <c r="A2445" t="s">
        <v>2762</v>
      </c>
      <c r="B2445" t="s">
        <v>2735</v>
      </c>
      <c r="C2445" t="s">
        <v>317</v>
      </c>
      <c r="D2445">
        <v>27</v>
      </c>
      <c r="E2445">
        <v>100</v>
      </c>
      <c r="F2445">
        <v>0</v>
      </c>
      <c r="G2445">
        <v>0</v>
      </c>
      <c r="H2445">
        <v>0</v>
      </c>
      <c r="I2445">
        <v>0</v>
      </c>
      <c r="J2445">
        <v>0</v>
      </c>
      <c r="K2445">
        <v>0</v>
      </c>
      <c r="L2445">
        <v>0</v>
      </c>
      <c r="M2445">
        <v>0</v>
      </c>
      <c r="N2445">
        <v>0</v>
      </c>
      <c r="O2445">
        <v>0</v>
      </c>
    </row>
    <row r="2446" spans="1:15">
      <c r="A2446" t="s">
        <v>2763</v>
      </c>
      <c r="B2446" t="s">
        <v>2735</v>
      </c>
      <c r="C2446" t="s">
        <v>317</v>
      </c>
      <c r="D2446">
        <v>28</v>
      </c>
      <c r="E2446">
        <v>100</v>
      </c>
      <c r="F2446">
        <v>0</v>
      </c>
      <c r="G2446">
        <v>0</v>
      </c>
      <c r="H2446">
        <v>0</v>
      </c>
      <c r="I2446">
        <v>0</v>
      </c>
      <c r="J2446">
        <v>0</v>
      </c>
      <c r="K2446">
        <v>0</v>
      </c>
      <c r="L2446">
        <v>0</v>
      </c>
      <c r="M2446">
        <v>0</v>
      </c>
      <c r="N2446">
        <v>0</v>
      </c>
      <c r="O2446">
        <v>0</v>
      </c>
    </row>
    <row r="2447" spans="1:15">
      <c r="A2447" t="s">
        <v>2764</v>
      </c>
      <c r="B2447" t="s">
        <v>2735</v>
      </c>
      <c r="C2447" t="s">
        <v>317</v>
      </c>
      <c r="D2447">
        <v>29</v>
      </c>
      <c r="E2447">
        <v>100</v>
      </c>
      <c r="F2447">
        <v>0</v>
      </c>
      <c r="G2447">
        <v>0</v>
      </c>
      <c r="H2447">
        <v>0</v>
      </c>
      <c r="I2447">
        <v>0</v>
      </c>
      <c r="J2447">
        <v>0</v>
      </c>
      <c r="K2447">
        <v>0</v>
      </c>
      <c r="L2447">
        <v>0</v>
      </c>
      <c r="M2447">
        <v>0</v>
      </c>
      <c r="N2447">
        <v>0</v>
      </c>
      <c r="O2447">
        <v>0</v>
      </c>
    </row>
    <row r="2448" spans="1:15">
      <c r="A2448" t="s">
        <v>2765</v>
      </c>
      <c r="B2448" t="s">
        <v>2735</v>
      </c>
      <c r="C2448" t="s">
        <v>317</v>
      </c>
      <c r="D2448">
        <v>30</v>
      </c>
      <c r="E2448">
        <v>100</v>
      </c>
      <c r="F2448">
        <v>0</v>
      </c>
      <c r="G2448">
        <v>0</v>
      </c>
      <c r="H2448">
        <v>0</v>
      </c>
      <c r="I2448">
        <v>0</v>
      </c>
      <c r="J2448">
        <v>0</v>
      </c>
      <c r="K2448">
        <v>0</v>
      </c>
      <c r="L2448">
        <v>0</v>
      </c>
      <c r="M2448">
        <v>0</v>
      </c>
      <c r="N2448">
        <v>0</v>
      </c>
      <c r="O2448">
        <v>0</v>
      </c>
    </row>
    <row r="2449" spans="1:15">
      <c r="A2449" t="s">
        <v>2766</v>
      </c>
      <c r="B2449" t="s">
        <v>2735</v>
      </c>
      <c r="C2449" t="s">
        <v>317</v>
      </c>
      <c r="D2449">
        <v>31</v>
      </c>
      <c r="E2449">
        <v>100</v>
      </c>
      <c r="F2449">
        <v>0</v>
      </c>
      <c r="G2449">
        <v>0</v>
      </c>
      <c r="H2449">
        <v>0</v>
      </c>
      <c r="I2449">
        <v>0</v>
      </c>
      <c r="J2449">
        <v>0</v>
      </c>
      <c r="K2449">
        <v>0</v>
      </c>
      <c r="L2449">
        <v>0</v>
      </c>
      <c r="M2449">
        <v>0</v>
      </c>
      <c r="N2449">
        <v>0</v>
      </c>
      <c r="O2449">
        <v>0</v>
      </c>
    </row>
    <row r="2450" spans="1:15">
      <c r="A2450" t="s">
        <v>2767</v>
      </c>
      <c r="B2450" t="s">
        <v>2735</v>
      </c>
      <c r="C2450" t="s">
        <v>317</v>
      </c>
      <c r="D2450">
        <v>32</v>
      </c>
      <c r="E2450">
        <v>100</v>
      </c>
      <c r="F2450">
        <v>0</v>
      </c>
      <c r="G2450">
        <v>0</v>
      </c>
      <c r="H2450">
        <v>0</v>
      </c>
      <c r="I2450">
        <v>0</v>
      </c>
      <c r="J2450">
        <v>0</v>
      </c>
      <c r="K2450">
        <v>0</v>
      </c>
      <c r="L2450">
        <v>0</v>
      </c>
      <c r="M2450">
        <v>0</v>
      </c>
      <c r="N2450">
        <v>0</v>
      </c>
      <c r="O2450">
        <v>0</v>
      </c>
    </row>
    <row r="2451" spans="1:15">
      <c r="A2451" t="s">
        <v>2768</v>
      </c>
      <c r="B2451" t="s">
        <v>2735</v>
      </c>
      <c r="C2451" t="s">
        <v>317</v>
      </c>
      <c r="D2451">
        <v>33</v>
      </c>
      <c r="E2451">
        <v>100</v>
      </c>
      <c r="F2451">
        <v>0</v>
      </c>
      <c r="G2451">
        <v>0</v>
      </c>
      <c r="H2451">
        <v>0</v>
      </c>
      <c r="I2451">
        <v>0</v>
      </c>
      <c r="J2451">
        <v>0</v>
      </c>
      <c r="K2451">
        <v>0</v>
      </c>
      <c r="L2451">
        <v>0</v>
      </c>
      <c r="M2451">
        <v>0</v>
      </c>
      <c r="N2451">
        <v>0</v>
      </c>
      <c r="O2451">
        <v>0</v>
      </c>
    </row>
    <row r="2452" spans="1:15">
      <c r="A2452" t="s">
        <v>2769</v>
      </c>
      <c r="B2452" t="s">
        <v>2735</v>
      </c>
      <c r="C2452" t="s">
        <v>317</v>
      </c>
      <c r="D2452">
        <v>34</v>
      </c>
      <c r="E2452">
        <v>100</v>
      </c>
      <c r="F2452">
        <v>0</v>
      </c>
      <c r="G2452">
        <v>0</v>
      </c>
      <c r="H2452">
        <v>0</v>
      </c>
      <c r="I2452">
        <v>0</v>
      </c>
      <c r="J2452">
        <v>0</v>
      </c>
      <c r="K2452">
        <v>0</v>
      </c>
      <c r="L2452">
        <v>0</v>
      </c>
      <c r="M2452">
        <v>0</v>
      </c>
      <c r="N2452">
        <v>0</v>
      </c>
      <c r="O2452">
        <v>0</v>
      </c>
    </row>
    <row r="2453" spans="1:15">
      <c r="A2453" t="s">
        <v>2770</v>
      </c>
      <c r="B2453" t="s">
        <v>2735</v>
      </c>
      <c r="C2453" t="s">
        <v>317</v>
      </c>
      <c r="D2453">
        <v>35</v>
      </c>
      <c r="E2453">
        <v>100</v>
      </c>
      <c r="F2453">
        <v>0</v>
      </c>
      <c r="G2453">
        <v>0</v>
      </c>
      <c r="H2453">
        <v>0</v>
      </c>
      <c r="I2453">
        <v>0</v>
      </c>
      <c r="J2453">
        <v>0</v>
      </c>
      <c r="K2453">
        <v>0</v>
      </c>
      <c r="L2453">
        <v>0</v>
      </c>
      <c r="M2453">
        <v>0</v>
      </c>
      <c r="N2453">
        <v>0</v>
      </c>
      <c r="O2453">
        <v>0</v>
      </c>
    </row>
    <row r="2454" spans="1:15">
      <c r="A2454" t="s">
        <v>2771</v>
      </c>
      <c r="B2454" t="s">
        <v>2735</v>
      </c>
      <c r="C2454" t="s">
        <v>317</v>
      </c>
      <c r="D2454">
        <v>36</v>
      </c>
      <c r="E2454">
        <v>100</v>
      </c>
      <c r="F2454">
        <v>0</v>
      </c>
      <c r="G2454">
        <v>0</v>
      </c>
      <c r="H2454">
        <v>0</v>
      </c>
      <c r="I2454">
        <v>0</v>
      </c>
      <c r="J2454">
        <v>0</v>
      </c>
      <c r="K2454">
        <v>0</v>
      </c>
      <c r="L2454">
        <v>0</v>
      </c>
      <c r="M2454">
        <v>0</v>
      </c>
      <c r="N2454">
        <v>0</v>
      </c>
      <c r="O2454">
        <v>0</v>
      </c>
    </row>
    <row r="2455" spans="1:15">
      <c r="A2455" t="s">
        <v>2772</v>
      </c>
      <c r="B2455" t="s">
        <v>2735</v>
      </c>
      <c r="C2455" t="s">
        <v>317</v>
      </c>
      <c r="D2455">
        <v>37</v>
      </c>
      <c r="E2455">
        <v>100</v>
      </c>
      <c r="F2455">
        <v>0</v>
      </c>
      <c r="G2455">
        <v>0</v>
      </c>
      <c r="H2455">
        <v>0</v>
      </c>
      <c r="I2455">
        <v>0</v>
      </c>
      <c r="J2455">
        <v>0</v>
      </c>
      <c r="K2455">
        <v>0</v>
      </c>
      <c r="L2455">
        <v>0</v>
      </c>
      <c r="M2455">
        <v>0</v>
      </c>
      <c r="N2455">
        <v>0</v>
      </c>
      <c r="O2455">
        <v>0</v>
      </c>
    </row>
    <row r="2456" spans="1:15">
      <c r="A2456" t="s">
        <v>2773</v>
      </c>
      <c r="B2456" t="s">
        <v>2735</v>
      </c>
      <c r="C2456" t="s">
        <v>317</v>
      </c>
      <c r="D2456">
        <v>38</v>
      </c>
      <c r="E2456">
        <v>100</v>
      </c>
      <c r="F2456">
        <v>0</v>
      </c>
      <c r="G2456">
        <v>0</v>
      </c>
      <c r="H2456">
        <v>0</v>
      </c>
      <c r="I2456">
        <v>0</v>
      </c>
      <c r="J2456">
        <v>0</v>
      </c>
      <c r="K2456">
        <v>0</v>
      </c>
      <c r="L2456">
        <v>0</v>
      </c>
      <c r="M2456">
        <v>0</v>
      </c>
      <c r="N2456">
        <v>0</v>
      </c>
      <c r="O2456">
        <v>0</v>
      </c>
    </row>
    <row r="2457" spans="1:15">
      <c r="A2457" t="s">
        <v>2774</v>
      </c>
      <c r="B2457" t="s">
        <v>2735</v>
      </c>
      <c r="C2457" t="s">
        <v>317</v>
      </c>
      <c r="D2457">
        <v>39</v>
      </c>
      <c r="E2457">
        <v>100</v>
      </c>
      <c r="F2457">
        <v>0</v>
      </c>
      <c r="G2457">
        <v>0</v>
      </c>
      <c r="H2457">
        <v>0</v>
      </c>
      <c r="I2457">
        <v>0</v>
      </c>
      <c r="J2457">
        <v>0</v>
      </c>
      <c r="K2457">
        <v>0</v>
      </c>
      <c r="L2457">
        <v>0</v>
      </c>
      <c r="M2457">
        <v>0</v>
      </c>
      <c r="N2457">
        <v>0</v>
      </c>
      <c r="O2457">
        <v>0</v>
      </c>
    </row>
    <row r="2458" spans="1:15">
      <c r="A2458" t="s">
        <v>2775</v>
      </c>
      <c r="B2458" t="s">
        <v>2735</v>
      </c>
      <c r="C2458" t="s">
        <v>317</v>
      </c>
      <c r="D2458">
        <v>40</v>
      </c>
      <c r="E2458">
        <v>100</v>
      </c>
      <c r="F2458">
        <v>0</v>
      </c>
      <c r="G2458">
        <v>0</v>
      </c>
      <c r="H2458">
        <v>0</v>
      </c>
      <c r="I2458">
        <v>0</v>
      </c>
      <c r="J2458">
        <v>0</v>
      </c>
      <c r="K2458">
        <v>0</v>
      </c>
      <c r="L2458">
        <v>0</v>
      </c>
      <c r="M2458">
        <v>0</v>
      </c>
      <c r="N2458">
        <v>0</v>
      </c>
      <c r="O2458">
        <v>0</v>
      </c>
    </row>
    <row r="2459" spans="1:15">
      <c r="A2459" t="s">
        <v>2776</v>
      </c>
      <c r="B2459" t="s">
        <v>2735</v>
      </c>
      <c r="C2459" t="s">
        <v>317</v>
      </c>
      <c r="D2459">
        <v>41</v>
      </c>
      <c r="E2459">
        <v>100</v>
      </c>
      <c r="F2459">
        <v>0</v>
      </c>
      <c r="G2459">
        <v>0</v>
      </c>
      <c r="H2459">
        <v>0</v>
      </c>
      <c r="I2459">
        <v>0</v>
      </c>
      <c r="J2459">
        <v>0</v>
      </c>
      <c r="K2459">
        <v>0</v>
      </c>
      <c r="L2459">
        <v>0</v>
      </c>
      <c r="M2459">
        <v>0</v>
      </c>
      <c r="N2459">
        <v>0</v>
      </c>
      <c r="O2459">
        <v>0</v>
      </c>
    </row>
    <row r="2460" spans="1:15">
      <c r="A2460" t="s">
        <v>2777</v>
      </c>
      <c r="B2460" t="s">
        <v>2735</v>
      </c>
      <c r="C2460" t="s">
        <v>317</v>
      </c>
      <c r="D2460">
        <v>42</v>
      </c>
      <c r="E2460">
        <v>100</v>
      </c>
      <c r="F2460">
        <v>0</v>
      </c>
      <c r="G2460">
        <v>0</v>
      </c>
      <c r="H2460">
        <v>0</v>
      </c>
      <c r="I2460">
        <v>0</v>
      </c>
      <c r="J2460">
        <v>0</v>
      </c>
      <c r="K2460">
        <v>0</v>
      </c>
      <c r="L2460">
        <v>0</v>
      </c>
      <c r="M2460">
        <v>0</v>
      </c>
      <c r="N2460">
        <v>0</v>
      </c>
      <c r="O2460">
        <v>0</v>
      </c>
    </row>
    <row r="2461" spans="1:15">
      <c r="A2461" t="s">
        <v>2778</v>
      </c>
      <c r="B2461" t="s">
        <v>2735</v>
      </c>
      <c r="C2461" t="s">
        <v>317</v>
      </c>
      <c r="D2461">
        <v>43</v>
      </c>
      <c r="E2461">
        <v>100</v>
      </c>
      <c r="F2461">
        <v>0</v>
      </c>
      <c r="G2461">
        <v>0</v>
      </c>
      <c r="H2461">
        <v>0</v>
      </c>
      <c r="I2461">
        <v>0</v>
      </c>
      <c r="J2461">
        <v>0</v>
      </c>
      <c r="K2461">
        <v>0</v>
      </c>
      <c r="L2461">
        <v>0</v>
      </c>
      <c r="M2461">
        <v>0</v>
      </c>
      <c r="N2461">
        <v>0</v>
      </c>
      <c r="O2461">
        <v>0</v>
      </c>
    </row>
    <row r="2462" spans="1:15">
      <c r="A2462" t="s">
        <v>2779</v>
      </c>
      <c r="B2462" t="s">
        <v>2735</v>
      </c>
      <c r="C2462" t="s">
        <v>317</v>
      </c>
      <c r="D2462">
        <v>44</v>
      </c>
      <c r="E2462">
        <v>100</v>
      </c>
      <c r="F2462">
        <v>0</v>
      </c>
      <c r="G2462">
        <v>0</v>
      </c>
      <c r="H2462">
        <v>0</v>
      </c>
      <c r="I2462">
        <v>0</v>
      </c>
      <c r="J2462">
        <v>0</v>
      </c>
      <c r="K2462">
        <v>0</v>
      </c>
      <c r="L2462">
        <v>0</v>
      </c>
      <c r="M2462">
        <v>0</v>
      </c>
      <c r="N2462">
        <v>0</v>
      </c>
      <c r="O2462">
        <v>0</v>
      </c>
    </row>
    <row r="2463" spans="1:15">
      <c r="A2463" t="s">
        <v>2780</v>
      </c>
      <c r="B2463" t="s">
        <v>2735</v>
      </c>
      <c r="C2463" t="s">
        <v>317</v>
      </c>
      <c r="D2463">
        <v>45</v>
      </c>
      <c r="E2463">
        <v>100</v>
      </c>
      <c r="F2463">
        <v>0</v>
      </c>
      <c r="G2463">
        <v>0</v>
      </c>
      <c r="H2463">
        <v>0</v>
      </c>
      <c r="I2463">
        <v>0</v>
      </c>
      <c r="J2463">
        <v>0</v>
      </c>
      <c r="K2463">
        <v>0</v>
      </c>
      <c r="L2463">
        <v>0</v>
      </c>
      <c r="M2463">
        <v>0</v>
      </c>
      <c r="N2463">
        <v>0</v>
      </c>
      <c r="O2463">
        <v>0</v>
      </c>
    </row>
    <row r="2464" spans="1:15">
      <c r="A2464" t="s">
        <v>2781</v>
      </c>
      <c r="B2464" t="s">
        <v>2735</v>
      </c>
      <c r="C2464" t="s">
        <v>317</v>
      </c>
      <c r="D2464">
        <v>46</v>
      </c>
      <c r="E2464">
        <v>100</v>
      </c>
      <c r="F2464">
        <v>0</v>
      </c>
      <c r="G2464">
        <v>0</v>
      </c>
      <c r="H2464">
        <v>0</v>
      </c>
      <c r="I2464">
        <v>0</v>
      </c>
      <c r="J2464">
        <v>0</v>
      </c>
      <c r="K2464">
        <v>0</v>
      </c>
      <c r="L2464">
        <v>0</v>
      </c>
      <c r="M2464">
        <v>0</v>
      </c>
      <c r="N2464">
        <v>0</v>
      </c>
      <c r="O2464">
        <v>0</v>
      </c>
    </row>
    <row r="2465" spans="1:15">
      <c r="A2465" t="s">
        <v>2782</v>
      </c>
      <c r="B2465" t="s">
        <v>2735</v>
      </c>
      <c r="C2465" t="s">
        <v>317</v>
      </c>
      <c r="D2465">
        <v>47</v>
      </c>
      <c r="E2465">
        <v>100</v>
      </c>
      <c r="F2465">
        <v>0</v>
      </c>
      <c r="G2465">
        <v>0</v>
      </c>
      <c r="H2465">
        <v>0</v>
      </c>
      <c r="I2465">
        <v>0</v>
      </c>
      <c r="J2465">
        <v>0</v>
      </c>
      <c r="K2465">
        <v>0</v>
      </c>
      <c r="L2465">
        <v>0</v>
      </c>
      <c r="M2465">
        <v>0</v>
      </c>
      <c r="N2465">
        <v>0</v>
      </c>
      <c r="O2465">
        <v>0</v>
      </c>
    </row>
    <row r="2466" spans="1:15">
      <c r="A2466" t="s">
        <v>2783</v>
      </c>
      <c r="B2466" t="s">
        <v>2735</v>
      </c>
      <c r="C2466" t="s">
        <v>317</v>
      </c>
      <c r="D2466">
        <v>48</v>
      </c>
      <c r="E2466">
        <v>100</v>
      </c>
      <c r="F2466">
        <v>0</v>
      </c>
      <c r="G2466">
        <v>0</v>
      </c>
      <c r="H2466">
        <v>0</v>
      </c>
      <c r="I2466">
        <v>0</v>
      </c>
      <c r="J2466">
        <v>0</v>
      </c>
      <c r="K2466">
        <v>0</v>
      </c>
      <c r="L2466">
        <v>0</v>
      </c>
      <c r="M2466">
        <v>0</v>
      </c>
      <c r="N2466">
        <v>0</v>
      </c>
      <c r="O2466">
        <v>0</v>
      </c>
    </row>
    <row r="2467" spans="1:15">
      <c r="A2467" t="s">
        <v>2784</v>
      </c>
      <c r="B2467" t="s">
        <v>2735</v>
      </c>
      <c r="C2467" t="s">
        <v>317</v>
      </c>
      <c r="D2467">
        <v>49</v>
      </c>
      <c r="E2467">
        <v>100</v>
      </c>
      <c r="F2467">
        <v>0</v>
      </c>
      <c r="G2467">
        <v>0</v>
      </c>
      <c r="H2467">
        <v>0</v>
      </c>
      <c r="I2467">
        <v>0</v>
      </c>
      <c r="J2467">
        <v>0</v>
      </c>
      <c r="K2467">
        <v>0</v>
      </c>
      <c r="L2467">
        <v>0</v>
      </c>
      <c r="M2467">
        <v>0</v>
      </c>
      <c r="N2467">
        <v>0</v>
      </c>
      <c r="O2467">
        <v>0</v>
      </c>
    </row>
    <row r="2468" spans="1:15">
      <c r="A2468" t="s">
        <v>2785</v>
      </c>
      <c r="B2468" t="s">
        <v>2735</v>
      </c>
      <c r="C2468" t="s">
        <v>317</v>
      </c>
      <c r="D2468">
        <v>50</v>
      </c>
      <c r="E2468">
        <v>100</v>
      </c>
      <c r="F2468">
        <v>0</v>
      </c>
      <c r="G2468">
        <v>0</v>
      </c>
      <c r="H2468">
        <v>0</v>
      </c>
      <c r="I2468">
        <v>0</v>
      </c>
      <c r="J2468">
        <v>0</v>
      </c>
      <c r="K2468">
        <v>0</v>
      </c>
      <c r="L2468">
        <v>0</v>
      </c>
      <c r="M2468">
        <v>0</v>
      </c>
      <c r="N2468">
        <v>0</v>
      </c>
      <c r="O2468">
        <v>0</v>
      </c>
    </row>
    <row r="2469" spans="1:15">
      <c r="A2469" t="s">
        <v>2786</v>
      </c>
      <c r="B2469" t="s">
        <v>2735</v>
      </c>
      <c r="C2469" t="s">
        <v>317</v>
      </c>
      <c r="D2469">
        <v>51</v>
      </c>
      <c r="E2469">
        <v>100</v>
      </c>
      <c r="F2469">
        <v>0</v>
      </c>
      <c r="G2469">
        <v>0</v>
      </c>
      <c r="H2469">
        <v>0</v>
      </c>
      <c r="I2469">
        <v>0</v>
      </c>
      <c r="J2469">
        <v>0</v>
      </c>
      <c r="K2469">
        <v>0</v>
      </c>
      <c r="L2469">
        <v>0</v>
      </c>
      <c r="M2469">
        <v>0</v>
      </c>
      <c r="N2469">
        <v>0</v>
      </c>
      <c r="O2469">
        <v>0</v>
      </c>
    </row>
    <row r="2470" spans="1:15">
      <c r="A2470" t="s">
        <v>2787</v>
      </c>
      <c r="B2470" t="s">
        <v>2735</v>
      </c>
      <c r="C2470" t="s">
        <v>317</v>
      </c>
      <c r="D2470">
        <v>52</v>
      </c>
      <c r="E2470">
        <v>100</v>
      </c>
      <c r="F2470">
        <v>0</v>
      </c>
      <c r="G2470">
        <v>0</v>
      </c>
      <c r="H2470">
        <v>0</v>
      </c>
      <c r="I2470">
        <v>0</v>
      </c>
      <c r="J2470">
        <v>0</v>
      </c>
      <c r="K2470">
        <v>0</v>
      </c>
      <c r="L2470">
        <v>0</v>
      </c>
      <c r="M2470">
        <v>0</v>
      </c>
      <c r="N2470">
        <v>0</v>
      </c>
      <c r="O2470">
        <v>0</v>
      </c>
    </row>
    <row r="2471" spans="1:15">
      <c r="A2471" t="s">
        <v>2788</v>
      </c>
      <c r="B2471" t="s">
        <v>2735</v>
      </c>
      <c r="C2471" t="s">
        <v>317</v>
      </c>
      <c r="D2471">
        <v>53</v>
      </c>
      <c r="E2471">
        <v>100</v>
      </c>
      <c r="F2471">
        <v>0</v>
      </c>
      <c r="G2471">
        <v>0</v>
      </c>
      <c r="H2471">
        <v>0</v>
      </c>
      <c r="I2471">
        <v>0</v>
      </c>
      <c r="J2471">
        <v>0</v>
      </c>
      <c r="K2471">
        <v>0</v>
      </c>
      <c r="L2471">
        <v>0</v>
      </c>
      <c r="M2471">
        <v>0</v>
      </c>
      <c r="N2471">
        <v>0</v>
      </c>
      <c r="O2471">
        <v>0</v>
      </c>
    </row>
    <row r="2472" spans="1:15">
      <c r="A2472" t="s">
        <v>2789</v>
      </c>
      <c r="B2472" t="s">
        <v>2735</v>
      </c>
      <c r="C2472" t="s">
        <v>317</v>
      </c>
      <c r="D2472">
        <v>54</v>
      </c>
      <c r="E2472">
        <v>100</v>
      </c>
      <c r="F2472">
        <v>0</v>
      </c>
      <c r="G2472">
        <v>0</v>
      </c>
      <c r="H2472">
        <v>0</v>
      </c>
      <c r="I2472">
        <v>0</v>
      </c>
      <c r="J2472">
        <v>0</v>
      </c>
      <c r="K2472">
        <v>0</v>
      </c>
      <c r="L2472">
        <v>0</v>
      </c>
      <c r="M2472">
        <v>0</v>
      </c>
      <c r="N2472">
        <v>0</v>
      </c>
      <c r="O2472">
        <v>0</v>
      </c>
    </row>
    <row r="2473" spans="1:15">
      <c r="A2473" t="s">
        <v>2790</v>
      </c>
      <c r="B2473" t="s">
        <v>2735</v>
      </c>
      <c r="C2473" t="s">
        <v>317</v>
      </c>
      <c r="D2473">
        <v>55</v>
      </c>
      <c r="E2473">
        <v>100</v>
      </c>
      <c r="F2473">
        <v>0</v>
      </c>
      <c r="G2473">
        <v>0</v>
      </c>
      <c r="H2473">
        <v>0</v>
      </c>
      <c r="I2473">
        <v>0</v>
      </c>
      <c r="J2473">
        <v>0</v>
      </c>
      <c r="K2473">
        <v>0</v>
      </c>
      <c r="L2473">
        <v>0</v>
      </c>
      <c r="M2473">
        <v>0</v>
      </c>
      <c r="N2473">
        <v>0</v>
      </c>
      <c r="O2473">
        <v>0</v>
      </c>
    </row>
    <row r="2474" spans="1:15">
      <c r="A2474" t="s">
        <v>2791</v>
      </c>
      <c r="B2474" t="s">
        <v>2735</v>
      </c>
      <c r="C2474" t="s">
        <v>317</v>
      </c>
      <c r="D2474">
        <v>56</v>
      </c>
      <c r="E2474">
        <v>100</v>
      </c>
      <c r="F2474">
        <v>0</v>
      </c>
      <c r="G2474">
        <v>0</v>
      </c>
      <c r="H2474">
        <v>0</v>
      </c>
      <c r="I2474">
        <v>0</v>
      </c>
      <c r="J2474">
        <v>0</v>
      </c>
      <c r="K2474">
        <v>0</v>
      </c>
      <c r="L2474">
        <v>0</v>
      </c>
      <c r="M2474">
        <v>0</v>
      </c>
      <c r="N2474">
        <v>0</v>
      </c>
      <c r="O2474">
        <v>0</v>
      </c>
    </row>
    <row r="2475" spans="1:15">
      <c r="A2475" t="s">
        <v>2792</v>
      </c>
      <c r="B2475" t="s">
        <v>2735</v>
      </c>
      <c r="C2475" t="s">
        <v>317</v>
      </c>
      <c r="D2475">
        <v>57</v>
      </c>
      <c r="E2475">
        <v>100</v>
      </c>
      <c r="F2475">
        <v>0</v>
      </c>
      <c r="G2475">
        <v>0</v>
      </c>
      <c r="H2475">
        <v>0</v>
      </c>
      <c r="I2475">
        <v>0</v>
      </c>
      <c r="J2475">
        <v>0</v>
      </c>
      <c r="K2475">
        <v>0</v>
      </c>
      <c r="L2475">
        <v>0</v>
      </c>
      <c r="M2475">
        <v>0</v>
      </c>
      <c r="N2475">
        <v>0</v>
      </c>
      <c r="O2475">
        <v>0</v>
      </c>
    </row>
    <row r="2476" spans="1:15">
      <c r="A2476" t="s">
        <v>2793</v>
      </c>
      <c r="B2476" t="s">
        <v>2735</v>
      </c>
      <c r="C2476" t="s">
        <v>317</v>
      </c>
      <c r="D2476">
        <v>58</v>
      </c>
      <c r="E2476">
        <v>100</v>
      </c>
      <c r="F2476">
        <v>0</v>
      </c>
      <c r="G2476">
        <v>0</v>
      </c>
      <c r="H2476">
        <v>0</v>
      </c>
      <c r="I2476">
        <v>0</v>
      </c>
      <c r="J2476">
        <v>0</v>
      </c>
      <c r="K2476">
        <v>0</v>
      </c>
      <c r="L2476">
        <v>0</v>
      </c>
      <c r="M2476">
        <v>0</v>
      </c>
      <c r="N2476">
        <v>0</v>
      </c>
      <c r="O2476">
        <v>0</v>
      </c>
    </row>
    <row r="2477" spans="1:15">
      <c r="A2477" t="s">
        <v>2794</v>
      </c>
      <c r="B2477" t="s">
        <v>2735</v>
      </c>
      <c r="C2477" t="s">
        <v>317</v>
      </c>
      <c r="D2477">
        <v>59</v>
      </c>
      <c r="E2477">
        <v>100</v>
      </c>
      <c r="F2477">
        <v>0</v>
      </c>
      <c r="G2477">
        <v>0</v>
      </c>
      <c r="H2477">
        <v>0</v>
      </c>
      <c r="I2477">
        <v>0</v>
      </c>
      <c r="J2477">
        <v>0</v>
      </c>
      <c r="K2477">
        <v>0</v>
      </c>
      <c r="L2477">
        <v>0</v>
      </c>
      <c r="M2477">
        <v>0</v>
      </c>
      <c r="N2477">
        <v>0</v>
      </c>
      <c r="O2477">
        <v>0</v>
      </c>
    </row>
    <row r="2478" spans="1:15">
      <c r="A2478" t="s">
        <v>2795</v>
      </c>
      <c r="B2478" t="s">
        <v>2735</v>
      </c>
      <c r="C2478" t="s">
        <v>317</v>
      </c>
      <c r="D2478">
        <v>60</v>
      </c>
      <c r="E2478">
        <v>100</v>
      </c>
      <c r="F2478">
        <v>0</v>
      </c>
      <c r="G2478">
        <v>0</v>
      </c>
      <c r="H2478">
        <v>0</v>
      </c>
      <c r="I2478">
        <v>0</v>
      </c>
      <c r="J2478">
        <v>0</v>
      </c>
      <c r="K2478">
        <v>0</v>
      </c>
      <c r="L2478">
        <v>0</v>
      </c>
      <c r="M2478">
        <v>0</v>
      </c>
      <c r="N2478">
        <v>0</v>
      </c>
      <c r="O2478">
        <v>0</v>
      </c>
    </row>
    <row r="2479" spans="1:15">
      <c r="A2479" t="s">
        <v>2796</v>
      </c>
      <c r="B2479" t="s">
        <v>2735</v>
      </c>
      <c r="C2479" t="s">
        <v>317</v>
      </c>
      <c r="D2479">
        <v>61</v>
      </c>
      <c r="E2479">
        <v>100</v>
      </c>
      <c r="F2479">
        <v>0</v>
      </c>
      <c r="G2479">
        <v>0</v>
      </c>
      <c r="H2479">
        <v>0</v>
      </c>
      <c r="I2479">
        <v>0</v>
      </c>
      <c r="J2479">
        <v>0</v>
      </c>
      <c r="K2479">
        <v>0</v>
      </c>
      <c r="L2479">
        <v>0</v>
      </c>
      <c r="M2479">
        <v>0</v>
      </c>
      <c r="N2479">
        <v>0</v>
      </c>
      <c r="O2479">
        <v>0</v>
      </c>
    </row>
    <row r="2480" spans="1:15">
      <c r="A2480" t="s">
        <v>2797</v>
      </c>
      <c r="B2480" t="s">
        <v>2735</v>
      </c>
      <c r="C2480" t="s">
        <v>317</v>
      </c>
      <c r="D2480">
        <v>62</v>
      </c>
      <c r="E2480">
        <v>100</v>
      </c>
      <c r="F2480">
        <v>0</v>
      </c>
      <c r="G2480">
        <v>0</v>
      </c>
      <c r="H2480">
        <v>0</v>
      </c>
      <c r="I2480">
        <v>0</v>
      </c>
      <c r="J2480">
        <v>0</v>
      </c>
      <c r="K2480">
        <v>0</v>
      </c>
      <c r="L2480">
        <v>0</v>
      </c>
      <c r="M2480">
        <v>0</v>
      </c>
      <c r="N2480">
        <v>0</v>
      </c>
      <c r="O2480">
        <v>0</v>
      </c>
    </row>
    <row r="2481" spans="1:15">
      <c r="A2481" t="s">
        <v>2798</v>
      </c>
      <c r="B2481" t="s">
        <v>2735</v>
      </c>
      <c r="C2481" t="s">
        <v>317</v>
      </c>
      <c r="D2481">
        <v>63</v>
      </c>
      <c r="E2481">
        <v>100</v>
      </c>
      <c r="F2481">
        <v>0</v>
      </c>
      <c r="G2481">
        <v>0</v>
      </c>
      <c r="H2481">
        <v>0</v>
      </c>
      <c r="I2481">
        <v>0</v>
      </c>
      <c r="J2481">
        <v>0</v>
      </c>
      <c r="K2481">
        <v>0</v>
      </c>
      <c r="L2481">
        <v>0</v>
      </c>
      <c r="M2481">
        <v>0</v>
      </c>
      <c r="N2481">
        <v>0</v>
      </c>
      <c r="O2481">
        <v>0</v>
      </c>
    </row>
    <row r="2482" spans="1:15">
      <c r="A2482" t="s">
        <v>2799</v>
      </c>
      <c r="B2482" t="s">
        <v>2735</v>
      </c>
      <c r="C2482" t="s">
        <v>317</v>
      </c>
      <c r="D2482">
        <v>64</v>
      </c>
      <c r="E2482">
        <v>100</v>
      </c>
      <c r="F2482">
        <v>0</v>
      </c>
      <c r="G2482">
        <v>0</v>
      </c>
      <c r="H2482">
        <v>0</v>
      </c>
      <c r="I2482">
        <v>0</v>
      </c>
      <c r="J2482">
        <v>0</v>
      </c>
      <c r="K2482">
        <v>0</v>
      </c>
      <c r="L2482">
        <v>0</v>
      </c>
      <c r="M2482">
        <v>0</v>
      </c>
      <c r="N2482">
        <v>0</v>
      </c>
      <c r="O2482">
        <v>0</v>
      </c>
    </row>
    <row r="2483" spans="1:15">
      <c r="A2483" t="s">
        <v>2800</v>
      </c>
      <c r="B2483" t="s">
        <v>2735</v>
      </c>
      <c r="C2483" t="s">
        <v>317</v>
      </c>
      <c r="D2483">
        <v>65</v>
      </c>
      <c r="E2483">
        <v>100</v>
      </c>
      <c r="F2483">
        <v>0</v>
      </c>
      <c r="G2483">
        <v>0</v>
      </c>
      <c r="H2483">
        <v>0</v>
      </c>
      <c r="I2483">
        <v>0</v>
      </c>
      <c r="J2483">
        <v>0</v>
      </c>
      <c r="K2483">
        <v>0</v>
      </c>
      <c r="L2483">
        <v>0</v>
      </c>
      <c r="M2483">
        <v>0</v>
      </c>
      <c r="N2483">
        <v>0</v>
      </c>
      <c r="O2483">
        <v>0</v>
      </c>
    </row>
    <row r="2484" spans="1:15">
      <c r="A2484" t="s">
        <v>2801</v>
      </c>
      <c r="B2484" t="s">
        <v>2735</v>
      </c>
      <c r="C2484" t="s">
        <v>317</v>
      </c>
      <c r="D2484">
        <v>66</v>
      </c>
      <c r="E2484">
        <v>100</v>
      </c>
      <c r="F2484">
        <v>0</v>
      </c>
      <c r="G2484">
        <v>0</v>
      </c>
      <c r="H2484">
        <v>0</v>
      </c>
      <c r="I2484">
        <v>0</v>
      </c>
      <c r="J2484">
        <v>0</v>
      </c>
      <c r="K2484">
        <v>0</v>
      </c>
      <c r="L2484">
        <v>0</v>
      </c>
      <c r="M2484">
        <v>0</v>
      </c>
      <c r="N2484">
        <v>0</v>
      </c>
      <c r="O2484">
        <v>0</v>
      </c>
    </row>
    <row r="2485" spans="1:15">
      <c r="A2485" t="s">
        <v>2802</v>
      </c>
      <c r="B2485" t="s">
        <v>2735</v>
      </c>
      <c r="C2485" t="s">
        <v>317</v>
      </c>
      <c r="D2485">
        <v>67</v>
      </c>
      <c r="E2485">
        <v>100</v>
      </c>
      <c r="F2485">
        <v>0</v>
      </c>
      <c r="G2485">
        <v>0</v>
      </c>
      <c r="H2485">
        <v>0</v>
      </c>
      <c r="I2485">
        <v>0</v>
      </c>
      <c r="J2485">
        <v>0</v>
      </c>
      <c r="K2485">
        <v>0</v>
      </c>
      <c r="L2485">
        <v>0</v>
      </c>
      <c r="M2485">
        <v>0</v>
      </c>
      <c r="N2485">
        <v>0</v>
      </c>
      <c r="O2485">
        <v>0</v>
      </c>
    </row>
    <row r="2486" spans="1:15">
      <c r="A2486" t="s">
        <v>2803</v>
      </c>
      <c r="B2486" t="s">
        <v>2735</v>
      </c>
      <c r="C2486" t="s">
        <v>317</v>
      </c>
      <c r="D2486">
        <v>68</v>
      </c>
      <c r="E2486">
        <v>100</v>
      </c>
      <c r="F2486">
        <v>0</v>
      </c>
      <c r="G2486">
        <v>0</v>
      </c>
      <c r="H2486">
        <v>0</v>
      </c>
      <c r="I2486">
        <v>0</v>
      </c>
      <c r="J2486">
        <v>0</v>
      </c>
      <c r="K2486">
        <v>0</v>
      </c>
      <c r="L2486">
        <v>0</v>
      </c>
      <c r="M2486">
        <v>0</v>
      </c>
      <c r="N2486">
        <v>0</v>
      </c>
      <c r="O2486">
        <v>0</v>
      </c>
    </row>
    <row r="2487" spans="1:15">
      <c r="A2487" t="s">
        <v>2804</v>
      </c>
      <c r="B2487" t="s">
        <v>2735</v>
      </c>
      <c r="C2487" t="s">
        <v>317</v>
      </c>
      <c r="D2487">
        <v>69</v>
      </c>
      <c r="E2487">
        <v>100</v>
      </c>
      <c r="F2487">
        <v>0</v>
      </c>
      <c r="G2487">
        <v>0</v>
      </c>
      <c r="H2487">
        <v>0</v>
      </c>
      <c r="I2487">
        <v>0</v>
      </c>
      <c r="J2487">
        <v>0</v>
      </c>
      <c r="K2487">
        <v>0</v>
      </c>
      <c r="L2487">
        <v>0</v>
      </c>
      <c r="M2487">
        <v>0</v>
      </c>
      <c r="N2487">
        <v>0</v>
      </c>
      <c r="O2487">
        <v>0</v>
      </c>
    </row>
    <row r="2488" spans="1:15">
      <c r="A2488" t="s">
        <v>2805</v>
      </c>
      <c r="B2488" t="s">
        <v>2735</v>
      </c>
      <c r="C2488" t="s">
        <v>317</v>
      </c>
      <c r="D2488">
        <v>70</v>
      </c>
      <c r="E2488">
        <v>100</v>
      </c>
      <c r="F2488">
        <v>0</v>
      </c>
      <c r="G2488">
        <v>0</v>
      </c>
      <c r="H2488">
        <v>0</v>
      </c>
      <c r="I2488">
        <v>0</v>
      </c>
      <c r="J2488">
        <v>0</v>
      </c>
      <c r="K2488">
        <v>0</v>
      </c>
      <c r="L2488">
        <v>0</v>
      </c>
      <c r="M2488">
        <v>0</v>
      </c>
      <c r="N2488">
        <v>0</v>
      </c>
      <c r="O2488">
        <v>0</v>
      </c>
    </row>
    <row r="2489" spans="1:15">
      <c r="A2489" t="s">
        <v>2806</v>
      </c>
      <c r="B2489" t="s">
        <v>2735</v>
      </c>
      <c r="C2489" t="s">
        <v>317</v>
      </c>
      <c r="D2489">
        <v>71</v>
      </c>
      <c r="E2489">
        <v>100</v>
      </c>
      <c r="F2489">
        <v>0</v>
      </c>
      <c r="G2489">
        <v>0</v>
      </c>
      <c r="H2489">
        <v>0</v>
      </c>
      <c r="I2489">
        <v>0</v>
      </c>
      <c r="J2489">
        <v>0</v>
      </c>
      <c r="K2489">
        <v>0</v>
      </c>
      <c r="L2489">
        <v>0</v>
      </c>
      <c r="M2489">
        <v>0</v>
      </c>
      <c r="N2489">
        <v>0</v>
      </c>
      <c r="O2489">
        <v>0</v>
      </c>
    </row>
    <row r="2490" spans="1:15">
      <c r="A2490" t="s">
        <v>2807</v>
      </c>
      <c r="B2490" t="s">
        <v>2735</v>
      </c>
      <c r="C2490" t="s">
        <v>317</v>
      </c>
      <c r="D2490">
        <v>72</v>
      </c>
      <c r="E2490">
        <v>100</v>
      </c>
      <c r="F2490">
        <v>0</v>
      </c>
      <c r="G2490">
        <v>0</v>
      </c>
      <c r="H2490">
        <v>0</v>
      </c>
      <c r="I2490">
        <v>0</v>
      </c>
      <c r="J2490">
        <v>0</v>
      </c>
      <c r="K2490">
        <v>0</v>
      </c>
      <c r="L2490">
        <v>0</v>
      </c>
      <c r="M2490">
        <v>0</v>
      </c>
      <c r="N2490">
        <v>0</v>
      </c>
      <c r="O2490">
        <v>0</v>
      </c>
    </row>
    <row r="2491" spans="1:15">
      <c r="A2491" t="s">
        <v>2808</v>
      </c>
      <c r="B2491" t="s">
        <v>2735</v>
      </c>
      <c r="C2491" t="s">
        <v>317</v>
      </c>
      <c r="D2491">
        <v>73</v>
      </c>
      <c r="E2491">
        <v>100</v>
      </c>
      <c r="F2491">
        <v>0</v>
      </c>
      <c r="G2491">
        <v>0</v>
      </c>
      <c r="H2491">
        <v>0</v>
      </c>
      <c r="I2491">
        <v>0</v>
      </c>
      <c r="J2491">
        <v>0</v>
      </c>
      <c r="K2491">
        <v>0</v>
      </c>
      <c r="L2491">
        <v>0</v>
      </c>
      <c r="M2491">
        <v>0</v>
      </c>
      <c r="N2491">
        <v>0</v>
      </c>
      <c r="O2491">
        <v>0</v>
      </c>
    </row>
    <row r="2492" spans="1:15">
      <c r="A2492" t="s">
        <v>2809</v>
      </c>
      <c r="B2492" t="s">
        <v>2735</v>
      </c>
      <c r="C2492" t="s">
        <v>317</v>
      </c>
      <c r="D2492">
        <v>74</v>
      </c>
      <c r="E2492">
        <v>100</v>
      </c>
      <c r="F2492">
        <v>0</v>
      </c>
      <c r="G2492">
        <v>0</v>
      </c>
      <c r="H2492">
        <v>0</v>
      </c>
      <c r="I2492">
        <v>0</v>
      </c>
      <c r="J2492">
        <v>0</v>
      </c>
      <c r="K2492">
        <v>0</v>
      </c>
      <c r="L2492">
        <v>0</v>
      </c>
      <c r="M2492">
        <v>0</v>
      </c>
      <c r="N2492">
        <v>0</v>
      </c>
      <c r="O2492">
        <v>0</v>
      </c>
    </row>
    <row r="2493" spans="1:15">
      <c r="A2493" t="s">
        <v>2810</v>
      </c>
      <c r="B2493" t="s">
        <v>2735</v>
      </c>
      <c r="C2493" t="s">
        <v>317</v>
      </c>
      <c r="D2493">
        <v>75</v>
      </c>
      <c r="E2493">
        <v>100</v>
      </c>
      <c r="F2493">
        <v>0</v>
      </c>
      <c r="G2493">
        <v>0</v>
      </c>
      <c r="H2493">
        <v>0</v>
      </c>
      <c r="I2493">
        <v>0</v>
      </c>
      <c r="J2493">
        <v>0</v>
      </c>
      <c r="K2493">
        <v>0</v>
      </c>
      <c r="L2493">
        <v>0</v>
      </c>
      <c r="M2493">
        <v>0</v>
      </c>
      <c r="N2493">
        <v>0</v>
      </c>
      <c r="O2493">
        <v>0</v>
      </c>
    </row>
    <row r="2494" spans="1:15">
      <c r="A2494" t="s">
        <v>2811</v>
      </c>
      <c r="B2494" t="s">
        <v>2735</v>
      </c>
      <c r="C2494" t="s">
        <v>317</v>
      </c>
      <c r="D2494">
        <v>76</v>
      </c>
      <c r="E2494">
        <v>100</v>
      </c>
      <c r="F2494">
        <v>0</v>
      </c>
      <c r="G2494">
        <v>0</v>
      </c>
      <c r="H2494">
        <v>0</v>
      </c>
      <c r="I2494">
        <v>0</v>
      </c>
      <c r="J2494">
        <v>0</v>
      </c>
      <c r="K2494">
        <v>0</v>
      </c>
      <c r="L2494">
        <v>0</v>
      </c>
      <c r="M2494">
        <v>0</v>
      </c>
      <c r="N2494">
        <v>0</v>
      </c>
      <c r="O2494">
        <v>0</v>
      </c>
    </row>
    <row r="2495" spans="1:15">
      <c r="A2495" t="s">
        <v>2812</v>
      </c>
      <c r="B2495" t="s">
        <v>2735</v>
      </c>
      <c r="C2495" t="s">
        <v>317</v>
      </c>
      <c r="D2495">
        <v>77</v>
      </c>
      <c r="E2495">
        <v>100</v>
      </c>
      <c r="F2495">
        <v>0</v>
      </c>
      <c r="G2495">
        <v>0</v>
      </c>
      <c r="H2495">
        <v>0</v>
      </c>
      <c r="I2495">
        <v>0</v>
      </c>
      <c r="J2495">
        <v>0</v>
      </c>
      <c r="K2495">
        <v>0</v>
      </c>
      <c r="L2495">
        <v>0</v>
      </c>
      <c r="M2495">
        <v>0</v>
      </c>
      <c r="N2495">
        <v>0</v>
      </c>
      <c r="O2495">
        <v>0</v>
      </c>
    </row>
    <row r="2496" spans="1:15">
      <c r="A2496" t="s">
        <v>2813</v>
      </c>
      <c r="B2496" t="s">
        <v>2735</v>
      </c>
      <c r="C2496" t="s">
        <v>317</v>
      </c>
      <c r="D2496">
        <v>78</v>
      </c>
      <c r="E2496">
        <v>100</v>
      </c>
      <c r="F2496">
        <v>0</v>
      </c>
      <c r="G2496">
        <v>0</v>
      </c>
      <c r="H2496">
        <v>0</v>
      </c>
      <c r="I2496">
        <v>0</v>
      </c>
      <c r="J2496">
        <v>0</v>
      </c>
      <c r="K2496">
        <v>0</v>
      </c>
      <c r="L2496">
        <v>0</v>
      </c>
      <c r="M2496">
        <v>0</v>
      </c>
      <c r="N2496">
        <v>0</v>
      </c>
      <c r="O2496">
        <v>0</v>
      </c>
    </row>
    <row r="2497" spans="1:15">
      <c r="A2497" t="s">
        <v>2814</v>
      </c>
      <c r="B2497" t="s">
        <v>2735</v>
      </c>
      <c r="C2497" t="s">
        <v>317</v>
      </c>
      <c r="D2497">
        <v>79</v>
      </c>
      <c r="E2497">
        <v>100</v>
      </c>
      <c r="F2497">
        <v>0</v>
      </c>
      <c r="G2497">
        <v>0</v>
      </c>
      <c r="H2497">
        <v>0</v>
      </c>
      <c r="I2497">
        <v>0</v>
      </c>
      <c r="J2497">
        <v>0</v>
      </c>
      <c r="K2497">
        <v>0</v>
      </c>
      <c r="L2497">
        <v>0</v>
      </c>
      <c r="M2497">
        <v>0</v>
      </c>
      <c r="N2497">
        <v>0</v>
      </c>
      <c r="O2497">
        <v>0</v>
      </c>
    </row>
    <row r="2498" spans="1:15">
      <c r="A2498" t="s">
        <v>2815</v>
      </c>
      <c r="B2498" t="s">
        <v>2735</v>
      </c>
      <c r="C2498" t="s">
        <v>317</v>
      </c>
      <c r="D2498">
        <v>80</v>
      </c>
      <c r="E2498">
        <v>100</v>
      </c>
      <c r="F2498">
        <v>0</v>
      </c>
      <c r="G2498">
        <v>0</v>
      </c>
      <c r="H2498">
        <v>0</v>
      </c>
      <c r="I2498">
        <v>0</v>
      </c>
      <c r="J2498">
        <v>0</v>
      </c>
      <c r="K2498">
        <v>0</v>
      </c>
      <c r="L2498">
        <v>0</v>
      </c>
      <c r="M2498">
        <v>0</v>
      </c>
      <c r="N2498">
        <v>0</v>
      </c>
      <c r="O2498">
        <v>0</v>
      </c>
    </row>
    <row r="2499" spans="1:15">
      <c r="A2499" t="s">
        <v>2816</v>
      </c>
      <c r="B2499" t="s">
        <v>2735</v>
      </c>
      <c r="C2499" t="s">
        <v>317</v>
      </c>
      <c r="D2499">
        <v>81</v>
      </c>
      <c r="E2499">
        <v>100</v>
      </c>
      <c r="F2499">
        <v>0</v>
      </c>
      <c r="G2499">
        <v>0</v>
      </c>
      <c r="H2499">
        <v>0</v>
      </c>
      <c r="I2499">
        <v>0</v>
      </c>
      <c r="J2499">
        <v>0</v>
      </c>
      <c r="K2499">
        <v>0</v>
      </c>
      <c r="L2499">
        <v>0</v>
      </c>
      <c r="M2499">
        <v>0</v>
      </c>
      <c r="N2499">
        <v>0</v>
      </c>
      <c r="O2499">
        <v>0</v>
      </c>
    </row>
    <row r="2500" spans="1:15">
      <c r="A2500" t="s">
        <v>2817</v>
      </c>
      <c r="B2500" t="s">
        <v>2735</v>
      </c>
      <c r="C2500" t="s">
        <v>317</v>
      </c>
      <c r="D2500">
        <v>82</v>
      </c>
      <c r="E2500">
        <v>100</v>
      </c>
      <c r="F2500">
        <v>0</v>
      </c>
      <c r="G2500">
        <v>0</v>
      </c>
      <c r="H2500">
        <v>0</v>
      </c>
      <c r="I2500">
        <v>0</v>
      </c>
      <c r="J2500">
        <v>0</v>
      </c>
      <c r="K2500">
        <v>0</v>
      </c>
      <c r="L2500">
        <v>0</v>
      </c>
      <c r="M2500">
        <v>0</v>
      </c>
      <c r="N2500">
        <v>0</v>
      </c>
      <c r="O2500">
        <v>0</v>
      </c>
    </row>
    <row r="2501" spans="1:15">
      <c r="A2501" t="s">
        <v>2818</v>
      </c>
      <c r="B2501" t="s">
        <v>2735</v>
      </c>
      <c r="C2501" t="s">
        <v>317</v>
      </c>
      <c r="D2501">
        <v>83</v>
      </c>
      <c r="E2501">
        <v>100</v>
      </c>
      <c r="F2501">
        <v>0</v>
      </c>
      <c r="G2501">
        <v>0</v>
      </c>
      <c r="H2501">
        <v>0</v>
      </c>
      <c r="I2501">
        <v>0</v>
      </c>
      <c r="J2501">
        <v>0</v>
      </c>
      <c r="K2501">
        <v>0</v>
      </c>
      <c r="L2501">
        <v>0</v>
      </c>
      <c r="M2501">
        <v>0</v>
      </c>
      <c r="N2501">
        <v>0</v>
      </c>
      <c r="O2501">
        <v>0</v>
      </c>
    </row>
    <row r="2502" spans="1:15">
      <c r="A2502" t="s">
        <v>2819</v>
      </c>
      <c r="B2502" t="s">
        <v>2735</v>
      </c>
      <c r="C2502" t="s">
        <v>317</v>
      </c>
      <c r="D2502">
        <v>84</v>
      </c>
      <c r="E2502">
        <v>100</v>
      </c>
      <c r="F2502">
        <v>0</v>
      </c>
      <c r="G2502">
        <v>0</v>
      </c>
      <c r="H2502">
        <v>0</v>
      </c>
      <c r="I2502">
        <v>0</v>
      </c>
      <c r="J2502">
        <v>0</v>
      </c>
      <c r="K2502">
        <v>0</v>
      </c>
      <c r="L2502">
        <v>0</v>
      </c>
      <c r="M2502">
        <v>0</v>
      </c>
      <c r="N2502">
        <v>0</v>
      </c>
      <c r="O2502">
        <v>0</v>
      </c>
    </row>
    <row r="2503" spans="1:15">
      <c r="A2503" t="s">
        <v>2820</v>
      </c>
      <c r="B2503" t="s">
        <v>2735</v>
      </c>
      <c r="C2503" t="s">
        <v>317</v>
      </c>
      <c r="D2503">
        <v>85</v>
      </c>
      <c r="E2503">
        <v>100</v>
      </c>
      <c r="F2503">
        <v>0</v>
      </c>
      <c r="G2503">
        <v>0</v>
      </c>
      <c r="H2503">
        <v>0</v>
      </c>
      <c r="I2503">
        <v>0</v>
      </c>
      <c r="J2503">
        <v>0</v>
      </c>
      <c r="K2503">
        <v>0</v>
      </c>
      <c r="L2503">
        <v>0</v>
      </c>
      <c r="M2503">
        <v>0</v>
      </c>
      <c r="N2503">
        <v>0</v>
      </c>
      <c r="O2503">
        <v>0</v>
      </c>
    </row>
    <row r="2504" spans="1:15">
      <c r="A2504" t="s">
        <v>2821</v>
      </c>
      <c r="B2504" t="s">
        <v>2735</v>
      </c>
      <c r="C2504" t="s">
        <v>404</v>
      </c>
      <c r="D2504">
        <v>0</v>
      </c>
      <c r="E2504">
        <v>100</v>
      </c>
      <c r="F2504">
        <v>0</v>
      </c>
      <c r="G2504">
        <v>0</v>
      </c>
      <c r="H2504">
        <v>0</v>
      </c>
      <c r="I2504">
        <v>0</v>
      </c>
      <c r="J2504">
        <v>0</v>
      </c>
      <c r="K2504">
        <v>0</v>
      </c>
      <c r="L2504">
        <v>0</v>
      </c>
      <c r="M2504">
        <v>0</v>
      </c>
      <c r="N2504">
        <v>0</v>
      </c>
      <c r="O2504">
        <v>0</v>
      </c>
    </row>
    <row r="2505" spans="1:15">
      <c r="A2505" t="s">
        <v>2822</v>
      </c>
      <c r="B2505" t="s">
        <v>2735</v>
      </c>
      <c r="C2505" t="s">
        <v>404</v>
      </c>
      <c r="D2505">
        <v>1</v>
      </c>
      <c r="E2505">
        <v>100</v>
      </c>
      <c r="F2505">
        <v>0</v>
      </c>
      <c r="G2505">
        <v>0</v>
      </c>
      <c r="H2505">
        <v>0</v>
      </c>
      <c r="I2505">
        <v>0</v>
      </c>
      <c r="J2505">
        <v>0</v>
      </c>
      <c r="K2505">
        <v>0</v>
      </c>
      <c r="L2505">
        <v>0</v>
      </c>
      <c r="M2505">
        <v>0</v>
      </c>
      <c r="N2505">
        <v>0</v>
      </c>
      <c r="O2505">
        <v>0</v>
      </c>
    </row>
    <row r="2506" spans="1:15">
      <c r="A2506" t="s">
        <v>2823</v>
      </c>
      <c r="B2506" t="s">
        <v>2735</v>
      </c>
      <c r="C2506" t="s">
        <v>404</v>
      </c>
      <c r="D2506">
        <v>2</v>
      </c>
      <c r="E2506">
        <v>100</v>
      </c>
      <c r="F2506">
        <v>0</v>
      </c>
      <c r="G2506">
        <v>0</v>
      </c>
      <c r="H2506">
        <v>0</v>
      </c>
      <c r="I2506">
        <v>0</v>
      </c>
      <c r="J2506">
        <v>0</v>
      </c>
      <c r="K2506">
        <v>0</v>
      </c>
      <c r="L2506">
        <v>0</v>
      </c>
      <c r="M2506">
        <v>0</v>
      </c>
      <c r="N2506">
        <v>0</v>
      </c>
      <c r="O2506">
        <v>0</v>
      </c>
    </row>
    <row r="2507" spans="1:15">
      <c r="A2507" t="s">
        <v>2824</v>
      </c>
      <c r="B2507" t="s">
        <v>2735</v>
      </c>
      <c r="C2507" t="s">
        <v>404</v>
      </c>
      <c r="D2507">
        <v>3</v>
      </c>
      <c r="E2507">
        <v>100</v>
      </c>
      <c r="F2507">
        <v>0</v>
      </c>
      <c r="G2507">
        <v>0</v>
      </c>
      <c r="H2507">
        <v>0</v>
      </c>
      <c r="I2507">
        <v>0</v>
      </c>
      <c r="J2507">
        <v>0</v>
      </c>
      <c r="K2507">
        <v>0</v>
      </c>
      <c r="L2507">
        <v>0</v>
      </c>
      <c r="M2507">
        <v>0</v>
      </c>
      <c r="N2507">
        <v>0</v>
      </c>
      <c r="O2507">
        <v>0</v>
      </c>
    </row>
    <row r="2508" spans="1:15">
      <c r="A2508" t="s">
        <v>2825</v>
      </c>
      <c r="B2508" t="s">
        <v>2735</v>
      </c>
      <c r="C2508" t="s">
        <v>404</v>
      </c>
      <c r="D2508">
        <v>4</v>
      </c>
      <c r="E2508">
        <v>100</v>
      </c>
      <c r="F2508">
        <v>0</v>
      </c>
      <c r="G2508">
        <v>0</v>
      </c>
      <c r="H2508">
        <v>0</v>
      </c>
      <c r="I2508">
        <v>0</v>
      </c>
      <c r="J2508">
        <v>0</v>
      </c>
      <c r="K2508">
        <v>0</v>
      </c>
      <c r="L2508">
        <v>0</v>
      </c>
      <c r="M2508">
        <v>0</v>
      </c>
      <c r="N2508">
        <v>0</v>
      </c>
      <c r="O2508">
        <v>0</v>
      </c>
    </row>
    <row r="2509" spans="1:15">
      <c r="A2509" t="s">
        <v>2826</v>
      </c>
      <c r="B2509" t="s">
        <v>2735</v>
      </c>
      <c r="C2509" t="s">
        <v>404</v>
      </c>
      <c r="D2509">
        <v>5</v>
      </c>
      <c r="E2509">
        <v>100</v>
      </c>
      <c r="F2509">
        <v>0</v>
      </c>
      <c r="G2509">
        <v>0</v>
      </c>
      <c r="H2509">
        <v>0</v>
      </c>
      <c r="I2509">
        <v>0</v>
      </c>
      <c r="J2509">
        <v>0</v>
      </c>
      <c r="K2509">
        <v>0</v>
      </c>
      <c r="L2509">
        <v>0</v>
      </c>
      <c r="M2509">
        <v>0</v>
      </c>
      <c r="N2509">
        <v>0</v>
      </c>
      <c r="O2509">
        <v>0</v>
      </c>
    </row>
    <row r="2510" spans="1:15">
      <c r="A2510" t="s">
        <v>2827</v>
      </c>
      <c r="B2510" t="s">
        <v>2735</v>
      </c>
      <c r="C2510" t="s">
        <v>404</v>
      </c>
      <c r="D2510">
        <v>6</v>
      </c>
      <c r="E2510">
        <v>100</v>
      </c>
      <c r="F2510">
        <v>0</v>
      </c>
      <c r="G2510">
        <v>0</v>
      </c>
      <c r="H2510">
        <v>0</v>
      </c>
      <c r="I2510">
        <v>0</v>
      </c>
      <c r="J2510">
        <v>0</v>
      </c>
      <c r="K2510">
        <v>0</v>
      </c>
      <c r="L2510">
        <v>0</v>
      </c>
      <c r="M2510">
        <v>0</v>
      </c>
      <c r="N2510">
        <v>0</v>
      </c>
      <c r="O2510">
        <v>0</v>
      </c>
    </row>
    <row r="2511" spans="1:15">
      <c r="A2511" t="s">
        <v>2828</v>
      </c>
      <c r="B2511" t="s">
        <v>2735</v>
      </c>
      <c r="C2511" t="s">
        <v>404</v>
      </c>
      <c r="D2511">
        <v>7</v>
      </c>
      <c r="E2511">
        <v>100</v>
      </c>
      <c r="F2511">
        <v>0</v>
      </c>
      <c r="G2511">
        <v>0</v>
      </c>
      <c r="H2511">
        <v>0</v>
      </c>
      <c r="I2511">
        <v>0</v>
      </c>
      <c r="J2511">
        <v>0</v>
      </c>
      <c r="K2511">
        <v>0</v>
      </c>
      <c r="L2511">
        <v>0</v>
      </c>
      <c r="M2511">
        <v>0</v>
      </c>
      <c r="N2511">
        <v>0</v>
      </c>
      <c r="O2511">
        <v>0</v>
      </c>
    </row>
    <row r="2512" spans="1:15">
      <c r="A2512" t="s">
        <v>2829</v>
      </c>
      <c r="B2512" t="s">
        <v>2735</v>
      </c>
      <c r="C2512" t="s">
        <v>404</v>
      </c>
      <c r="D2512">
        <v>8</v>
      </c>
      <c r="E2512">
        <v>100</v>
      </c>
      <c r="F2512">
        <v>0</v>
      </c>
      <c r="G2512">
        <v>0</v>
      </c>
      <c r="H2512">
        <v>0</v>
      </c>
      <c r="I2512">
        <v>0</v>
      </c>
      <c r="J2512">
        <v>0</v>
      </c>
      <c r="K2512">
        <v>0</v>
      </c>
      <c r="L2512">
        <v>0</v>
      </c>
      <c r="M2512">
        <v>0</v>
      </c>
      <c r="N2512">
        <v>0</v>
      </c>
      <c r="O2512">
        <v>0</v>
      </c>
    </row>
    <row r="2513" spans="1:15">
      <c r="A2513" t="s">
        <v>2830</v>
      </c>
      <c r="B2513" t="s">
        <v>2735</v>
      </c>
      <c r="C2513" t="s">
        <v>404</v>
      </c>
      <c r="D2513">
        <v>9</v>
      </c>
      <c r="E2513">
        <v>100</v>
      </c>
      <c r="F2513">
        <v>0</v>
      </c>
      <c r="G2513">
        <v>0</v>
      </c>
      <c r="H2513">
        <v>0</v>
      </c>
      <c r="I2513">
        <v>0</v>
      </c>
      <c r="J2513">
        <v>0</v>
      </c>
      <c r="K2513">
        <v>0</v>
      </c>
      <c r="L2513">
        <v>0</v>
      </c>
      <c r="M2513">
        <v>0</v>
      </c>
      <c r="N2513">
        <v>0</v>
      </c>
      <c r="O2513">
        <v>0</v>
      </c>
    </row>
    <row r="2514" spans="1:15">
      <c r="A2514" t="s">
        <v>2831</v>
      </c>
      <c r="B2514" t="s">
        <v>2735</v>
      </c>
      <c r="C2514" t="s">
        <v>404</v>
      </c>
      <c r="D2514">
        <v>10</v>
      </c>
      <c r="E2514">
        <v>100</v>
      </c>
      <c r="F2514">
        <v>0</v>
      </c>
      <c r="G2514">
        <v>0</v>
      </c>
      <c r="H2514">
        <v>0</v>
      </c>
      <c r="I2514">
        <v>0</v>
      </c>
      <c r="J2514">
        <v>0</v>
      </c>
      <c r="K2514">
        <v>0</v>
      </c>
      <c r="L2514">
        <v>0</v>
      </c>
      <c r="M2514">
        <v>0</v>
      </c>
      <c r="N2514">
        <v>0</v>
      </c>
      <c r="O2514">
        <v>0</v>
      </c>
    </row>
    <row r="2515" spans="1:15">
      <c r="A2515" t="s">
        <v>2832</v>
      </c>
      <c r="B2515" t="s">
        <v>2735</v>
      </c>
      <c r="C2515" t="s">
        <v>404</v>
      </c>
      <c r="D2515">
        <v>11</v>
      </c>
      <c r="E2515">
        <v>100</v>
      </c>
      <c r="F2515">
        <v>0</v>
      </c>
      <c r="G2515">
        <v>0</v>
      </c>
      <c r="H2515">
        <v>0</v>
      </c>
      <c r="I2515">
        <v>0</v>
      </c>
      <c r="J2515">
        <v>0</v>
      </c>
      <c r="K2515">
        <v>0</v>
      </c>
      <c r="L2515">
        <v>0</v>
      </c>
      <c r="M2515">
        <v>0</v>
      </c>
      <c r="N2515">
        <v>0</v>
      </c>
      <c r="O2515">
        <v>0</v>
      </c>
    </row>
    <row r="2516" spans="1:15">
      <c r="A2516" t="s">
        <v>2833</v>
      </c>
      <c r="B2516" t="s">
        <v>2735</v>
      </c>
      <c r="C2516" t="s">
        <v>404</v>
      </c>
      <c r="D2516">
        <v>12</v>
      </c>
      <c r="E2516">
        <v>100</v>
      </c>
      <c r="F2516">
        <v>0</v>
      </c>
      <c r="G2516">
        <v>0</v>
      </c>
      <c r="H2516">
        <v>0</v>
      </c>
      <c r="I2516">
        <v>0</v>
      </c>
      <c r="J2516">
        <v>0</v>
      </c>
      <c r="K2516">
        <v>0</v>
      </c>
      <c r="L2516">
        <v>0</v>
      </c>
      <c r="M2516">
        <v>0</v>
      </c>
      <c r="N2516">
        <v>0</v>
      </c>
      <c r="O2516">
        <v>0</v>
      </c>
    </row>
    <row r="2517" spans="1:15">
      <c r="A2517" t="s">
        <v>2834</v>
      </c>
      <c r="B2517" t="s">
        <v>2735</v>
      </c>
      <c r="C2517" t="s">
        <v>404</v>
      </c>
      <c r="D2517">
        <v>13</v>
      </c>
      <c r="E2517">
        <v>100</v>
      </c>
      <c r="F2517">
        <v>0</v>
      </c>
      <c r="G2517">
        <v>0</v>
      </c>
      <c r="H2517">
        <v>0</v>
      </c>
      <c r="I2517">
        <v>0</v>
      </c>
      <c r="J2517">
        <v>0</v>
      </c>
      <c r="K2517">
        <v>0</v>
      </c>
      <c r="L2517">
        <v>0</v>
      </c>
      <c r="M2517">
        <v>0</v>
      </c>
      <c r="N2517">
        <v>0</v>
      </c>
      <c r="O2517">
        <v>0</v>
      </c>
    </row>
    <row r="2518" spans="1:15">
      <c r="A2518" t="s">
        <v>2835</v>
      </c>
      <c r="B2518" t="s">
        <v>2735</v>
      </c>
      <c r="C2518" t="s">
        <v>404</v>
      </c>
      <c r="D2518">
        <v>14</v>
      </c>
      <c r="E2518">
        <v>100</v>
      </c>
      <c r="F2518">
        <v>0</v>
      </c>
      <c r="G2518">
        <v>0</v>
      </c>
      <c r="H2518">
        <v>0</v>
      </c>
      <c r="I2518">
        <v>0</v>
      </c>
      <c r="J2518">
        <v>0</v>
      </c>
      <c r="K2518">
        <v>0</v>
      </c>
      <c r="L2518">
        <v>0</v>
      </c>
      <c r="M2518">
        <v>0</v>
      </c>
      <c r="N2518">
        <v>0</v>
      </c>
      <c r="O2518">
        <v>0</v>
      </c>
    </row>
    <row r="2519" spans="1:15">
      <c r="A2519" t="s">
        <v>2836</v>
      </c>
      <c r="B2519" t="s">
        <v>2735</v>
      </c>
      <c r="C2519" t="s">
        <v>404</v>
      </c>
      <c r="D2519">
        <v>15</v>
      </c>
      <c r="E2519">
        <v>100</v>
      </c>
      <c r="F2519">
        <v>0</v>
      </c>
      <c r="G2519">
        <v>0</v>
      </c>
      <c r="H2519">
        <v>0</v>
      </c>
      <c r="I2519">
        <v>0</v>
      </c>
      <c r="J2519">
        <v>0</v>
      </c>
      <c r="K2519">
        <v>0</v>
      </c>
      <c r="L2519">
        <v>0</v>
      </c>
      <c r="M2519">
        <v>0</v>
      </c>
      <c r="N2519">
        <v>0</v>
      </c>
      <c r="O2519">
        <v>0</v>
      </c>
    </row>
    <row r="2520" spans="1:15">
      <c r="A2520" t="s">
        <v>2837</v>
      </c>
      <c r="B2520" t="s">
        <v>2735</v>
      </c>
      <c r="C2520" t="s">
        <v>404</v>
      </c>
      <c r="D2520">
        <v>16</v>
      </c>
      <c r="E2520">
        <v>100</v>
      </c>
      <c r="F2520">
        <v>0</v>
      </c>
      <c r="G2520">
        <v>0</v>
      </c>
      <c r="H2520">
        <v>0</v>
      </c>
      <c r="I2520">
        <v>0</v>
      </c>
      <c r="J2520">
        <v>0</v>
      </c>
      <c r="K2520">
        <v>0</v>
      </c>
      <c r="L2520">
        <v>0</v>
      </c>
      <c r="M2520">
        <v>0</v>
      </c>
      <c r="N2520">
        <v>0</v>
      </c>
      <c r="O2520">
        <v>0</v>
      </c>
    </row>
    <row r="2521" spans="1:15">
      <c r="A2521" t="s">
        <v>2838</v>
      </c>
      <c r="B2521" t="s">
        <v>2735</v>
      </c>
      <c r="C2521" t="s">
        <v>404</v>
      </c>
      <c r="D2521">
        <v>17</v>
      </c>
      <c r="E2521">
        <v>100</v>
      </c>
      <c r="F2521">
        <v>0</v>
      </c>
      <c r="G2521">
        <v>0</v>
      </c>
      <c r="H2521">
        <v>0</v>
      </c>
      <c r="I2521">
        <v>0</v>
      </c>
      <c r="J2521">
        <v>0</v>
      </c>
      <c r="K2521">
        <v>0</v>
      </c>
      <c r="L2521">
        <v>0</v>
      </c>
      <c r="M2521">
        <v>0</v>
      </c>
      <c r="N2521">
        <v>0</v>
      </c>
      <c r="O2521">
        <v>0</v>
      </c>
    </row>
    <row r="2522" spans="1:15">
      <c r="A2522" t="s">
        <v>2839</v>
      </c>
      <c r="B2522" t="s">
        <v>2735</v>
      </c>
      <c r="C2522" t="s">
        <v>404</v>
      </c>
      <c r="D2522">
        <v>18</v>
      </c>
      <c r="E2522">
        <v>100</v>
      </c>
      <c r="F2522">
        <v>0</v>
      </c>
      <c r="G2522">
        <v>0</v>
      </c>
      <c r="H2522">
        <v>0</v>
      </c>
      <c r="I2522">
        <v>0</v>
      </c>
      <c r="J2522">
        <v>0</v>
      </c>
      <c r="K2522">
        <v>0</v>
      </c>
      <c r="L2522">
        <v>0</v>
      </c>
      <c r="M2522">
        <v>0</v>
      </c>
      <c r="N2522">
        <v>0</v>
      </c>
      <c r="O2522">
        <v>0</v>
      </c>
    </row>
    <row r="2523" spans="1:15">
      <c r="A2523" t="s">
        <v>2840</v>
      </c>
      <c r="B2523" t="s">
        <v>2735</v>
      </c>
      <c r="C2523" t="s">
        <v>404</v>
      </c>
      <c r="D2523">
        <v>19</v>
      </c>
      <c r="E2523">
        <v>100</v>
      </c>
      <c r="F2523">
        <v>0</v>
      </c>
      <c r="G2523">
        <v>0</v>
      </c>
      <c r="H2523">
        <v>0</v>
      </c>
      <c r="I2523">
        <v>0</v>
      </c>
      <c r="J2523">
        <v>0</v>
      </c>
      <c r="K2523">
        <v>0</v>
      </c>
      <c r="L2523">
        <v>0</v>
      </c>
      <c r="M2523">
        <v>0</v>
      </c>
      <c r="N2523">
        <v>0</v>
      </c>
      <c r="O2523">
        <v>0</v>
      </c>
    </row>
    <row r="2524" spans="1:15">
      <c r="A2524" t="s">
        <v>2841</v>
      </c>
      <c r="B2524" t="s">
        <v>2735</v>
      </c>
      <c r="C2524" t="s">
        <v>404</v>
      </c>
      <c r="D2524">
        <v>20</v>
      </c>
      <c r="E2524">
        <v>100</v>
      </c>
      <c r="F2524">
        <v>0</v>
      </c>
      <c r="G2524">
        <v>0</v>
      </c>
      <c r="H2524">
        <v>0</v>
      </c>
      <c r="I2524">
        <v>0</v>
      </c>
      <c r="J2524">
        <v>0</v>
      </c>
      <c r="K2524">
        <v>0</v>
      </c>
      <c r="L2524">
        <v>0</v>
      </c>
      <c r="M2524">
        <v>0</v>
      </c>
      <c r="N2524">
        <v>0</v>
      </c>
      <c r="O2524">
        <v>0</v>
      </c>
    </row>
    <row r="2525" spans="1:15">
      <c r="A2525" t="s">
        <v>2842</v>
      </c>
      <c r="B2525" t="s">
        <v>2735</v>
      </c>
      <c r="C2525" t="s">
        <v>404</v>
      </c>
      <c r="D2525">
        <v>21</v>
      </c>
      <c r="E2525">
        <v>100</v>
      </c>
      <c r="F2525">
        <v>0</v>
      </c>
      <c r="G2525">
        <v>0</v>
      </c>
      <c r="H2525">
        <v>0</v>
      </c>
      <c r="I2525">
        <v>0</v>
      </c>
      <c r="J2525">
        <v>0</v>
      </c>
      <c r="K2525">
        <v>0</v>
      </c>
      <c r="L2525">
        <v>0</v>
      </c>
      <c r="M2525">
        <v>0</v>
      </c>
      <c r="N2525">
        <v>0</v>
      </c>
      <c r="O2525">
        <v>0</v>
      </c>
    </row>
    <row r="2526" spans="1:15">
      <c r="A2526" t="s">
        <v>2843</v>
      </c>
      <c r="B2526" t="s">
        <v>2735</v>
      </c>
      <c r="C2526" t="s">
        <v>404</v>
      </c>
      <c r="D2526">
        <v>22</v>
      </c>
      <c r="E2526">
        <v>100</v>
      </c>
      <c r="F2526">
        <v>0</v>
      </c>
      <c r="G2526">
        <v>0</v>
      </c>
      <c r="H2526">
        <v>0</v>
      </c>
      <c r="I2526">
        <v>0</v>
      </c>
      <c r="J2526">
        <v>0</v>
      </c>
      <c r="K2526">
        <v>0</v>
      </c>
      <c r="L2526">
        <v>0</v>
      </c>
      <c r="M2526">
        <v>0</v>
      </c>
      <c r="N2526">
        <v>0</v>
      </c>
      <c r="O2526">
        <v>0</v>
      </c>
    </row>
    <row r="2527" spans="1:15">
      <c r="A2527" t="s">
        <v>2844</v>
      </c>
      <c r="B2527" t="s">
        <v>2735</v>
      </c>
      <c r="C2527" t="s">
        <v>404</v>
      </c>
      <c r="D2527">
        <v>23</v>
      </c>
      <c r="E2527">
        <v>100</v>
      </c>
      <c r="F2527">
        <v>0</v>
      </c>
      <c r="G2527">
        <v>0</v>
      </c>
      <c r="H2527">
        <v>0</v>
      </c>
      <c r="I2527">
        <v>0</v>
      </c>
      <c r="J2527">
        <v>0</v>
      </c>
      <c r="K2527">
        <v>0</v>
      </c>
      <c r="L2527">
        <v>0</v>
      </c>
      <c r="M2527">
        <v>0</v>
      </c>
      <c r="N2527">
        <v>0</v>
      </c>
      <c r="O2527">
        <v>0</v>
      </c>
    </row>
    <row r="2528" spans="1:15">
      <c r="A2528" t="s">
        <v>2845</v>
      </c>
      <c r="B2528" t="s">
        <v>2735</v>
      </c>
      <c r="C2528" t="s">
        <v>404</v>
      </c>
      <c r="D2528">
        <v>24</v>
      </c>
      <c r="E2528">
        <v>100</v>
      </c>
      <c r="F2528">
        <v>0</v>
      </c>
      <c r="G2528">
        <v>0</v>
      </c>
      <c r="H2528">
        <v>0</v>
      </c>
      <c r="I2528">
        <v>0</v>
      </c>
      <c r="J2528">
        <v>0</v>
      </c>
      <c r="K2528">
        <v>0</v>
      </c>
      <c r="L2528">
        <v>0</v>
      </c>
      <c r="M2528">
        <v>0</v>
      </c>
      <c r="N2528">
        <v>0</v>
      </c>
      <c r="O2528">
        <v>0</v>
      </c>
    </row>
    <row r="2529" spans="1:15">
      <c r="A2529" t="s">
        <v>2846</v>
      </c>
      <c r="B2529" t="s">
        <v>2735</v>
      </c>
      <c r="C2529" t="s">
        <v>404</v>
      </c>
      <c r="D2529">
        <v>25</v>
      </c>
      <c r="E2529">
        <v>100</v>
      </c>
      <c r="F2529">
        <v>0</v>
      </c>
      <c r="G2529">
        <v>0</v>
      </c>
      <c r="H2529">
        <v>0</v>
      </c>
      <c r="I2529">
        <v>0</v>
      </c>
      <c r="J2529">
        <v>0</v>
      </c>
      <c r="K2529">
        <v>0</v>
      </c>
      <c r="L2529">
        <v>0</v>
      </c>
      <c r="M2529">
        <v>0</v>
      </c>
      <c r="N2529">
        <v>0</v>
      </c>
      <c r="O2529">
        <v>0</v>
      </c>
    </row>
    <row r="2530" spans="1:15">
      <c r="A2530" t="s">
        <v>2847</v>
      </c>
      <c r="B2530" t="s">
        <v>2735</v>
      </c>
      <c r="C2530" t="s">
        <v>404</v>
      </c>
      <c r="D2530">
        <v>26</v>
      </c>
      <c r="E2530">
        <v>100</v>
      </c>
      <c r="F2530">
        <v>0</v>
      </c>
      <c r="G2530">
        <v>0</v>
      </c>
      <c r="H2530">
        <v>0</v>
      </c>
      <c r="I2530">
        <v>0</v>
      </c>
      <c r="J2530">
        <v>0</v>
      </c>
      <c r="K2530">
        <v>0</v>
      </c>
      <c r="L2530">
        <v>0</v>
      </c>
      <c r="M2530">
        <v>0</v>
      </c>
      <c r="N2530">
        <v>0</v>
      </c>
      <c r="O2530">
        <v>0</v>
      </c>
    </row>
    <row r="2531" spans="1:15">
      <c r="A2531" t="s">
        <v>2848</v>
      </c>
      <c r="B2531" t="s">
        <v>2735</v>
      </c>
      <c r="C2531" t="s">
        <v>404</v>
      </c>
      <c r="D2531">
        <v>27</v>
      </c>
      <c r="E2531">
        <v>100</v>
      </c>
      <c r="F2531">
        <v>0</v>
      </c>
      <c r="G2531">
        <v>0</v>
      </c>
      <c r="H2531">
        <v>0</v>
      </c>
      <c r="I2531">
        <v>0</v>
      </c>
      <c r="J2531">
        <v>0</v>
      </c>
      <c r="K2531">
        <v>0</v>
      </c>
      <c r="L2531">
        <v>0</v>
      </c>
      <c r="M2531">
        <v>0</v>
      </c>
      <c r="N2531">
        <v>0</v>
      </c>
      <c r="O2531">
        <v>0</v>
      </c>
    </row>
    <row r="2532" spans="1:15">
      <c r="A2532" t="s">
        <v>2849</v>
      </c>
      <c r="B2532" t="s">
        <v>2735</v>
      </c>
      <c r="C2532" t="s">
        <v>404</v>
      </c>
      <c r="D2532">
        <v>28</v>
      </c>
      <c r="E2532">
        <v>100</v>
      </c>
      <c r="F2532">
        <v>0</v>
      </c>
      <c r="G2532">
        <v>0</v>
      </c>
      <c r="H2532">
        <v>0</v>
      </c>
      <c r="I2532">
        <v>0</v>
      </c>
      <c r="J2532">
        <v>0</v>
      </c>
      <c r="K2532">
        <v>0</v>
      </c>
      <c r="L2532">
        <v>0</v>
      </c>
      <c r="M2532">
        <v>0</v>
      </c>
      <c r="N2532">
        <v>0</v>
      </c>
      <c r="O2532">
        <v>0</v>
      </c>
    </row>
    <row r="2533" spans="1:15">
      <c r="A2533" t="s">
        <v>2850</v>
      </c>
      <c r="B2533" t="s">
        <v>2735</v>
      </c>
      <c r="C2533" t="s">
        <v>404</v>
      </c>
      <c r="D2533">
        <v>29</v>
      </c>
      <c r="E2533">
        <v>100</v>
      </c>
      <c r="F2533">
        <v>0</v>
      </c>
      <c r="G2533">
        <v>0</v>
      </c>
      <c r="H2533">
        <v>0</v>
      </c>
      <c r="I2533">
        <v>0</v>
      </c>
      <c r="J2533">
        <v>0</v>
      </c>
      <c r="K2533">
        <v>0</v>
      </c>
      <c r="L2533">
        <v>0</v>
      </c>
      <c r="M2533">
        <v>0</v>
      </c>
      <c r="N2533">
        <v>0</v>
      </c>
      <c r="O2533">
        <v>0</v>
      </c>
    </row>
    <row r="2534" spans="1:15">
      <c r="A2534" t="s">
        <v>2851</v>
      </c>
      <c r="B2534" t="s">
        <v>2735</v>
      </c>
      <c r="C2534" t="s">
        <v>404</v>
      </c>
      <c r="D2534">
        <v>30</v>
      </c>
      <c r="E2534">
        <v>100</v>
      </c>
      <c r="F2534">
        <v>0</v>
      </c>
      <c r="G2534">
        <v>0</v>
      </c>
      <c r="H2534">
        <v>0</v>
      </c>
      <c r="I2534">
        <v>0</v>
      </c>
      <c r="J2534">
        <v>0</v>
      </c>
      <c r="K2534">
        <v>0</v>
      </c>
      <c r="L2534">
        <v>0</v>
      </c>
      <c r="M2534">
        <v>0</v>
      </c>
      <c r="N2534">
        <v>0</v>
      </c>
      <c r="O2534">
        <v>0</v>
      </c>
    </row>
    <row r="2535" spans="1:15">
      <c r="A2535" t="s">
        <v>2852</v>
      </c>
      <c r="B2535" t="s">
        <v>2735</v>
      </c>
      <c r="C2535" t="s">
        <v>404</v>
      </c>
      <c r="D2535">
        <v>31</v>
      </c>
      <c r="E2535">
        <v>100</v>
      </c>
      <c r="F2535">
        <v>0</v>
      </c>
      <c r="G2535">
        <v>0</v>
      </c>
      <c r="H2535">
        <v>0</v>
      </c>
      <c r="I2535">
        <v>0</v>
      </c>
      <c r="J2535">
        <v>0</v>
      </c>
      <c r="K2535">
        <v>0</v>
      </c>
      <c r="L2535">
        <v>0</v>
      </c>
      <c r="M2535">
        <v>0</v>
      </c>
      <c r="N2535">
        <v>0</v>
      </c>
      <c r="O2535">
        <v>0</v>
      </c>
    </row>
    <row r="2536" spans="1:15">
      <c r="A2536" t="s">
        <v>2853</v>
      </c>
      <c r="B2536" t="s">
        <v>2735</v>
      </c>
      <c r="C2536" t="s">
        <v>404</v>
      </c>
      <c r="D2536">
        <v>32</v>
      </c>
      <c r="E2536">
        <v>100</v>
      </c>
      <c r="F2536">
        <v>0</v>
      </c>
      <c r="G2536">
        <v>0</v>
      </c>
      <c r="H2536">
        <v>0</v>
      </c>
      <c r="I2536">
        <v>0</v>
      </c>
      <c r="J2536">
        <v>0</v>
      </c>
      <c r="K2536">
        <v>0</v>
      </c>
      <c r="L2536">
        <v>0</v>
      </c>
      <c r="M2536">
        <v>0</v>
      </c>
      <c r="N2536">
        <v>0</v>
      </c>
      <c r="O2536">
        <v>0</v>
      </c>
    </row>
    <row r="2537" spans="1:15">
      <c r="A2537" t="s">
        <v>2854</v>
      </c>
      <c r="B2537" t="s">
        <v>2735</v>
      </c>
      <c r="C2537" t="s">
        <v>404</v>
      </c>
      <c r="D2537">
        <v>33</v>
      </c>
      <c r="E2537">
        <v>100</v>
      </c>
      <c r="F2537">
        <v>0</v>
      </c>
      <c r="G2537">
        <v>0</v>
      </c>
      <c r="H2537">
        <v>0</v>
      </c>
      <c r="I2537">
        <v>0</v>
      </c>
      <c r="J2537">
        <v>0</v>
      </c>
      <c r="K2537">
        <v>0</v>
      </c>
      <c r="L2537">
        <v>0</v>
      </c>
      <c r="M2537">
        <v>0</v>
      </c>
      <c r="N2537">
        <v>0</v>
      </c>
      <c r="O2537">
        <v>0</v>
      </c>
    </row>
    <row r="2538" spans="1:15">
      <c r="A2538" t="s">
        <v>2855</v>
      </c>
      <c r="B2538" t="s">
        <v>2735</v>
      </c>
      <c r="C2538" t="s">
        <v>404</v>
      </c>
      <c r="D2538">
        <v>34</v>
      </c>
      <c r="E2538">
        <v>100</v>
      </c>
      <c r="F2538">
        <v>0</v>
      </c>
      <c r="G2538">
        <v>0</v>
      </c>
      <c r="H2538">
        <v>0</v>
      </c>
      <c r="I2538">
        <v>0</v>
      </c>
      <c r="J2538">
        <v>0</v>
      </c>
      <c r="K2538">
        <v>0</v>
      </c>
      <c r="L2538">
        <v>0</v>
      </c>
      <c r="M2538">
        <v>0</v>
      </c>
      <c r="N2538">
        <v>0</v>
      </c>
      <c r="O2538">
        <v>0</v>
      </c>
    </row>
    <row r="2539" spans="1:15">
      <c r="A2539" t="s">
        <v>2856</v>
      </c>
      <c r="B2539" t="s">
        <v>2735</v>
      </c>
      <c r="C2539" t="s">
        <v>404</v>
      </c>
      <c r="D2539">
        <v>35</v>
      </c>
      <c r="E2539">
        <v>100</v>
      </c>
      <c r="F2539">
        <v>0</v>
      </c>
      <c r="G2539">
        <v>0</v>
      </c>
      <c r="H2539">
        <v>0</v>
      </c>
      <c r="I2539">
        <v>0</v>
      </c>
      <c r="J2539">
        <v>0</v>
      </c>
      <c r="K2539">
        <v>0</v>
      </c>
      <c r="L2539">
        <v>0</v>
      </c>
      <c r="M2539">
        <v>0</v>
      </c>
      <c r="N2539">
        <v>0</v>
      </c>
      <c r="O2539">
        <v>0</v>
      </c>
    </row>
    <row r="2540" spans="1:15">
      <c r="A2540" t="s">
        <v>2857</v>
      </c>
      <c r="B2540" t="s">
        <v>2735</v>
      </c>
      <c r="C2540" t="s">
        <v>404</v>
      </c>
      <c r="D2540">
        <v>36</v>
      </c>
      <c r="E2540">
        <v>100</v>
      </c>
      <c r="F2540">
        <v>0</v>
      </c>
      <c r="G2540">
        <v>0</v>
      </c>
      <c r="H2540">
        <v>0</v>
      </c>
      <c r="I2540">
        <v>0</v>
      </c>
      <c r="J2540">
        <v>0</v>
      </c>
      <c r="K2540">
        <v>0</v>
      </c>
      <c r="L2540">
        <v>0</v>
      </c>
      <c r="M2540">
        <v>0</v>
      </c>
      <c r="N2540">
        <v>0</v>
      </c>
      <c r="O2540">
        <v>0</v>
      </c>
    </row>
    <row r="2541" spans="1:15">
      <c r="A2541" t="s">
        <v>2858</v>
      </c>
      <c r="B2541" t="s">
        <v>2735</v>
      </c>
      <c r="C2541" t="s">
        <v>404</v>
      </c>
      <c r="D2541">
        <v>37</v>
      </c>
      <c r="E2541">
        <v>100</v>
      </c>
      <c r="F2541">
        <v>0</v>
      </c>
      <c r="G2541">
        <v>0</v>
      </c>
      <c r="H2541">
        <v>0</v>
      </c>
      <c r="I2541">
        <v>0</v>
      </c>
      <c r="J2541">
        <v>0</v>
      </c>
      <c r="K2541">
        <v>0</v>
      </c>
      <c r="L2541">
        <v>0</v>
      </c>
      <c r="M2541">
        <v>0</v>
      </c>
      <c r="N2541">
        <v>0</v>
      </c>
      <c r="O2541">
        <v>0</v>
      </c>
    </row>
    <row r="2542" spans="1:15">
      <c r="A2542" t="s">
        <v>2859</v>
      </c>
      <c r="B2542" t="s">
        <v>2735</v>
      </c>
      <c r="C2542" t="s">
        <v>404</v>
      </c>
      <c r="D2542">
        <v>38</v>
      </c>
      <c r="E2542">
        <v>100</v>
      </c>
      <c r="F2542">
        <v>0</v>
      </c>
      <c r="G2542">
        <v>0</v>
      </c>
      <c r="H2542">
        <v>0</v>
      </c>
      <c r="I2542">
        <v>0</v>
      </c>
      <c r="J2542">
        <v>0</v>
      </c>
      <c r="K2542">
        <v>0</v>
      </c>
      <c r="L2542">
        <v>0</v>
      </c>
      <c r="M2542">
        <v>0</v>
      </c>
      <c r="N2542">
        <v>0</v>
      </c>
      <c r="O2542">
        <v>0</v>
      </c>
    </row>
    <row r="2543" spans="1:15">
      <c r="A2543" t="s">
        <v>2860</v>
      </c>
      <c r="B2543" t="s">
        <v>2735</v>
      </c>
      <c r="C2543" t="s">
        <v>404</v>
      </c>
      <c r="D2543">
        <v>39</v>
      </c>
      <c r="E2543">
        <v>100</v>
      </c>
      <c r="F2543">
        <v>0</v>
      </c>
      <c r="G2543">
        <v>0</v>
      </c>
      <c r="H2543">
        <v>0</v>
      </c>
      <c r="I2543">
        <v>0</v>
      </c>
      <c r="J2543">
        <v>0</v>
      </c>
      <c r="K2543">
        <v>0</v>
      </c>
      <c r="L2543">
        <v>0</v>
      </c>
      <c r="M2543">
        <v>0</v>
      </c>
      <c r="N2543">
        <v>0</v>
      </c>
      <c r="O2543">
        <v>0</v>
      </c>
    </row>
    <row r="2544" spans="1:15">
      <c r="A2544" t="s">
        <v>2861</v>
      </c>
      <c r="B2544" t="s">
        <v>2735</v>
      </c>
      <c r="C2544" t="s">
        <v>404</v>
      </c>
      <c r="D2544">
        <v>40</v>
      </c>
      <c r="E2544">
        <v>100</v>
      </c>
      <c r="F2544">
        <v>0</v>
      </c>
      <c r="G2544">
        <v>0</v>
      </c>
      <c r="H2544">
        <v>0</v>
      </c>
      <c r="I2544">
        <v>0</v>
      </c>
      <c r="J2544">
        <v>0</v>
      </c>
      <c r="K2544">
        <v>0</v>
      </c>
      <c r="L2544">
        <v>0</v>
      </c>
      <c r="M2544">
        <v>0</v>
      </c>
      <c r="N2544">
        <v>0</v>
      </c>
      <c r="O2544">
        <v>0</v>
      </c>
    </row>
    <row r="2545" spans="1:15">
      <c r="A2545" t="s">
        <v>2862</v>
      </c>
      <c r="B2545" t="s">
        <v>2735</v>
      </c>
      <c r="C2545" t="s">
        <v>404</v>
      </c>
      <c r="D2545">
        <v>41</v>
      </c>
      <c r="E2545">
        <v>100</v>
      </c>
      <c r="F2545">
        <v>0</v>
      </c>
      <c r="G2545">
        <v>0</v>
      </c>
      <c r="H2545">
        <v>0</v>
      </c>
      <c r="I2545">
        <v>0</v>
      </c>
      <c r="J2545">
        <v>0</v>
      </c>
      <c r="K2545">
        <v>0</v>
      </c>
      <c r="L2545">
        <v>0</v>
      </c>
      <c r="M2545">
        <v>0</v>
      </c>
      <c r="N2545">
        <v>0</v>
      </c>
      <c r="O2545">
        <v>0</v>
      </c>
    </row>
    <row r="2546" spans="1:15">
      <c r="A2546" t="s">
        <v>2863</v>
      </c>
      <c r="B2546" t="s">
        <v>2735</v>
      </c>
      <c r="C2546" t="s">
        <v>404</v>
      </c>
      <c r="D2546">
        <v>42</v>
      </c>
      <c r="E2546">
        <v>100</v>
      </c>
      <c r="F2546">
        <v>0</v>
      </c>
      <c r="G2546">
        <v>0</v>
      </c>
      <c r="H2546">
        <v>0</v>
      </c>
      <c r="I2546">
        <v>0</v>
      </c>
      <c r="J2546">
        <v>0</v>
      </c>
      <c r="K2546">
        <v>0</v>
      </c>
      <c r="L2546">
        <v>0</v>
      </c>
      <c r="M2546">
        <v>0</v>
      </c>
      <c r="N2546">
        <v>0</v>
      </c>
      <c r="O2546">
        <v>0</v>
      </c>
    </row>
    <row r="2547" spans="1:15">
      <c r="A2547" t="s">
        <v>2864</v>
      </c>
      <c r="B2547" t="s">
        <v>2735</v>
      </c>
      <c r="C2547" t="s">
        <v>404</v>
      </c>
      <c r="D2547">
        <v>43</v>
      </c>
      <c r="E2547">
        <v>100</v>
      </c>
      <c r="F2547">
        <v>0</v>
      </c>
      <c r="G2547">
        <v>0</v>
      </c>
      <c r="H2547">
        <v>0</v>
      </c>
      <c r="I2547">
        <v>0</v>
      </c>
      <c r="J2547">
        <v>0</v>
      </c>
      <c r="K2547">
        <v>0</v>
      </c>
      <c r="L2547">
        <v>0</v>
      </c>
      <c r="M2547">
        <v>0</v>
      </c>
      <c r="N2547">
        <v>0</v>
      </c>
      <c r="O2547">
        <v>0</v>
      </c>
    </row>
    <row r="2548" spans="1:15">
      <c r="A2548" t="s">
        <v>2865</v>
      </c>
      <c r="B2548" t="s">
        <v>2735</v>
      </c>
      <c r="C2548" t="s">
        <v>404</v>
      </c>
      <c r="D2548">
        <v>44</v>
      </c>
      <c r="E2548">
        <v>100</v>
      </c>
      <c r="F2548">
        <v>0</v>
      </c>
      <c r="G2548">
        <v>0</v>
      </c>
      <c r="H2548">
        <v>0</v>
      </c>
      <c r="I2548">
        <v>0</v>
      </c>
      <c r="J2548">
        <v>0</v>
      </c>
      <c r="K2548">
        <v>0</v>
      </c>
      <c r="L2548">
        <v>0</v>
      </c>
      <c r="M2548">
        <v>0</v>
      </c>
      <c r="N2548">
        <v>0</v>
      </c>
      <c r="O2548">
        <v>0</v>
      </c>
    </row>
    <row r="2549" spans="1:15">
      <c r="A2549" t="s">
        <v>2866</v>
      </c>
      <c r="B2549" t="s">
        <v>2735</v>
      </c>
      <c r="C2549" t="s">
        <v>404</v>
      </c>
      <c r="D2549">
        <v>45</v>
      </c>
      <c r="E2549">
        <v>100</v>
      </c>
      <c r="F2549">
        <v>0</v>
      </c>
      <c r="G2549">
        <v>0</v>
      </c>
      <c r="H2549">
        <v>0</v>
      </c>
      <c r="I2549">
        <v>0</v>
      </c>
      <c r="J2549">
        <v>0</v>
      </c>
      <c r="K2549">
        <v>0</v>
      </c>
      <c r="L2549">
        <v>0</v>
      </c>
      <c r="M2549">
        <v>0</v>
      </c>
      <c r="N2549">
        <v>0</v>
      </c>
      <c r="O2549">
        <v>0</v>
      </c>
    </row>
    <row r="2550" spans="1:15">
      <c r="A2550" t="s">
        <v>2867</v>
      </c>
      <c r="B2550" t="s">
        <v>2735</v>
      </c>
      <c r="C2550" t="s">
        <v>404</v>
      </c>
      <c r="D2550">
        <v>46</v>
      </c>
      <c r="E2550">
        <v>100</v>
      </c>
      <c r="F2550">
        <v>0</v>
      </c>
      <c r="G2550">
        <v>0</v>
      </c>
      <c r="H2550">
        <v>0</v>
      </c>
      <c r="I2550">
        <v>0</v>
      </c>
      <c r="J2550">
        <v>0</v>
      </c>
      <c r="K2550">
        <v>0</v>
      </c>
      <c r="L2550">
        <v>0</v>
      </c>
      <c r="M2550">
        <v>0</v>
      </c>
      <c r="N2550">
        <v>0</v>
      </c>
      <c r="O2550">
        <v>0</v>
      </c>
    </row>
    <row r="2551" spans="1:15">
      <c r="A2551" t="s">
        <v>2868</v>
      </c>
      <c r="B2551" t="s">
        <v>2735</v>
      </c>
      <c r="C2551" t="s">
        <v>404</v>
      </c>
      <c r="D2551">
        <v>47</v>
      </c>
      <c r="E2551">
        <v>100</v>
      </c>
      <c r="F2551">
        <v>0</v>
      </c>
      <c r="G2551">
        <v>0</v>
      </c>
      <c r="H2551">
        <v>0</v>
      </c>
      <c r="I2551">
        <v>0</v>
      </c>
      <c r="J2551">
        <v>0</v>
      </c>
      <c r="K2551">
        <v>0</v>
      </c>
      <c r="L2551">
        <v>0</v>
      </c>
      <c r="M2551">
        <v>0</v>
      </c>
      <c r="N2551">
        <v>0</v>
      </c>
      <c r="O2551">
        <v>0</v>
      </c>
    </row>
    <row r="2552" spans="1:15">
      <c r="A2552" t="s">
        <v>2869</v>
      </c>
      <c r="B2552" t="s">
        <v>2735</v>
      </c>
      <c r="C2552" t="s">
        <v>404</v>
      </c>
      <c r="D2552">
        <v>48</v>
      </c>
      <c r="E2552">
        <v>100</v>
      </c>
      <c r="F2552">
        <v>0</v>
      </c>
      <c r="G2552">
        <v>0</v>
      </c>
      <c r="H2552">
        <v>0</v>
      </c>
      <c r="I2552">
        <v>0</v>
      </c>
      <c r="J2552">
        <v>0</v>
      </c>
      <c r="K2552">
        <v>0</v>
      </c>
      <c r="L2552">
        <v>0</v>
      </c>
      <c r="M2552">
        <v>0</v>
      </c>
      <c r="N2552">
        <v>0</v>
      </c>
      <c r="O2552">
        <v>0</v>
      </c>
    </row>
    <row r="2553" spans="1:15">
      <c r="A2553" t="s">
        <v>2870</v>
      </c>
      <c r="B2553" t="s">
        <v>2735</v>
      </c>
      <c r="C2553" t="s">
        <v>404</v>
      </c>
      <c r="D2553">
        <v>49</v>
      </c>
      <c r="E2553">
        <v>100</v>
      </c>
      <c r="F2553">
        <v>0</v>
      </c>
      <c r="G2553">
        <v>0</v>
      </c>
      <c r="H2553">
        <v>0</v>
      </c>
      <c r="I2553">
        <v>0</v>
      </c>
      <c r="J2553">
        <v>0</v>
      </c>
      <c r="K2553">
        <v>0</v>
      </c>
      <c r="L2553">
        <v>0</v>
      </c>
      <c r="M2553">
        <v>0</v>
      </c>
      <c r="N2553">
        <v>0</v>
      </c>
      <c r="O2553">
        <v>0</v>
      </c>
    </row>
    <row r="2554" spans="1:15">
      <c r="A2554" t="s">
        <v>2871</v>
      </c>
      <c r="B2554" t="s">
        <v>2735</v>
      </c>
      <c r="C2554" t="s">
        <v>404</v>
      </c>
      <c r="D2554">
        <v>50</v>
      </c>
      <c r="E2554">
        <v>100</v>
      </c>
      <c r="F2554">
        <v>0</v>
      </c>
      <c r="G2554">
        <v>0</v>
      </c>
      <c r="H2554">
        <v>0</v>
      </c>
      <c r="I2554">
        <v>0</v>
      </c>
      <c r="J2554">
        <v>0</v>
      </c>
      <c r="K2554">
        <v>0</v>
      </c>
      <c r="L2554">
        <v>0</v>
      </c>
      <c r="M2554">
        <v>0</v>
      </c>
      <c r="N2554">
        <v>0</v>
      </c>
      <c r="O2554">
        <v>0</v>
      </c>
    </row>
    <row r="2555" spans="1:15">
      <c r="A2555" t="s">
        <v>2872</v>
      </c>
      <c r="B2555" t="s">
        <v>2735</v>
      </c>
      <c r="C2555" t="s">
        <v>404</v>
      </c>
      <c r="D2555">
        <v>51</v>
      </c>
      <c r="E2555">
        <v>100</v>
      </c>
      <c r="F2555">
        <v>0</v>
      </c>
      <c r="G2555">
        <v>0</v>
      </c>
      <c r="H2555">
        <v>0</v>
      </c>
      <c r="I2555">
        <v>0</v>
      </c>
      <c r="J2555">
        <v>0</v>
      </c>
      <c r="K2555">
        <v>0</v>
      </c>
      <c r="L2555">
        <v>0</v>
      </c>
      <c r="M2555">
        <v>0</v>
      </c>
      <c r="N2555">
        <v>0</v>
      </c>
      <c r="O2555">
        <v>0</v>
      </c>
    </row>
    <row r="2556" spans="1:15">
      <c r="A2556" t="s">
        <v>2873</v>
      </c>
      <c r="B2556" t="s">
        <v>2735</v>
      </c>
      <c r="C2556" t="s">
        <v>404</v>
      </c>
      <c r="D2556">
        <v>52</v>
      </c>
      <c r="E2556">
        <v>100</v>
      </c>
      <c r="F2556">
        <v>0</v>
      </c>
      <c r="G2556">
        <v>0</v>
      </c>
      <c r="H2556">
        <v>0</v>
      </c>
      <c r="I2556">
        <v>0</v>
      </c>
      <c r="J2556">
        <v>0</v>
      </c>
      <c r="K2556">
        <v>0</v>
      </c>
      <c r="L2556">
        <v>0</v>
      </c>
      <c r="M2556">
        <v>0</v>
      </c>
      <c r="N2556">
        <v>0</v>
      </c>
      <c r="O2556">
        <v>0</v>
      </c>
    </row>
    <row r="2557" spans="1:15">
      <c r="A2557" t="s">
        <v>2874</v>
      </c>
      <c r="B2557" t="s">
        <v>2735</v>
      </c>
      <c r="C2557" t="s">
        <v>404</v>
      </c>
      <c r="D2557">
        <v>53</v>
      </c>
      <c r="E2557">
        <v>100</v>
      </c>
      <c r="F2557">
        <v>0</v>
      </c>
      <c r="G2557">
        <v>0</v>
      </c>
      <c r="H2557">
        <v>0</v>
      </c>
      <c r="I2557">
        <v>0</v>
      </c>
      <c r="J2557">
        <v>0</v>
      </c>
      <c r="K2557">
        <v>0</v>
      </c>
      <c r="L2557">
        <v>0</v>
      </c>
      <c r="M2557">
        <v>0</v>
      </c>
      <c r="N2557">
        <v>0</v>
      </c>
      <c r="O2557">
        <v>0</v>
      </c>
    </row>
    <row r="2558" spans="1:15">
      <c r="A2558" t="s">
        <v>2875</v>
      </c>
      <c r="B2558" t="s">
        <v>2735</v>
      </c>
      <c r="C2558" t="s">
        <v>404</v>
      </c>
      <c r="D2558">
        <v>54</v>
      </c>
      <c r="E2558">
        <v>100</v>
      </c>
      <c r="F2558">
        <v>0</v>
      </c>
      <c r="G2558">
        <v>0</v>
      </c>
      <c r="H2558">
        <v>0</v>
      </c>
      <c r="I2558">
        <v>0</v>
      </c>
      <c r="J2558">
        <v>0</v>
      </c>
      <c r="K2558">
        <v>0</v>
      </c>
      <c r="L2558">
        <v>0</v>
      </c>
      <c r="M2558">
        <v>0</v>
      </c>
      <c r="N2558">
        <v>0</v>
      </c>
      <c r="O2558">
        <v>0</v>
      </c>
    </row>
    <row r="2559" spans="1:15">
      <c r="A2559" t="s">
        <v>2876</v>
      </c>
      <c r="B2559" t="s">
        <v>2735</v>
      </c>
      <c r="C2559" t="s">
        <v>404</v>
      </c>
      <c r="D2559">
        <v>55</v>
      </c>
      <c r="E2559">
        <v>100</v>
      </c>
      <c r="F2559">
        <v>0</v>
      </c>
      <c r="G2559">
        <v>0</v>
      </c>
      <c r="H2559">
        <v>0</v>
      </c>
      <c r="I2559">
        <v>0</v>
      </c>
      <c r="J2559">
        <v>0</v>
      </c>
      <c r="K2559">
        <v>0</v>
      </c>
      <c r="L2559">
        <v>0</v>
      </c>
      <c r="M2559">
        <v>0</v>
      </c>
      <c r="N2559">
        <v>0</v>
      </c>
      <c r="O2559">
        <v>0</v>
      </c>
    </row>
    <row r="2560" spans="1:15">
      <c r="A2560" t="s">
        <v>2877</v>
      </c>
      <c r="B2560" t="s">
        <v>2735</v>
      </c>
      <c r="C2560" t="s">
        <v>404</v>
      </c>
      <c r="D2560">
        <v>56</v>
      </c>
      <c r="E2560">
        <v>100</v>
      </c>
      <c r="F2560">
        <v>0</v>
      </c>
      <c r="G2560">
        <v>0</v>
      </c>
      <c r="H2560">
        <v>0</v>
      </c>
      <c r="I2560">
        <v>0</v>
      </c>
      <c r="J2560">
        <v>0</v>
      </c>
      <c r="K2560">
        <v>0</v>
      </c>
      <c r="L2560">
        <v>0</v>
      </c>
      <c r="M2560">
        <v>0</v>
      </c>
      <c r="N2560">
        <v>0</v>
      </c>
      <c r="O2560">
        <v>0</v>
      </c>
    </row>
    <row r="2561" spans="1:15">
      <c r="A2561" t="s">
        <v>2878</v>
      </c>
      <c r="B2561" t="s">
        <v>2735</v>
      </c>
      <c r="C2561" t="s">
        <v>404</v>
      </c>
      <c r="D2561">
        <v>57</v>
      </c>
      <c r="E2561">
        <v>100</v>
      </c>
      <c r="F2561">
        <v>0</v>
      </c>
      <c r="G2561">
        <v>0</v>
      </c>
      <c r="H2561">
        <v>0</v>
      </c>
      <c r="I2561">
        <v>0</v>
      </c>
      <c r="J2561">
        <v>0</v>
      </c>
      <c r="K2561">
        <v>0</v>
      </c>
      <c r="L2561">
        <v>0</v>
      </c>
      <c r="M2561">
        <v>0</v>
      </c>
      <c r="N2561">
        <v>0</v>
      </c>
      <c r="O2561">
        <v>0</v>
      </c>
    </row>
    <row r="2562" spans="1:15">
      <c r="A2562" t="s">
        <v>2879</v>
      </c>
      <c r="B2562" t="s">
        <v>2735</v>
      </c>
      <c r="C2562" t="s">
        <v>404</v>
      </c>
      <c r="D2562">
        <v>58</v>
      </c>
      <c r="E2562">
        <v>100</v>
      </c>
      <c r="F2562">
        <v>0</v>
      </c>
      <c r="G2562">
        <v>0</v>
      </c>
      <c r="H2562">
        <v>0</v>
      </c>
      <c r="I2562">
        <v>0</v>
      </c>
      <c r="J2562">
        <v>0</v>
      </c>
      <c r="K2562">
        <v>0</v>
      </c>
      <c r="L2562">
        <v>0</v>
      </c>
      <c r="M2562">
        <v>0</v>
      </c>
      <c r="N2562">
        <v>0</v>
      </c>
      <c r="O2562">
        <v>0</v>
      </c>
    </row>
    <row r="2563" spans="1:15">
      <c r="A2563" t="s">
        <v>2880</v>
      </c>
      <c r="B2563" t="s">
        <v>2735</v>
      </c>
      <c r="C2563" t="s">
        <v>404</v>
      </c>
      <c r="D2563">
        <v>59</v>
      </c>
      <c r="E2563">
        <v>100</v>
      </c>
      <c r="F2563">
        <v>0</v>
      </c>
      <c r="G2563">
        <v>0</v>
      </c>
      <c r="H2563">
        <v>0</v>
      </c>
      <c r="I2563">
        <v>0</v>
      </c>
      <c r="J2563">
        <v>0</v>
      </c>
      <c r="K2563">
        <v>0</v>
      </c>
      <c r="L2563">
        <v>0</v>
      </c>
      <c r="M2563">
        <v>0</v>
      </c>
      <c r="N2563">
        <v>0</v>
      </c>
      <c r="O2563">
        <v>0</v>
      </c>
    </row>
    <row r="2564" spans="1:15">
      <c r="A2564" t="s">
        <v>2881</v>
      </c>
      <c r="B2564" t="s">
        <v>2735</v>
      </c>
      <c r="C2564" t="s">
        <v>404</v>
      </c>
      <c r="D2564">
        <v>60</v>
      </c>
      <c r="E2564">
        <v>100</v>
      </c>
      <c r="F2564">
        <v>0</v>
      </c>
      <c r="G2564">
        <v>0</v>
      </c>
      <c r="H2564">
        <v>0</v>
      </c>
      <c r="I2564">
        <v>0</v>
      </c>
      <c r="J2564">
        <v>0</v>
      </c>
      <c r="K2564">
        <v>0</v>
      </c>
      <c r="L2564">
        <v>0</v>
      </c>
      <c r="M2564">
        <v>0</v>
      </c>
      <c r="N2564">
        <v>0</v>
      </c>
      <c r="O2564">
        <v>0</v>
      </c>
    </row>
    <row r="2565" spans="1:15">
      <c r="A2565" t="s">
        <v>2882</v>
      </c>
      <c r="B2565" t="s">
        <v>2735</v>
      </c>
      <c r="C2565" t="s">
        <v>404</v>
      </c>
      <c r="D2565">
        <v>61</v>
      </c>
      <c r="E2565">
        <v>100</v>
      </c>
      <c r="F2565">
        <v>0</v>
      </c>
      <c r="G2565">
        <v>0</v>
      </c>
      <c r="H2565">
        <v>0</v>
      </c>
      <c r="I2565">
        <v>0</v>
      </c>
      <c r="J2565">
        <v>0</v>
      </c>
      <c r="K2565">
        <v>0</v>
      </c>
      <c r="L2565">
        <v>0</v>
      </c>
      <c r="M2565">
        <v>0</v>
      </c>
      <c r="N2565">
        <v>0</v>
      </c>
      <c r="O2565">
        <v>0</v>
      </c>
    </row>
    <row r="2566" spans="1:15">
      <c r="A2566" t="s">
        <v>2883</v>
      </c>
      <c r="B2566" t="s">
        <v>2735</v>
      </c>
      <c r="C2566" t="s">
        <v>404</v>
      </c>
      <c r="D2566">
        <v>62</v>
      </c>
      <c r="E2566">
        <v>100</v>
      </c>
      <c r="F2566">
        <v>0</v>
      </c>
      <c r="G2566">
        <v>0</v>
      </c>
      <c r="H2566">
        <v>0</v>
      </c>
      <c r="I2566">
        <v>0</v>
      </c>
      <c r="J2566">
        <v>0</v>
      </c>
      <c r="K2566">
        <v>0</v>
      </c>
      <c r="L2566">
        <v>0</v>
      </c>
      <c r="M2566">
        <v>0</v>
      </c>
      <c r="N2566">
        <v>0</v>
      </c>
      <c r="O2566">
        <v>0</v>
      </c>
    </row>
    <row r="2567" spans="1:15">
      <c r="A2567" t="s">
        <v>2884</v>
      </c>
      <c r="B2567" t="s">
        <v>2735</v>
      </c>
      <c r="C2567" t="s">
        <v>404</v>
      </c>
      <c r="D2567">
        <v>63</v>
      </c>
      <c r="E2567">
        <v>100</v>
      </c>
      <c r="F2567">
        <v>0</v>
      </c>
      <c r="G2567">
        <v>0</v>
      </c>
      <c r="H2567">
        <v>0</v>
      </c>
      <c r="I2567">
        <v>0</v>
      </c>
      <c r="J2567">
        <v>0</v>
      </c>
      <c r="K2567">
        <v>0</v>
      </c>
      <c r="L2567">
        <v>0</v>
      </c>
      <c r="M2567">
        <v>0</v>
      </c>
      <c r="N2567">
        <v>0</v>
      </c>
      <c r="O2567">
        <v>0</v>
      </c>
    </row>
    <row r="2568" spans="1:15">
      <c r="A2568" t="s">
        <v>2885</v>
      </c>
      <c r="B2568" t="s">
        <v>2735</v>
      </c>
      <c r="C2568" t="s">
        <v>404</v>
      </c>
      <c r="D2568">
        <v>64</v>
      </c>
      <c r="E2568">
        <v>100</v>
      </c>
      <c r="F2568">
        <v>0</v>
      </c>
      <c r="G2568">
        <v>0</v>
      </c>
      <c r="H2568">
        <v>0</v>
      </c>
      <c r="I2568">
        <v>0</v>
      </c>
      <c r="J2568">
        <v>0</v>
      </c>
      <c r="K2568">
        <v>0</v>
      </c>
      <c r="L2568">
        <v>0</v>
      </c>
      <c r="M2568">
        <v>0</v>
      </c>
      <c r="N2568">
        <v>0</v>
      </c>
      <c r="O2568">
        <v>0</v>
      </c>
    </row>
    <row r="2569" spans="1:15">
      <c r="A2569" t="s">
        <v>2886</v>
      </c>
      <c r="B2569" t="s">
        <v>2735</v>
      </c>
      <c r="C2569" t="s">
        <v>404</v>
      </c>
      <c r="D2569">
        <v>65</v>
      </c>
      <c r="E2569">
        <v>100</v>
      </c>
      <c r="F2569">
        <v>0</v>
      </c>
      <c r="G2569">
        <v>0</v>
      </c>
      <c r="H2569">
        <v>0</v>
      </c>
      <c r="I2569">
        <v>0</v>
      </c>
      <c r="J2569">
        <v>0</v>
      </c>
      <c r="K2569">
        <v>0</v>
      </c>
      <c r="L2569">
        <v>0</v>
      </c>
      <c r="M2569">
        <v>0</v>
      </c>
      <c r="N2569">
        <v>0</v>
      </c>
      <c r="O2569">
        <v>0</v>
      </c>
    </row>
    <row r="2570" spans="1:15">
      <c r="A2570" t="s">
        <v>2887</v>
      </c>
      <c r="B2570" t="s">
        <v>2735</v>
      </c>
      <c r="C2570" t="s">
        <v>404</v>
      </c>
      <c r="D2570">
        <v>66</v>
      </c>
      <c r="E2570">
        <v>100</v>
      </c>
      <c r="F2570">
        <v>0</v>
      </c>
      <c r="G2570">
        <v>0</v>
      </c>
      <c r="H2570">
        <v>0</v>
      </c>
      <c r="I2570">
        <v>0</v>
      </c>
      <c r="J2570">
        <v>0</v>
      </c>
      <c r="K2570">
        <v>0</v>
      </c>
      <c r="L2570">
        <v>0</v>
      </c>
      <c r="M2570">
        <v>0</v>
      </c>
      <c r="N2570">
        <v>0</v>
      </c>
      <c r="O2570">
        <v>0</v>
      </c>
    </row>
    <row r="2571" spans="1:15">
      <c r="A2571" t="s">
        <v>2888</v>
      </c>
      <c r="B2571" t="s">
        <v>2735</v>
      </c>
      <c r="C2571" t="s">
        <v>404</v>
      </c>
      <c r="D2571">
        <v>67</v>
      </c>
      <c r="E2571">
        <v>100</v>
      </c>
      <c r="F2571">
        <v>0</v>
      </c>
      <c r="G2571">
        <v>0</v>
      </c>
      <c r="H2571">
        <v>0</v>
      </c>
      <c r="I2571">
        <v>0</v>
      </c>
      <c r="J2571">
        <v>0</v>
      </c>
      <c r="K2571">
        <v>0</v>
      </c>
      <c r="L2571">
        <v>0</v>
      </c>
      <c r="M2571">
        <v>0</v>
      </c>
      <c r="N2571">
        <v>0</v>
      </c>
      <c r="O2571">
        <v>0</v>
      </c>
    </row>
    <row r="2572" spans="1:15">
      <c r="A2572" t="s">
        <v>2889</v>
      </c>
      <c r="B2572" t="s">
        <v>2735</v>
      </c>
      <c r="C2572" t="s">
        <v>404</v>
      </c>
      <c r="D2572">
        <v>68</v>
      </c>
      <c r="E2572">
        <v>100</v>
      </c>
      <c r="F2572">
        <v>0</v>
      </c>
      <c r="G2572">
        <v>0</v>
      </c>
      <c r="H2572">
        <v>0</v>
      </c>
      <c r="I2572">
        <v>0</v>
      </c>
      <c r="J2572">
        <v>0</v>
      </c>
      <c r="K2572">
        <v>0</v>
      </c>
      <c r="L2572">
        <v>0</v>
      </c>
      <c r="M2572">
        <v>0</v>
      </c>
      <c r="N2572">
        <v>0</v>
      </c>
      <c r="O2572">
        <v>0</v>
      </c>
    </row>
    <row r="2573" spans="1:15">
      <c r="A2573" t="s">
        <v>2890</v>
      </c>
      <c r="B2573" t="s">
        <v>2735</v>
      </c>
      <c r="C2573" t="s">
        <v>404</v>
      </c>
      <c r="D2573">
        <v>69</v>
      </c>
      <c r="E2573">
        <v>100</v>
      </c>
      <c r="F2573">
        <v>0</v>
      </c>
      <c r="G2573">
        <v>0</v>
      </c>
      <c r="H2573">
        <v>0</v>
      </c>
      <c r="I2573">
        <v>0</v>
      </c>
      <c r="J2573">
        <v>0</v>
      </c>
      <c r="K2573">
        <v>0</v>
      </c>
      <c r="L2573">
        <v>0</v>
      </c>
      <c r="M2573">
        <v>0</v>
      </c>
      <c r="N2573">
        <v>0</v>
      </c>
      <c r="O2573">
        <v>0</v>
      </c>
    </row>
    <row r="2574" spans="1:15">
      <c r="A2574" t="s">
        <v>2891</v>
      </c>
      <c r="B2574" t="s">
        <v>2735</v>
      </c>
      <c r="C2574" t="s">
        <v>404</v>
      </c>
      <c r="D2574">
        <v>70</v>
      </c>
      <c r="E2574">
        <v>100</v>
      </c>
      <c r="F2574">
        <v>0</v>
      </c>
      <c r="G2574">
        <v>0</v>
      </c>
      <c r="H2574">
        <v>0</v>
      </c>
      <c r="I2574">
        <v>0</v>
      </c>
      <c r="J2574">
        <v>0</v>
      </c>
      <c r="K2574">
        <v>0</v>
      </c>
      <c r="L2574">
        <v>0</v>
      </c>
      <c r="M2574">
        <v>0</v>
      </c>
      <c r="N2574">
        <v>0</v>
      </c>
      <c r="O2574">
        <v>0</v>
      </c>
    </row>
    <row r="2575" spans="1:15">
      <c r="A2575" t="s">
        <v>2892</v>
      </c>
      <c r="B2575" t="s">
        <v>2735</v>
      </c>
      <c r="C2575" t="s">
        <v>404</v>
      </c>
      <c r="D2575">
        <v>71</v>
      </c>
      <c r="E2575">
        <v>100</v>
      </c>
      <c r="F2575">
        <v>0</v>
      </c>
      <c r="G2575">
        <v>0</v>
      </c>
      <c r="H2575">
        <v>0</v>
      </c>
      <c r="I2575">
        <v>0</v>
      </c>
      <c r="J2575">
        <v>0</v>
      </c>
      <c r="K2575">
        <v>0</v>
      </c>
      <c r="L2575">
        <v>0</v>
      </c>
      <c r="M2575">
        <v>0</v>
      </c>
      <c r="N2575">
        <v>0</v>
      </c>
      <c r="O2575">
        <v>0</v>
      </c>
    </row>
    <row r="2576" spans="1:15">
      <c r="A2576" t="s">
        <v>2893</v>
      </c>
      <c r="B2576" t="s">
        <v>2735</v>
      </c>
      <c r="C2576" t="s">
        <v>404</v>
      </c>
      <c r="D2576">
        <v>72</v>
      </c>
      <c r="E2576">
        <v>100</v>
      </c>
      <c r="F2576">
        <v>0</v>
      </c>
      <c r="G2576">
        <v>0</v>
      </c>
      <c r="H2576">
        <v>0</v>
      </c>
      <c r="I2576">
        <v>0</v>
      </c>
      <c r="J2576">
        <v>0</v>
      </c>
      <c r="K2576">
        <v>0</v>
      </c>
      <c r="L2576">
        <v>0</v>
      </c>
      <c r="M2576">
        <v>0</v>
      </c>
      <c r="N2576">
        <v>0</v>
      </c>
      <c r="O2576">
        <v>0</v>
      </c>
    </row>
    <row r="2577" spans="1:15">
      <c r="A2577" t="s">
        <v>2894</v>
      </c>
      <c r="B2577" t="s">
        <v>2735</v>
      </c>
      <c r="C2577" t="s">
        <v>404</v>
      </c>
      <c r="D2577">
        <v>73</v>
      </c>
      <c r="E2577">
        <v>100</v>
      </c>
      <c r="F2577">
        <v>0</v>
      </c>
      <c r="G2577">
        <v>0</v>
      </c>
      <c r="H2577">
        <v>0</v>
      </c>
      <c r="I2577">
        <v>0</v>
      </c>
      <c r="J2577">
        <v>0</v>
      </c>
      <c r="K2577">
        <v>0</v>
      </c>
      <c r="L2577">
        <v>0</v>
      </c>
      <c r="M2577">
        <v>0</v>
      </c>
      <c r="N2577">
        <v>0</v>
      </c>
      <c r="O2577">
        <v>0</v>
      </c>
    </row>
    <row r="2578" spans="1:15">
      <c r="A2578" t="s">
        <v>2895</v>
      </c>
      <c r="B2578" t="s">
        <v>2735</v>
      </c>
      <c r="C2578" t="s">
        <v>404</v>
      </c>
      <c r="D2578">
        <v>74</v>
      </c>
      <c r="E2578">
        <v>100</v>
      </c>
      <c r="F2578">
        <v>0</v>
      </c>
      <c r="G2578">
        <v>0</v>
      </c>
      <c r="H2578">
        <v>0</v>
      </c>
      <c r="I2578">
        <v>0</v>
      </c>
      <c r="J2578">
        <v>0</v>
      </c>
      <c r="K2578">
        <v>0</v>
      </c>
      <c r="L2578">
        <v>0</v>
      </c>
      <c r="M2578">
        <v>0</v>
      </c>
      <c r="N2578">
        <v>0</v>
      </c>
      <c r="O2578">
        <v>0</v>
      </c>
    </row>
    <row r="2579" spans="1:15">
      <c r="A2579" t="s">
        <v>2896</v>
      </c>
      <c r="B2579" t="s">
        <v>2735</v>
      </c>
      <c r="C2579" t="s">
        <v>404</v>
      </c>
      <c r="D2579">
        <v>75</v>
      </c>
      <c r="E2579">
        <v>100</v>
      </c>
      <c r="F2579">
        <v>0</v>
      </c>
      <c r="G2579">
        <v>0</v>
      </c>
      <c r="H2579">
        <v>0</v>
      </c>
      <c r="I2579">
        <v>0</v>
      </c>
      <c r="J2579">
        <v>0</v>
      </c>
      <c r="K2579">
        <v>0</v>
      </c>
      <c r="L2579">
        <v>0</v>
      </c>
      <c r="M2579">
        <v>0</v>
      </c>
      <c r="N2579">
        <v>0</v>
      </c>
      <c r="O2579">
        <v>0</v>
      </c>
    </row>
    <row r="2580" spans="1:15">
      <c r="A2580" t="s">
        <v>2897</v>
      </c>
      <c r="B2580" t="s">
        <v>2735</v>
      </c>
      <c r="C2580" t="s">
        <v>404</v>
      </c>
      <c r="D2580">
        <v>76</v>
      </c>
      <c r="E2580">
        <v>100</v>
      </c>
      <c r="F2580">
        <v>0</v>
      </c>
      <c r="G2580">
        <v>0</v>
      </c>
      <c r="H2580">
        <v>0</v>
      </c>
      <c r="I2580">
        <v>0</v>
      </c>
      <c r="J2580">
        <v>0</v>
      </c>
      <c r="K2580">
        <v>0</v>
      </c>
      <c r="L2580">
        <v>0</v>
      </c>
      <c r="M2580">
        <v>0</v>
      </c>
      <c r="N2580">
        <v>0</v>
      </c>
      <c r="O2580">
        <v>0</v>
      </c>
    </row>
    <row r="2581" spans="1:15">
      <c r="A2581" t="s">
        <v>2898</v>
      </c>
      <c r="B2581" t="s">
        <v>2735</v>
      </c>
      <c r="C2581" t="s">
        <v>404</v>
      </c>
      <c r="D2581">
        <v>77</v>
      </c>
      <c r="E2581">
        <v>100</v>
      </c>
      <c r="F2581">
        <v>0</v>
      </c>
      <c r="G2581">
        <v>0</v>
      </c>
      <c r="H2581">
        <v>0</v>
      </c>
      <c r="I2581">
        <v>0</v>
      </c>
      <c r="J2581">
        <v>0</v>
      </c>
      <c r="K2581">
        <v>0</v>
      </c>
      <c r="L2581">
        <v>0</v>
      </c>
      <c r="M2581">
        <v>0</v>
      </c>
      <c r="N2581">
        <v>0</v>
      </c>
      <c r="O2581">
        <v>0</v>
      </c>
    </row>
    <row r="2582" spans="1:15">
      <c r="A2582" t="s">
        <v>2899</v>
      </c>
      <c r="B2582" t="s">
        <v>2735</v>
      </c>
      <c r="C2582" t="s">
        <v>404</v>
      </c>
      <c r="D2582">
        <v>78</v>
      </c>
      <c r="E2582">
        <v>100</v>
      </c>
      <c r="F2582">
        <v>0</v>
      </c>
      <c r="G2582">
        <v>0</v>
      </c>
      <c r="H2582">
        <v>0</v>
      </c>
      <c r="I2582">
        <v>0</v>
      </c>
      <c r="J2582">
        <v>0</v>
      </c>
      <c r="K2582">
        <v>0</v>
      </c>
      <c r="L2582">
        <v>0</v>
      </c>
      <c r="M2582">
        <v>0</v>
      </c>
      <c r="N2582">
        <v>0</v>
      </c>
      <c r="O2582">
        <v>0</v>
      </c>
    </row>
    <row r="2583" spans="1:15">
      <c r="A2583" t="s">
        <v>2900</v>
      </c>
      <c r="B2583" t="s">
        <v>2735</v>
      </c>
      <c r="C2583" t="s">
        <v>404</v>
      </c>
      <c r="D2583">
        <v>79</v>
      </c>
      <c r="E2583">
        <v>100</v>
      </c>
      <c r="F2583">
        <v>0</v>
      </c>
      <c r="G2583">
        <v>0</v>
      </c>
      <c r="H2583">
        <v>0</v>
      </c>
      <c r="I2583">
        <v>0</v>
      </c>
      <c r="J2583">
        <v>0</v>
      </c>
      <c r="K2583">
        <v>0</v>
      </c>
      <c r="L2583">
        <v>0</v>
      </c>
      <c r="M2583">
        <v>0</v>
      </c>
      <c r="N2583">
        <v>0</v>
      </c>
      <c r="O2583">
        <v>0</v>
      </c>
    </row>
    <row r="2584" spans="1:15">
      <c r="A2584" t="s">
        <v>2901</v>
      </c>
      <c r="B2584" t="s">
        <v>2735</v>
      </c>
      <c r="C2584" t="s">
        <v>404</v>
      </c>
      <c r="D2584">
        <v>80</v>
      </c>
      <c r="E2584">
        <v>100</v>
      </c>
      <c r="F2584">
        <v>0</v>
      </c>
      <c r="G2584">
        <v>0</v>
      </c>
      <c r="H2584">
        <v>0</v>
      </c>
      <c r="I2584">
        <v>0</v>
      </c>
      <c r="J2584">
        <v>0</v>
      </c>
      <c r="K2584">
        <v>0</v>
      </c>
      <c r="L2584">
        <v>0</v>
      </c>
      <c r="M2584">
        <v>0</v>
      </c>
      <c r="N2584">
        <v>0</v>
      </c>
      <c r="O2584">
        <v>0</v>
      </c>
    </row>
    <row r="2585" spans="1:15">
      <c r="A2585" t="s">
        <v>2902</v>
      </c>
      <c r="B2585" t="s">
        <v>2735</v>
      </c>
      <c r="C2585" t="s">
        <v>404</v>
      </c>
      <c r="D2585">
        <v>81</v>
      </c>
      <c r="E2585">
        <v>100</v>
      </c>
      <c r="F2585">
        <v>0</v>
      </c>
      <c r="G2585">
        <v>0</v>
      </c>
      <c r="H2585">
        <v>0</v>
      </c>
      <c r="I2585">
        <v>0</v>
      </c>
      <c r="J2585">
        <v>0</v>
      </c>
      <c r="K2585">
        <v>0</v>
      </c>
      <c r="L2585">
        <v>0</v>
      </c>
      <c r="M2585">
        <v>0</v>
      </c>
      <c r="N2585">
        <v>0</v>
      </c>
      <c r="O2585">
        <v>0</v>
      </c>
    </row>
    <row r="2586" spans="1:15">
      <c r="A2586" t="s">
        <v>2903</v>
      </c>
      <c r="B2586" t="s">
        <v>2735</v>
      </c>
      <c r="C2586" t="s">
        <v>404</v>
      </c>
      <c r="D2586">
        <v>82</v>
      </c>
      <c r="E2586">
        <v>100</v>
      </c>
      <c r="F2586">
        <v>0</v>
      </c>
      <c r="G2586">
        <v>0</v>
      </c>
      <c r="H2586">
        <v>0</v>
      </c>
      <c r="I2586">
        <v>0</v>
      </c>
      <c r="J2586">
        <v>0</v>
      </c>
      <c r="K2586">
        <v>0</v>
      </c>
      <c r="L2586">
        <v>0</v>
      </c>
      <c r="M2586">
        <v>0</v>
      </c>
      <c r="N2586">
        <v>0</v>
      </c>
      <c r="O2586">
        <v>0</v>
      </c>
    </row>
    <row r="2587" spans="1:15">
      <c r="A2587" t="s">
        <v>2904</v>
      </c>
      <c r="B2587" t="s">
        <v>2735</v>
      </c>
      <c r="C2587" t="s">
        <v>404</v>
      </c>
      <c r="D2587">
        <v>83</v>
      </c>
      <c r="E2587">
        <v>100</v>
      </c>
      <c r="F2587">
        <v>0</v>
      </c>
      <c r="G2587">
        <v>0</v>
      </c>
      <c r="H2587">
        <v>0</v>
      </c>
      <c r="I2587">
        <v>0</v>
      </c>
      <c r="J2587">
        <v>0</v>
      </c>
      <c r="K2587">
        <v>0</v>
      </c>
      <c r="L2587">
        <v>0</v>
      </c>
      <c r="M2587">
        <v>0</v>
      </c>
      <c r="N2587">
        <v>0</v>
      </c>
      <c r="O2587">
        <v>0</v>
      </c>
    </row>
    <row r="2588" spans="1:15">
      <c r="A2588" t="s">
        <v>2905</v>
      </c>
      <c r="B2588" t="s">
        <v>2735</v>
      </c>
      <c r="C2588" t="s">
        <v>404</v>
      </c>
      <c r="D2588">
        <v>84</v>
      </c>
      <c r="E2588">
        <v>100</v>
      </c>
      <c r="F2588">
        <v>0</v>
      </c>
      <c r="G2588">
        <v>0</v>
      </c>
      <c r="H2588">
        <v>0</v>
      </c>
      <c r="I2588">
        <v>0</v>
      </c>
      <c r="J2588">
        <v>0</v>
      </c>
      <c r="K2588">
        <v>0</v>
      </c>
      <c r="L2588">
        <v>0</v>
      </c>
      <c r="M2588">
        <v>0</v>
      </c>
      <c r="N2588">
        <v>0</v>
      </c>
      <c r="O2588">
        <v>0</v>
      </c>
    </row>
    <row r="2589" spans="1:15">
      <c r="A2589" t="s">
        <v>2906</v>
      </c>
      <c r="B2589" t="s">
        <v>2735</v>
      </c>
      <c r="C2589" t="s">
        <v>404</v>
      </c>
      <c r="D2589">
        <v>85</v>
      </c>
      <c r="E2589">
        <v>100</v>
      </c>
      <c r="F2589">
        <v>0</v>
      </c>
      <c r="G2589">
        <v>0</v>
      </c>
      <c r="H2589">
        <v>0</v>
      </c>
      <c r="I2589">
        <v>0</v>
      </c>
      <c r="J2589">
        <v>0</v>
      </c>
      <c r="K2589">
        <v>0</v>
      </c>
      <c r="L2589">
        <v>0</v>
      </c>
      <c r="M2589">
        <v>0</v>
      </c>
      <c r="N2589">
        <v>0</v>
      </c>
      <c r="O2589">
        <v>0</v>
      </c>
    </row>
    <row r="2590" spans="1:15">
      <c r="A2590" t="s">
        <v>2907</v>
      </c>
      <c r="B2590" t="s">
        <v>2908</v>
      </c>
      <c r="C2590" t="s">
        <v>317</v>
      </c>
      <c r="D2590">
        <v>0</v>
      </c>
      <c r="E2590">
        <v>100</v>
      </c>
      <c r="F2590">
        <v>0</v>
      </c>
      <c r="G2590">
        <v>0</v>
      </c>
      <c r="H2590">
        <v>0</v>
      </c>
      <c r="I2590">
        <v>0</v>
      </c>
      <c r="J2590">
        <v>0</v>
      </c>
      <c r="K2590">
        <v>0</v>
      </c>
      <c r="L2590">
        <v>0</v>
      </c>
      <c r="M2590">
        <v>0</v>
      </c>
      <c r="N2590">
        <v>0</v>
      </c>
      <c r="O2590">
        <v>0</v>
      </c>
    </row>
    <row r="2591" spans="1:15">
      <c r="A2591" t="s">
        <v>2909</v>
      </c>
      <c r="B2591" t="s">
        <v>2908</v>
      </c>
      <c r="C2591" t="s">
        <v>317</v>
      </c>
      <c r="D2591">
        <v>1</v>
      </c>
      <c r="E2591">
        <v>100</v>
      </c>
      <c r="F2591">
        <v>0</v>
      </c>
      <c r="G2591">
        <v>0</v>
      </c>
      <c r="H2591">
        <v>0</v>
      </c>
      <c r="I2591">
        <v>0</v>
      </c>
      <c r="J2591">
        <v>0</v>
      </c>
      <c r="K2591">
        <v>0</v>
      </c>
      <c r="L2591">
        <v>0</v>
      </c>
      <c r="M2591">
        <v>0</v>
      </c>
      <c r="N2591">
        <v>0</v>
      </c>
      <c r="O2591">
        <v>0</v>
      </c>
    </row>
    <row r="2592" spans="1:15">
      <c r="A2592" t="s">
        <v>2910</v>
      </c>
      <c r="B2592" t="s">
        <v>2908</v>
      </c>
      <c r="C2592" t="s">
        <v>317</v>
      </c>
      <c r="D2592">
        <v>2</v>
      </c>
      <c r="E2592">
        <v>100</v>
      </c>
      <c r="F2592">
        <v>0</v>
      </c>
      <c r="G2592">
        <v>0</v>
      </c>
      <c r="H2592">
        <v>0</v>
      </c>
      <c r="I2592">
        <v>0</v>
      </c>
      <c r="J2592">
        <v>0</v>
      </c>
      <c r="K2592">
        <v>0</v>
      </c>
      <c r="L2592">
        <v>0</v>
      </c>
      <c r="M2592">
        <v>0</v>
      </c>
      <c r="N2592">
        <v>0</v>
      </c>
      <c r="O2592">
        <v>0</v>
      </c>
    </row>
    <row r="2593" spans="1:15">
      <c r="A2593" t="s">
        <v>2911</v>
      </c>
      <c r="B2593" t="s">
        <v>2908</v>
      </c>
      <c r="C2593" t="s">
        <v>317</v>
      </c>
      <c r="D2593">
        <v>3</v>
      </c>
      <c r="E2593">
        <v>100</v>
      </c>
      <c r="F2593">
        <v>0</v>
      </c>
      <c r="G2593">
        <v>0</v>
      </c>
      <c r="H2593">
        <v>0</v>
      </c>
      <c r="I2593">
        <v>0</v>
      </c>
      <c r="J2593">
        <v>0</v>
      </c>
      <c r="K2593">
        <v>0</v>
      </c>
      <c r="L2593">
        <v>0</v>
      </c>
      <c r="M2593">
        <v>0</v>
      </c>
      <c r="N2593">
        <v>0</v>
      </c>
      <c r="O2593">
        <v>0</v>
      </c>
    </row>
    <row r="2594" spans="1:15">
      <c r="A2594" t="s">
        <v>2912</v>
      </c>
      <c r="B2594" t="s">
        <v>2908</v>
      </c>
      <c r="C2594" t="s">
        <v>317</v>
      </c>
      <c r="D2594">
        <v>4</v>
      </c>
      <c r="E2594">
        <v>100</v>
      </c>
      <c r="F2594">
        <v>0</v>
      </c>
      <c r="G2594">
        <v>0</v>
      </c>
      <c r="H2594">
        <v>0</v>
      </c>
      <c r="I2594">
        <v>0</v>
      </c>
      <c r="J2594">
        <v>0</v>
      </c>
      <c r="K2594">
        <v>0</v>
      </c>
      <c r="L2594">
        <v>0</v>
      </c>
      <c r="M2594">
        <v>0</v>
      </c>
      <c r="N2594">
        <v>0</v>
      </c>
      <c r="O2594">
        <v>0</v>
      </c>
    </row>
    <row r="2595" spans="1:15">
      <c r="A2595" t="s">
        <v>2913</v>
      </c>
      <c r="B2595" t="s">
        <v>2908</v>
      </c>
      <c r="C2595" t="s">
        <v>317</v>
      </c>
      <c r="D2595">
        <v>5</v>
      </c>
      <c r="E2595">
        <v>100</v>
      </c>
      <c r="F2595">
        <v>0</v>
      </c>
      <c r="G2595">
        <v>0</v>
      </c>
      <c r="H2595">
        <v>0</v>
      </c>
      <c r="I2595">
        <v>0</v>
      </c>
      <c r="J2595">
        <v>0</v>
      </c>
      <c r="K2595">
        <v>0</v>
      </c>
      <c r="L2595">
        <v>0</v>
      </c>
      <c r="M2595">
        <v>0</v>
      </c>
      <c r="N2595">
        <v>0</v>
      </c>
      <c r="O2595">
        <v>0</v>
      </c>
    </row>
    <row r="2596" spans="1:15">
      <c r="A2596" t="s">
        <v>2914</v>
      </c>
      <c r="B2596" t="s">
        <v>2908</v>
      </c>
      <c r="C2596" t="s">
        <v>317</v>
      </c>
      <c r="D2596">
        <v>6</v>
      </c>
      <c r="E2596">
        <v>100</v>
      </c>
      <c r="F2596">
        <v>0</v>
      </c>
      <c r="G2596">
        <v>0</v>
      </c>
      <c r="H2596">
        <v>0</v>
      </c>
      <c r="I2596">
        <v>0</v>
      </c>
      <c r="J2596">
        <v>0</v>
      </c>
      <c r="K2596">
        <v>0</v>
      </c>
      <c r="L2596">
        <v>0</v>
      </c>
      <c r="M2596">
        <v>0</v>
      </c>
      <c r="N2596">
        <v>0</v>
      </c>
      <c r="O2596">
        <v>0</v>
      </c>
    </row>
    <row r="2597" spans="1:15">
      <c r="A2597" t="s">
        <v>2915</v>
      </c>
      <c r="B2597" t="s">
        <v>2908</v>
      </c>
      <c r="C2597" t="s">
        <v>317</v>
      </c>
      <c r="D2597">
        <v>7</v>
      </c>
      <c r="E2597">
        <v>100</v>
      </c>
      <c r="F2597">
        <v>0</v>
      </c>
      <c r="G2597">
        <v>0</v>
      </c>
      <c r="H2597">
        <v>0</v>
      </c>
      <c r="I2597">
        <v>0</v>
      </c>
      <c r="J2597">
        <v>0</v>
      </c>
      <c r="K2597">
        <v>0</v>
      </c>
      <c r="L2597">
        <v>0</v>
      </c>
      <c r="M2597">
        <v>0</v>
      </c>
      <c r="N2597">
        <v>0</v>
      </c>
      <c r="O2597">
        <v>0</v>
      </c>
    </row>
    <row r="2598" spans="1:15">
      <c r="A2598" t="s">
        <v>2916</v>
      </c>
      <c r="B2598" t="s">
        <v>2908</v>
      </c>
      <c r="C2598" t="s">
        <v>317</v>
      </c>
      <c r="D2598">
        <v>8</v>
      </c>
      <c r="E2598">
        <v>100</v>
      </c>
      <c r="F2598">
        <v>0</v>
      </c>
      <c r="G2598">
        <v>0</v>
      </c>
      <c r="H2598">
        <v>0</v>
      </c>
      <c r="I2598">
        <v>0</v>
      </c>
      <c r="J2598">
        <v>0</v>
      </c>
      <c r="K2598">
        <v>0</v>
      </c>
      <c r="L2598">
        <v>0</v>
      </c>
      <c r="M2598">
        <v>0</v>
      </c>
      <c r="N2598">
        <v>0</v>
      </c>
      <c r="O2598">
        <v>0</v>
      </c>
    </row>
    <row r="2599" spans="1:15">
      <c r="A2599" t="s">
        <v>2917</v>
      </c>
      <c r="B2599" t="s">
        <v>2908</v>
      </c>
      <c r="C2599" t="s">
        <v>317</v>
      </c>
      <c r="D2599">
        <v>9</v>
      </c>
      <c r="E2599">
        <v>100</v>
      </c>
      <c r="F2599">
        <v>0</v>
      </c>
      <c r="G2599">
        <v>0</v>
      </c>
      <c r="H2599">
        <v>0</v>
      </c>
      <c r="I2599">
        <v>0</v>
      </c>
      <c r="J2599">
        <v>0</v>
      </c>
      <c r="K2599">
        <v>0</v>
      </c>
      <c r="L2599">
        <v>0</v>
      </c>
      <c r="M2599">
        <v>0</v>
      </c>
      <c r="N2599">
        <v>0</v>
      </c>
      <c r="O2599">
        <v>0</v>
      </c>
    </row>
    <row r="2600" spans="1:15">
      <c r="A2600" t="s">
        <v>2918</v>
      </c>
      <c r="B2600" t="s">
        <v>2908</v>
      </c>
      <c r="C2600" t="s">
        <v>317</v>
      </c>
      <c r="D2600">
        <v>10</v>
      </c>
      <c r="E2600">
        <v>100</v>
      </c>
      <c r="F2600">
        <v>0</v>
      </c>
      <c r="G2600">
        <v>0</v>
      </c>
      <c r="H2600">
        <v>0</v>
      </c>
      <c r="I2600">
        <v>0</v>
      </c>
      <c r="J2600">
        <v>0</v>
      </c>
      <c r="K2600">
        <v>0</v>
      </c>
      <c r="L2600">
        <v>0</v>
      </c>
      <c r="M2600">
        <v>0</v>
      </c>
      <c r="N2600">
        <v>0</v>
      </c>
      <c r="O2600">
        <v>0</v>
      </c>
    </row>
    <row r="2601" spans="1:15">
      <c r="A2601" t="s">
        <v>2919</v>
      </c>
      <c r="B2601" t="s">
        <v>2908</v>
      </c>
      <c r="C2601" t="s">
        <v>317</v>
      </c>
      <c r="D2601">
        <v>11</v>
      </c>
      <c r="E2601">
        <v>100</v>
      </c>
      <c r="F2601">
        <v>0</v>
      </c>
      <c r="G2601">
        <v>0</v>
      </c>
      <c r="H2601">
        <v>0</v>
      </c>
      <c r="I2601">
        <v>0</v>
      </c>
      <c r="J2601">
        <v>0</v>
      </c>
      <c r="K2601">
        <v>0</v>
      </c>
      <c r="L2601">
        <v>0</v>
      </c>
      <c r="M2601">
        <v>0</v>
      </c>
      <c r="N2601">
        <v>0</v>
      </c>
      <c r="O2601">
        <v>0</v>
      </c>
    </row>
    <row r="2602" spans="1:15">
      <c r="A2602" t="s">
        <v>2920</v>
      </c>
      <c r="B2602" t="s">
        <v>2908</v>
      </c>
      <c r="C2602" t="s">
        <v>317</v>
      </c>
      <c r="D2602">
        <v>12</v>
      </c>
      <c r="E2602">
        <v>100</v>
      </c>
      <c r="F2602">
        <v>0</v>
      </c>
      <c r="G2602">
        <v>0</v>
      </c>
      <c r="H2602">
        <v>0</v>
      </c>
      <c r="I2602">
        <v>0</v>
      </c>
      <c r="J2602">
        <v>0</v>
      </c>
      <c r="K2602">
        <v>0</v>
      </c>
      <c r="L2602">
        <v>0</v>
      </c>
      <c r="M2602">
        <v>0</v>
      </c>
      <c r="N2602">
        <v>0</v>
      </c>
      <c r="O2602">
        <v>0</v>
      </c>
    </row>
    <row r="2603" spans="1:15">
      <c r="A2603" t="s">
        <v>2921</v>
      </c>
      <c r="B2603" t="s">
        <v>2908</v>
      </c>
      <c r="C2603" t="s">
        <v>317</v>
      </c>
      <c r="D2603">
        <v>13</v>
      </c>
      <c r="E2603">
        <v>100</v>
      </c>
      <c r="F2603">
        <v>0</v>
      </c>
      <c r="G2603">
        <v>0</v>
      </c>
      <c r="H2603">
        <v>0</v>
      </c>
      <c r="I2603">
        <v>0</v>
      </c>
      <c r="J2603">
        <v>0</v>
      </c>
      <c r="K2603">
        <v>0</v>
      </c>
      <c r="L2603">
        <v>0</v>
      </c>
      <c r="M2603">
        <v>0</v>
      </c>
      <c r="N2603">
        <v>0</v>
      </c>
      <c r="O2603">
        <v>0</v>
      </c>
    </row>
    <row r="2604" spans="1:15">
      <c r="A2604" t="s">
        <v>2922</v>
      </c>
      <c r="B2604" t="s">
        <v>2908</v>
      </c>
      <c r="C2604" t="s">
        <v>317</v>
      </c>
      <c r="D2604">
        <v>14</v>
      </c>
      <c r="E2604">
        <v>100</v>
      </c>
      <c r="F2604">
        <v>0</v>
      </c>
      <c r="G2604">
        <v>0</v>
      </c>
      <c r="H2604">
        <v>0</v>
      </c>
      <c r="I2604">
        <v>0</v>
      </c>
      <c r="J2604">
        <v>0</v>
      </c>
      <c r="K2604">
        <v>0</v>
      </c>
      <c r="L2604">
        <v>0</v>
      </c>
      <c r="M2604">
        <v>0</v>
      </c>
      <c r="N2604">
        <v>0</v>
      </c>
      <c r="O2604">
        <v>0</v>
      </c>
    </row>
    <row r="2605" spans="1:15">
      <c r="A2605" t="s">
        <v>2923</v>
      </c>
      <c r="B2605" t="s">
        <v>2908</v>
      </c>
      <c r="C2605" t="s">
        <v>317</v>
      </c>
      <c r="D2605">
        <v>15</v>
      </c>
      <c r="E2605">
        <v>100</v>
      </c>
      <c r="F2605">
        <v>0</v>
      </c>
      <c r="G2605">
        <v>0</v>
      </c>
      <c r="H2605">
        <v>0</v>
      </c>
      <c r="I2605">
        <v>0</v>
      </c>
      <c r="J2605">
        <v>0</v>
      </c>
      <c r="K2605">
        <v>0</v>
      </c>
      <c r="L2605">
        <v>0</v>
      </c>
      <c r="M2605">
        <v>0</v>
      </c>
      <c r="N2605">
        <v>0</v>
      </c>
      <c r="O2605">
        <v>0</v>
      </c>
    </row>
    <row r="2606" spans="1:15">
      <c r="A2606" t="s">
        <v>2924</v>
      </c>
      <c r="B2606" t="s">
        <v>2908</v>
      </c>
      <c r="C2606" t="s">
        <v>317</v>
      </c>
      <c r="D2606">
        <v>16</v>
      </c>
      <c r="E2606">
        <v>100</v>
      </c>
      <c r="F2606">
        <v>0</v>
      </c>
      <c r="G2606">
        <v>0</v>
      </c>
      <c r="H2606">
        <v>0</v>
      </c>
      <c r="I2606">
        <v>0</v>
      </c>
      <c r="J2606">
        <v>0</v>
      </c>
      <c r="K2606">
        <v>0</v>
      </c>
      <c r="L2606">
        <v>0</v>
      </c>
      <c r="M2606">
        <v>0</v>
      </c>
      <c r="N2606">
        <v>0</v>
      </c>
      <c r="O2606">
        <v>0</v>
      </c>
    </row>
    <row r="2607" spans="1:15">
      <c r="A2607" t="s">
        <v>2925</v>
      </c>
      <c r="B2607" t="s">
        <v>2908</v>
      </c>
      <c r="C2607" t="s">
        <v>317</v>
      </c>
      <c r="D2607">
        <v>17</v>
      </c>
      <c r="E2607">
        <v>100</v>
      </c>
      <c r="F2607">
        <v>0</v>
      </c>
      <c r="G2607">
        <v>0</v>
      </c>
      <c r="H2607">
        <v>0</v>
      </c>
      <c r="I2607">
        <v>0</v>
      </c>
      <c r="J2607">
        <v>0</v>
      </c>
      <c r="K2607">
        <v>0</v>
      </c>
      <c r="L2607">
        <v>0</v>
      </c>
      <c r="M2607">
        <v>0</v>
      </c>
      <c r="N2607">
        <v>0</v>
      </c>
      <c r="O2607">
        <v>0</v>
      </c>
    </row>
    <row r="2608" spans="1:15">
      <c r="A2608" t="s">
        <v>2926</v>
      </c>
      <c r="B2608" t="s">
        <v>2908</v>
      </c>
      <c r="C2608" t="s">
        <v>317</v>
      </c>
      <c r="D2608">
        <v>18</v>
      </c>
      <c r="E2608">
        <v>100</v>
      </c>
      <c r="F2608">
        <v>0</v>
      </c>
      <c r="G2608">
        <v>0</v>
      </c>
      <c r="H2608">
        <v>0</v>
      </c>
      <c r="I2608">
        <v>0</v>
      </c>
      <c r="J2608">
        <v>0</v>
      </c>
      <c r="K2608">
        <v>0</v>
      </c>
      <c r="L2608">
        <v>0</v>
      </c>
      <c r="M2608">
        <v>0</v>
      </c>
      <c r="N2608">
        <v>0</v>
      </c>
      <c r="O2608">
        <v>0</v>
      </c>
    </row>
    <row r="2609" spans="1:15">
      <c r="A2609" t="s">
        <v>2927</v>
      </c>
      <c r="B2609" t="s">
        <v>2908</v>
      </c>
      <c r="C2609" t="s">
        <v>317</v>
      </c>
      <c r="D2609">
        <v>19</v>
      </c>
      <c r="E2609">
        <v>100</v>
      </c>
      <c r="F2609">
        <v>0</v>
      </c>
      <c r="G2609">
        <v>0</v>
      </c>
      <c r="H2609">
        <v>0</v>
      </c>
      <c r="I2609">
        <v>0</v>
      </c>
      <c r="J2609">
        <v>0</v>
      </c>
      <c r="K2609">
        <v>0</v>
      </c>
      <c r="L2609">
        <v>0</v>
      </c>
      <c r="M2609">
        <v>0</v>
      </c>
      <c r="N2609">
        <v>0</v>
      </c>
      <c r="O2609">
        <v>0</v>
      </c>
    </row>
    <row r="2610" spans="1:15">
      <c r="A2610" t="s">
        <v>2928</v>
      </c>
      <c r="B2610" t="s">
        <v>2908</v>
      </c>
      <c r="C2610" t="s">
        <v>317</v>
      </c>
      <c r="D2610">
        <v>20</v>
      </c>
      <c r="E2610">
        <v>100</v>
      </c>
      <c r="F2610">
        <v>0</v>
      </c>
      <c r="G2610">
        <v>0</v>
      </c>
      <c r="H2610">
        <v>0</v>
      </c>
      <c r="I2610">
        <v>0</v>
      </c>
      <c r="J2610">
        <v>0</v>
      </c>
      <c r="K2610">
        <v>0</v>
      </c>
      <c r="L2610">
        <v>0</v>
      </c>
      <c r="M2610">
        <v>0</v>
      </c>
      <c r="N2610">
        <v>0</v>
      </c>
      <c r="O2610">
        <v>0</v>
      </c>
    </row>
    <row r="2611" spans="1:15">
      <c r="A2611" t="s">
        <v>2929</v>
      </c>
      <c r="B2611" t="s">
        <v>2908</v>
      </c>
      <c r="C2611" t="s">
        <v>317</v>
      </c>
      <c r="D2611">
        <v>21</v>
      </c>
      <c r="E2611">
        <v>100</v>
      </c>
      <c r="F2611">
        <v>0</v>
      </c>
      <c r="G2611">
        <v>0</v>
      </c>
      <c r="H2611">
        <v>0</v>
      </c>
      <c r="I2611">
        <v>0</v>
      </c>
      <c r="J2611">
        <v>0</v>
      </c>
      <c r="K2611">
        <v>0</v>
      </c>
      <c r="L2611">
        <v>0</v>
      </c>
      <c r="M2611">
        <v>0</v>
      </c>
      <c r="N2611">
        <v>0</v>
      </c>
      <c r="O2611">
        <v>0</v>
      </c>
    </row>
    <row r="2612" spans="1:15">
      <c r="A2612" t="s">
        <v>2930</v>
      </c>
      <c r="B2612" t="s">
        <v>2908</v>
      </c>
      <c r="C2612" t="s">
        <v>317</v>
      </c>
      <c r="D2612">
        <v>22</v>
      </c>
      <c r="E2612">
        <v>100</v>
      </c>
      <c r="F2612">
        <v>0</v>
      </c>
      <c r="G2612">
        <v>0</v>
      </c>
      <c r="H2612">
        <v>0</v>
      </c>
      <c r="I2612">
        <v>0</v>
      </c>
      <c r="J2612">
        <v>0</v>
      </c>
      <c r="K2612">
        <v>0</v>
      </c>
      <c r="L2612">
        <v>0</v>
      </c>
      <c r="M2612">
        <v>0</v>
      </c>
      <c r="N2612">
        <v>0</v>
      </c>
      <c r="O2612">
        <v>0</v>
      </c>
    </row>
    <row r="2613" spans="1:15">
      <c r="A2613" t="s">
        <v>2931</v>
      </c>
      <c r="B2613" t="s">
        <v>2908</v>
      </c>
      <c r="C2613" t="s">
        <v>317</v>
      </c>
      <c r="D2613">
        <v>23</v>
      </c>
      <c r="E2613">
        <v>100</v>
      </c>
      <c r="F2613">
        <v>0</v>
      </c>
      <c r="G2613">
        <v>0</v>
      </c>
      <c r="H2613">
        <v>0</v>
      </c>
      <c r="I2613">
        <v>0</v>
      </c>
      <c r="J2613">
        <v>0</v>
      </c>
      <c r="K2613">
        <v>0</v>
      </c>
      <c r="L2613">
        <v>0</v>
      </c>
      <c r="M2613">
        <v>0</v>
      </c>
      <c r="N2613">
        <v>0</v>
      </c>
      <c r="O2613">
        <v>0</v>
      </c>
    </row>
    <row r="2614" spans="1:15">
      <c r="A2614" t="s">
        <v>2932</v>
      </c>
      <c r="B2614" t="s">
        <v>2908</v>
      </c>
      <c r="C2614" t="s">
        <v>317</v>
      </c>
      <c r="D2614">
        <v>24</v>
      </c>
      <c r="E2614">
        <v>100</v>
      </c>
      <c r="F2614">
        <v>0</v>
      </c>
      <c r="G2614">
        <v>0</v>
      </c>
      <c r="H2614">
        <v>0</v>
      </c>
      <c r="I2614">
        <v>0</v>
      </c>
      <c r="J2614">
        <v>0</v>
      </c>
      <c r="K2614">
        <v>0</v>
      </c>
      <c r="L2614">
        <v>0</v>
      </c>
      <c r="M2614">
        <v>0</v>
      </c>
      <c r="N2614">
        <v>0</v>
      </c>
      <c r="O2614">
        <v>0</v>
      </c>
    </row>
    <row r="2615" spans="1:15">
      <c r="A2615" t="s">
        <v>2933</v>
      </c>
      <c r="B2615" t="s">
        <v>2908</v>
      </c>
      <c r="C2615" t="s">
        <v>317</v>
      </c>
      <c r="D2615">
        <v>25</v>
      </c>
      <c r="E2615">
        <v>100</v>
      </c>
      <c r="F2615">
        <v>0</v>
      </c>
      <c r="G2615">
        <v>0</v>
      </c>
      <c r="H2615">
        <v>0</v>
      </c>
      <c r="I2615">
        <v>0</v>
      </c>
      <c r="J2615">
        <v>0</v>
      </c>
      <c r="K2615">
        <v>0</v>
      </c>
      <c r="L2615">
        <v>0</v>
      </c>
      <c r="M2615">
        <v>0</v>
      </c>
      <c r="N2615">
        <v>0</v>
      </c>
      <c r="O2615">
        <v>0</v>
      </c>
    </row>
    <row r="2616" spans="1:15">
      <c r="A2616" t="s">
        <v>2934</v>
      </c>
      <c r="B2616" t="s">
        <v>2908</v>
      </c>
      <c r="C2616" t="s">
        <v>317</v>
      </c>
      <c r="D2616">
        <v>26</v>
      </c>
      <c r="E2616">
        <v>100</v>
      </c>
      <c r="F2616">
        <v>0</v>
      </c>
      <c r="G2616">
        <v>0</v>
      </c>
      <c r="H2616">
        <v>0</v>
      </c>
      <c r="I2616">
        <v>0</v>
      </c>
      <c r="J2616">
        <v>0</v>
      </c>
      <c r="K2616">
        <v>0</v>
      </c>
      <c r="L2616">
        <v>0</v>
      </c>
      <c r="M2616">
        <v>0</v>
      </c>
      <c r="N2616">
        <v>0</v>
      </c>
      <c r="O2616">
        <v>0</v>
      </c>
    </row>
    <row r="2617" spans="1:15">
      <c r="A2617" t="s">
        <v>2935</v>
      </c>
      <c r="B2617" t="s">
        <v>2908</v>
      </c>
      <c r="C2617" t="s">
        <v>317</v>
      </c>
      <c r="D2617">
        <v>27</v>
      </c>
      <c r="E2617">
        <v>100</v>
      </c>
      <c r="F2617">
        <v>0</v>
      </c>
      <c r="G2617">
        <v>0</v>
      </c>
      <c r="H2617">
        <v>0</v>
      </c>
      <c r="I2617">
        <v>0</v>
      </c>
      <c r="J2617">
        <v>0</v>
      </c>
      <c r="K2617">
        <v>0</v>
      </c>
      <c r="L2617">
        <v>0</v>
      </c>
      <c r="M2617">
        <v>0</v>
      </c>
      <c r="N2617">
        <v>0</v>
      </c>
      <c r="O2617">
        <v>0</v>
      </c>
    </row>
    <row r="2618" spans="1:15">
      <c r="A2618" t="s">
        <v>2936</v>
      </c>
      <c r="B2618" t="s">
        <v>2908</v>
      </c>
      <c r="C2618" t="s">
        <v>317</v>
      </c>
      <c r="D2618">
        <v>28</v>
      </c>
      <c r="E2618">
        <v>100</v>
      </c>
      <c r="F2618">
        <v>0</v>
      </c>
      <c r="G2618">
        <v>0</v>
      </c>
      <c r="H2618">
        <v>0</v>
      </c>
      <c r="I2618">
        <v>0</v>
      </c>
      <c r="J2618">
        <v>0</v>
      </c>
      <c r="K2618">
        <v>0</v>
      </c>
      <c r="L2618">
        <v>0</v>
      </c>
      <c r="M2618">
        <v>0</v>
      </c>
      <c r="N2618">
        <v>0</v>
      </c>
      <c r="O2618">
        <v>0</v>
      </c>
    </row>
    <row r="2619" spans="1:15">
      <c r="A2619" t="s">
        <v>2937</v>
      </c>
      <c r="B2619" t="s">
        <v>2908</v>
      </c>
      <c r="C2619" t="s">
        <v>317</v>
      </c>
      <c r="D2619">
        <v>29</v>
      </c>
      <c r="E2619">
        <v>100</v>
      </c>
      <c r="F2619">
        <v>0</v>
      </c>
      <c r="G2619">
        <v>0</v>
      </c>
      <c r="H2619">
        <v>0</v>
      </c>
      <c r="I2619">
        <v>0</v>
      </c>
      <c r="J2619">
        <v>0</v>
      </c>
      <c r="K2619">
        <v>0</v>
      </c>
      <c r="L2619">
        <v>0</v>
      </c>
      <c r="M2619">
        <v>0</v>
      </c>
      <c r="N2619">
        <v>0</v>
      </c>
      <c r="O2619">
        <v>0</v>
      </c>
    </row>
    <row r="2620" spans="1:15">
      <c r="A2620" t="s">
        <v>2938</v>
      </c>
      <c r="B2620" t="s">
        <v>2908</v>
      </c>
      <c r="C2620" t="s">
        <v>317</v>
      </c>
      <c r="D2620">
        <v>30</v>
      </c>
      <c r="E2620">
        <v>100</v>
      </c>
      <c r="F2620">
        <v>0</v>
      </c>
      <c r="G2620">
        <v>0</v>
      </c>
      <c r="H2620">
        <v>0</v>
      </c>
      <c r="I2620">
        <v>0</v>
      </c>
      <c r="J2620">
        <v>0</v>
      </c>
      <c r="K2620">
        <v>0</v>
      </c>
      <c r="L2620">
        <v>0</v>
      </c>
      <c r="M2620">
        <v>0</v>
      </c>
      <c r="N2620">
        <v>0</v>
      </c>
      <c r="O2620">
        <v>0</v>
      </c>
    </row>
    <row r="2621" spans="1:15">
      <c r="A2621" t="s">
        <v>2939</v>
      </c>
      <c r="B2621" t="s">
        <v>2908</v>
      </c>
      <c r="C2621" t="s">
        <v>317</v>
      </c>
      <c r="D2621">
        <v>31</v>
      </c>
      <c r="E2621">
        <v>100</v>
      </c>
      <c r="F2621">
        <v>0</v>
      </c>
      <c r="G2621">
        <v>0</v>
      </c>
      <c r="H2621">
        <v>0</v>
      </c>
      <c r="I2621">
        <v>0</v>
      </c>
      <c r="J2621">
        <v>0</v>
      </c>
      <c r="K2621">
        <v>0</v>
      </c>
      <c r="L2621">
        <v>0</v>
      </c>
      <c r="M2621">
        <v>0</v>
      </c>
      <c r="N2621">
        <v>0</v>
      </c>
      <c r="O2621">
        <v>0</v>
      </c>
    </row>
    <row r="2622" spans="1:15">
      <c r="A2622" t="s">
        <v>2940</v>
      </c>
      <c r="B2622" t="s">
        <v>2908</v>
      </c>
      <c r="C2622" t="s">
        <v>317</v>
      </c>
      <c r="D2622">
        <v>32</v>
      </c>
      <c r="E2622">
        <v>100</v>
      </c>
      <c r="F2622">
        <v>0</v>
      </c>
      <c r="G2622">
        <v>0</v>
      </c>
      <c r="H2622">
        <v>0</v>
      </c>
      <c r="I2622">
        <v>0</v>
      </c>
      <c r="J2622">
        <v>0</v>
      </c>
      <c r="K2622">
        <v>0</v>
      </c>
      <c r="L2622">
        <v>0</v>
      </c>
      <c r="M2622">
        <v>0</v>
      </c>
      <c r="N2622">
        <v>0</v>
      </c>
      <c r="O2622">
        <v>0</v>
      </c>
    </row>
    <row r="2623" spans="1:15">
      <c r="A2623" t="s">
        <v>2941</v>
      </c>
      <c r="B2623" t="s">
        <v>2908</v>
      </c>
      <c r="C2623" t="s">
        <v>317</v>
      </c>
      <c r="D2623">
        <v>33</v>
      </c>
      <c r="E2623">
        <v>100</v>
      </c>
      <c r="F2623">
        <v>0</v>
      </c>
      <c r="G2623">
        <v>0</v>
      </c>
      <c r="H2623">
        <v>0</v>
      </c>
      <c r="I2623">
        <v>0</v>
      </c>
      <c r="J2623">
        <v>0</v>
      </c>
      <c r="K2623">
        <v>0</v>
      </c>
      <c r="L2623">
        <v>0</v>
      </c>
      <c r="M2623">
        <v>0</v>
      </c>
      <c r="N2623">
        <v>0</v>
      </c>
      <c r="O2623">
        <v>0</v>
      </c>
    </row>
    <row r="2624" spans="1:15">
      <c r="A2624" t="s">
        <v>2942</v>
      </c>
      <c r="B2624" t="s">
        <v>2908</v>
      </c>
      <c r="C2624" t="s">
        <v>317</v>
      </c>
      <c r="D2624">
        <v>34</v>
      </c>
      <c r="E2624">
        <v>100</v>
      </c>
      <c r="F2624">
        <v>0</v>
      </c>
      <c r="G2624">
        <v>0</v>
      </c>
      <c r="H2624">
        <v>0</v>
      </c>
      <c r="I2624">
        <v>0</v>
      </c>
      <c r="J2624">
        <v>0</v>
      </c>
      <c r="K2624">
        <v>0</v>
      </c>
      <c r="L2624">
        <v>0</v>
      </c>
      <c r="M2624">
        <v>0</v>
      </c>
      <c r="N2624">
        <v>0</v>
      </c>
      <c r="O2624">
        <v>0</v>
      </c>
    </row>
    <row r="2625" spans="1:15">
      <c r="A2625" t="s">
        <v>2943</v>
      </c>
      <c r="B2625" t="s">
        <v>2908</v>
      </c>
      <c r="C2625" t="s">
        <v>317</v>
      </c>
      <c r="D2625">
        <v>35</v>
      </c>
      <c r="E2625">
        <v>100</v>
      </c>
      <c r="F2625">
        <v>0</v>
      </c>
      <c r="G2625">
        <v>0</v>
      </c>
      <c r="H2625">
        <v>0</v>
      </c>
      <c r="I2625">
        <v>0</v>
      </c>
      <c r="J2625">
        <v>0</v>
      </c>
      <c r="K2625">
        <v>0</v>
      </c>
      <c r="L2625">
        <v>0</v>
      </c>
      <c r="M2625">
        <v>0</v>
      </c>
      <c r="N2625">
        <v>0</v>
      </c>
      <c r="O2625">
        <v>0</v>
      </c>
    </row>
    <row r="2626" spans="1:15">
      <c r="A2626" t="s">
        <v>2944</v>
      </c>
      <c r="B2626" t="s">
        <v>2908</v>
      </c>
      <c r="C2626" t="s">
        <v>317</v>
      </c>
      <c r="D2626">
        <v>36</v>
      </c>
      <c r="E2626">
        <v>100</v>
      </c>
      <c r="F2626">
        <v>0</v>
      </c>
      <c r="G2626">
        <v>0</v>
      </c>
      <c r="H2626">
        <v>0</v>
      </c>
      <c r="I2626">
        <v>0</v>
      </c>
      <c r="J2626">
        <v>0</v>
      </c>
      <c r="K2626">
        <v>0</v>
      </c>
      <c r="L2626">
        <v>0</v>
      </c>
      <c r="M2626">
        <v>0</v>
      </c>
      <c r="N2626">
        <v>0</v>
      </c>
      <c r="O2626">
        <v>0</v>
      </c>
    </row>
    <row r="2627" spans="1:15">
      <c r="A2627" t="s">
        <v>2945</v>
      </c>
      <c r="B2627" t="s">
        <v>2908</v>
      </c>
      <c r="C2627" t="s">
        <v>317</v>
      </c>
      <c r="D2627">
        <v>37</v>
      </c>
      <c r="E2627">
        <v>100</v>
      </c>
      <c r="F2627">
        <v>0</v>
      </c>
      <c r="G2627">
        <v>0</v>
      </c>
      <c r="H2627">
        <v>0</v>
      </c>
      <c r="I2627">
        <v>0</v>
      </c>
      <c r="J2627">
        <v>0</v>
      </c>
      <c r="K2627">
        <v>0</v>
      </c>
      <c r="L2627">
        <v>0</v>
      </c>
      <c r="M2627">
        <v>0</v>
      </c>
      <c r="N2627">
        <v>0</v>
      </c>
      <c r="O2627">
        <v>0</v>
      </c>
    </row>
    <row r="2628" spans="1:15">
      <c r="A2628" t="s">
        <v>2946</v>
      </c>
      <c r="B2628" t="s">
        <v>2908</v>
      </c>
      <c r="C2628" t="s">
        <v>317</v>
      </c>
      <c r="D2628">
        <v>38</v>
      </c>
      <c r="E2628">
        <v>100</v>
      </c>
      <c r="F2628">
        <v>0</v>
      </c>
      <c r="G2628">
        <v>0</v>
      </c>
      <c r="H2628">
        <v>0</v>
      </c>
      <c r="I2628">
        <v>0</v>
      </c>
      <c r="J2628">
        <v>0</v>
      </c>
      <c r="K2628">
        <v>0</v>
      </c>
      <c r="L2628">
        <v>0</v>
      </c>
      <c r="M2628">
        <v>0</v>
      </c>
      <c r="N2628">
        <v>0</v>
      </c>
      <c r="O2628">
        <v>0</v>
      </c>
    </row>
    <row r="2629" spans="1:15">
      <c r="A2629" t="s">
        <v>2947</v>
      </c>
      <c r="B2629" t="s">
        <v>2908</v>
      </c>
      <c r="C2629" t="s">
        <v>317</v>
      </c>
      <c r="D2629">
        <v>39</v>
      </c>
      <c r="E2629">
        <v>100</v>
      </c>
      <c r="F2629">
        <v>0</v>
      </c>
      <c r="G2629">
        <v>0</v>
      </c>
      <c r="H2629">
        <v>0</v>
      </c>
      <c r="I2629">
        <v>0</v>
      </c>
      <c r="J2629">
        <v>0</v>
      </c>
      <c r="K2629">
        <v>0</v>
      </c>
      <c r="L2629">
        <v>0</v>
      </c>
      <c r="M2629">
        <v>0</v>
      </c>
      <c r="N2629">
        <v>0</v>
      </c>
      <c r="O2629">
        <v>0</v>
      </c>
    </row>
    <row r="2630" spans="1:15">
      <c r="A2630" t="s">
        <v>2948</v>
      </c>
      <c r="B2630" t="s">
        <v>2908</v>
      </c>
      <c r="C2630" t="s">
        <v>317</v>
      </c>
      <c r="D2630">
        <v>40</v>
      </c>
      <c r="E2630">
        <v>100</v>
      </c>
      <c r="F2630">
        <v>0</v>
      </c>
      <c r="G2630">
        <v>0</v>
      </c>
      <c r="H2630">
        <v>0</v>
      </c>
      <c r="I2630">
        <v>0</v>
      </c>
      <c r="J2630">
        <v>0</v>
      </c>
      <c r="K2630">
        <v>0</v>
      </c>
      <c r="L2630">
        <v>0</v>
      </c>
      <c r="M2630">
        <v>0</v>
      </c>
      <c r="N2630">
        <v>0</v>
      </c>
      <c r="O2630">
        <v>0</v>
      </c>
    </row>
    <row r="2631" spans="1:15">
      <c r="A2631" t="s">
        <v>2949</v>
      </c>
      <c r="B2631" t="s">
        <v>2908</v>
      </c>
      <c r="C2631" t="s">
        <v>317</v>
      </c>
      <c r="D2631">
        <v>41</v>
      </c>
      <c r="E2631">
        <v>100</v>
      </c>
      <c r="F2631">
        <v>0</v>
      </c>
      <c r="G2631">
        <v>0</v>
      </c>
      <c r="H2631">
        <v>0</v>
      </c>
      <c r="I2631">
        <v>0</v>
      </c>
      <c r="J2631">
        <v>0</v>
      </c>
      <c r="K2631">
        <v>0</v>
      </c>
      <c r="L2631">
        <v>0</v>
      </c>
      <c r="M2631">
        <v>0</v>
      </c>
      <c r="N2631">
        <v>0</v>
      </c>
      <c r="O2631">
        <v>0</v>
      </c>
    </row>
    <row r="2632" spans="1:15">
      <c r="A2632" t="s">
        <v>2950</v>
      </c>
      <c r="B2632" t="s">
        <v>2908</v>
      </c>
      <c r="C2632" t="s">
        <v>317</v>
      </c>
      <c r="D2632">
        <v>42</v>
      </c>
      <c r="E2632">
        <v>100</v>
      </c>
      <c r="F2632">
        <v>0</v>
      </c>
      <c r="G2632">
        <v>0</v>
      </c>
      <c r="H2632">
        <v>0</v>
      </c>
      <c r="I2632">
        <v>0</v>
      </c>
      <c r="J2632">
        <v>0</v>
      </c>
      <c r="K2632">
        <v>0</v>
      </c>
      <c r="L2632">
        <v>0</v>
      </c>
      <c r="M2632">
        <v>0</v>
      </c>
      <c r="N2632">
        <v>0</v>
      </c>
      <c r="O2632">
        <v>0</v>
      </c>
    </row>
    <row r="2633" spans="1:15">
      <c r="A2633" t="s">
        <v>2951</v>
      </c>
      <c r="B2633" t="s">
        <v>2908</v>
      </c>
      <c r="C2633" t="s">
        <v>317</v>
      </c>
      <c r="D2633">
        <v>43</v>
      </c>
      <c r="E2633">
        <v>100</v>
      </c>
      <c r="F2633">
        <v>0</v>
      </c>
      <c r="G2633">
        <v>0</v>
      </c>
      <c r="H2633">
        <v>0</v>
      </c>
      <c r="I2633">
        <v>0</v>
      </c>
      <c r="J2633">
        <v>0</v>
      </c>
      <c r="K2633">
        <v>0</v>
      </c>
      <c r="L2633">
        <v>0</v>
      </c>
      <c r="M2633">
        <v>0</v>
      </c>
      <c r="N2633">
        <v>0</v>
      </c>
      <c r="O2633">
        <v>0</v>
      </c>
    </row>
    <row r="2634" spans="1:15">
      <c r="A2634" t="s">
        <v>2952</v>
      </c>
      <c r="B2634" t="s">
        <v>2908</v>
      </c>
      <c r="C2634" t="s">
        <v>317</v>
      </c>
      <c r="D2634">
        <v>44</v>
      </c>
      <c r="E2634">
        <v>100</v>
      </c>
      <c r="F2634">
        <v>0</v>
      </c>
      <c r="G2634">
        <v>0</v>
      </c>
      <c r="H2634">
        <v>0</v>
      </c>
      <c r="I2634">
        <v>0</v>
      </c>
      <c r="J2634">
        <v>0</v>
      </c>
      <c r="K2634">
        <v>0</v>
      </c>
      <c r="L2634">
        <v>0</v>
      </c>
      <c r="M2634">
        <v>0</v>
      </c>
      <c r="N2634">
        <v>0</v>
      </c>
      <c r="O2634">
        <v>0</v>
      </c>
    </row>
    <row r="2635" spans="1:15">
      <c r="A2635" t="s">
        <v>2953</v>
      </c>
      <c r="B2635" t="s">
        <v>2908</v>
      </c>
      <c r="C2635" t="s">
        <v>317</v>
      </c>
      <c r="D2635">
        <v>45</v>
      </c>
      <c r="E2635">
        <v>100</v>
      </c>
      <c r="F2635">
        <v>0</v>
      </c>
      <c r="G2635">
        <v>0</v>
      </c>
      <c r="H2635">
        <v>0</v>
      </c>
      <c r="I2635">
        <v>0</v>
      </c>
      <c r="J2635">
        <v>0</v>
      </c>
      <c r="K2635">
        <v>0</v>
      </c>
      <c r="L2635">
        <v>0</v>
      </c>
      <c r="M2635">
        <v>0</v>
      </c>
      <c r="N2635">
        <v>0</v>
      </c>
      <c r="O2635">
        <v>0</v>
      </c>
    </row>
    <row r="2636" spans="1:15">
      <c r="A2636" t="s">
        <v>2954</v>
      </c>
      <c r="B2636" t="s">
        <v>2908</v>
      </c>
      <c r="C2636" t="s">
        <v>317</v>
      </c>
      <c r="D2636">
        <v>46</v>
      </c>
      <c r="E2636">
        <v>100</v>
      </c>
      <c r="F2636">
        <v>0</v>
      </c>
      <c r="G2636">
        <v>0</v>
      </c>
      <c r="H2636">
        <v>0</v>
      </c>
      <c r="I2636">
        <v>0</v>
      </c>
      <c r="J2636">
        <v>0</v>
      </c>
      <c r="K2636">
        <v>0</v>
      </c>
      <c r="L2636">
        <v>0</v>
      </c>
      <c r="M2636">
        <v>0</v>
      </c>
      <c r="N2636">
        <v>0</v>
      </c>
      <c r="O2636">
        <v>0</v>
      </c>
    </row>
    <row r="2637" spans="1:15">
      <c r="A2637" t="s">
        <v>2955</v>
      </c>
      <c r="B2637" t="s">
        <v>2908</v>
      </c>
      <c r="C2637" t="s">
        <v>317</v>
      </c>
      <c r="D2637">
        <v>47</v>
      </c>
      <c r="E2637">
        <v>100</v>
      </c>
      <c r="F2637">
        <v>0</v>
      </c>
      <c r="G2637">
        <v>0</v>
      </c>
      <c r="H2637">
        <v>0</v>
      </c>
      <c r="I2637">
        <v>0</v>
      </c>
      <c r="J2637">
        <v>0</v>
      </c>
      <c r="K2637">
        <v>0</v>
      </c>
      <c r="L2637">
        <v>0</v>
      </c>
      <c r="M2637">
        <v>0</v>
      </c>
      <c r="N2637">
        <v>0</v>
      </c>
      <c r="O2637">
        <v>0</v>
      </c>
    </row>
    <row r="2638" spans="1:15">
      <c r="A2638" t="s">
        <v>2956</v>
      </c>
      <c r="B2638" t="s">
        <v>2908</v>
      </c>
      <c r="C2638" t="s">
        <v>317</v>
      </c>
      <c r="D2638">
        <v>48</v>
      </c>
      <c r="E2638">
        <v>100</v>
      </c>
      <c r="F2638">
        <v>0</v>
      </c>
      <c r="G2638">
        <v>0</v>
      </c>
      <c r="H2638">
        <v>0</v>
      </c>
      <c r="I2638">
        <v>0</v>
      </c>
      <c r="J2638">
        <v>0</v>
      </c>
      <c r="K2638">
        <v>0</v>
      </c>
      <c r="L2638">
        <v>0</v>
      </c>
      <c r="M2638">
        <v>0</v>
      </c>
      <c r="N2638">
        <v>0</v>
      </c>
      <c r="O2638">
        <v>0</v>
      </c>
    </row>
    <row r="2639" spans="1:15">
      <c r="A2639" t="s">
        <v>2957</v>
      </c>
      <c r="B2639" t="s">
        <v>2908</v>
      </c>
      <c r="C2639" t="s">
        <v>317</v>
      </c>
      <c r="D2639">
        <v>49</v>
      </c>
      <c r="E2639">
        <v>100</v>
      </c>
      <c r="F2639">
        <v>0</v>
      </c>
      <c r="G2639">
        <v>0</v>
      </c>
      <c r="H2639">
        <v>0</v>
      </c>
      <c r="I2639">
        <v>0</v>
      </c>
      <c r="J2639">
        <v>0</v>
      </c>
      <c r="K2639">
        <v>0</v>
      </c>
      <c r="L2639">
        <v>0</v>
      </c>
      <c r="M2639">
        <v>0</v>
      </c>
      <c r="N2639">
        <v>0</v>
      </c>
      <c r="O2639">
        <v>0</v>
      </c>
    </row>
    <row r="2640" spans="1:15">
      <c r="A2640" t="s">
        <v>2958</v>
      </c>
      <c r="B2640" t="s">
        <v>2908</v>
      </c>
      <c r="C2640" t="s">
        <v>317</v>
      </c>
      <c r="D2640">
        <v>50</v>
      </c>
      <c r="E2640">
        <v>100</v>
      </c>
      <c r="F2640">
        <v>0</v>
      </c>
      <c r="G2640">
        <v>0</v>
      </c>
      <c r="H2640">
        <v>0</v>
      </c>
      <c r="I2640">
        <v>0</v>
      </c>
      <c r="J2640">
        <v>0</v>
      </c>
      <c r="K2640">
        <v>0</v>
      </c>
      <c r="L2640">
        <v>0</v>
      </c>
      <c r="M2640">
        <v>0</v>
      </c>
      <c r="N2640">
        <v>0</v>
      </c>
      <c r="O2640">
        <v>0</v>
      </c>
    </row>
    <row r="2641" spans="1:15">
      <c r="A2641" t="s">
        <v>2959</v>
      </c>
      <c r="B2641" t="s">
        <v>2908</v>
      </c>
      <c r="C2641" t="s">
        <v>317</v>
      </c>
      <c r="D2641">
        <v>51</v>
      </c>
      <c r="E2641">
        <v>100</v>
      </c>
      <c r="F2641">
        <v>0</v>
      </c>
      <c r="G2641">
        <v>0</v>
      </c>
      <c r="H2641">
        <v>0</v>
      </c>
      <c r="I2641">
        <v>0</v>
      </c>
      <c r="J2641">
        <v>0</v>
      </c>
      <c r="K2641">
        <v>0</v>
      </c>
      <c r="L2641">
        <v>0</v>
      </c>
      <c r="M2641">
        <v>0</v>
      </c>
      <c r="N2641">
        <v>0</v>
      </c>
      <c r="O2641">
        <v>0</v>
      </c>
    </row>
    <row r="2642" spans="1:15">
      <c r="A2642" t="s">
        <v>2960</v>
      </c>
      <c r="B2642" t="s">
        <v>2908</v>
      </c>
      <c r="C2642" t="s">
        <v>317</v>
      </c>
      <c r="D2642">
        <v>52</v>
      </c>
      <c r="E2642">
        <v>100</v>
      </c>
      <c r="F2642">
        <v>0</v>
      </c>
      <c r="G2642">
        <v>0</v>
      </c>
      <c r="H2642">
        <v>0</v>
      </c>
      <c r="I2642">
        <v>0</v>
      </c>
      <c r="J2642">
        <v>0</v>
      </c>
      <c r="K2642">
        <v>0</v>
      </c>
      <c r="L2642">
        <v>0</v>
      </c>
      <c r="M2642">
        <v>0</v>
      </c>
      <c r="N2642">
        <v>0</v>
      </c>
      <c r="O2642">
        <v>0</v>
      </c>
    </row>
    <row r="2643" spans="1:15">
      <c r="A2643" t="s">
        <v>2961</v>
      </c>
      <c r="B2643" t="s">
        <v>2908</v>
      </c>
      <c r="C2643" t="s">
        <v>317</v>
      </c>
      <c r="D2643">
        <v>53</v>
      </c>
      <c r="E2643">
        <v>100</v>
      </c>
      <c r="F2643">
        <v>0</v>
      </c>
      <c r="G2643">
        <v>0</v>
      </c>
      <c r="H2643">
        <v>0</v>
      </c>
      <c r="I2643">
        <v>0</v>
      </c>
      <c r="J2643">
        <v>0</v>
      </c>
      <c r="K2643">
        <v>0</v>
      </c>
      <c r="L2643">
        <v>0</v>
      </c>
      <c r="M2643">
        <v>0</v>
      </c>
      <c r="N2643">
        <v>0</v>
      </c>
      <c r="O2643">
        <v>0</v>
      </c>
    </row>
    <row r="2644" spans="1:15">
      <c r="A2644" t="s">
        <v>2962</v>
      </c>
      <c r="B2644" t="s">
        <v>2908</v>
      </c>
      <c r="C2644" t="s">
        <v>317</v>
      </c>
      <c r="D2644">
        <v>54</v>
      </c>
      <c r="E2644">
        <v>100</v>
      </c>
      <c r="F2644">
        <v>0</v>
      </c>
      <c r="G2644">
        <v>0</v>
      </c>
      <c r="H2644">
        <v>0</v>
      </c>
      <c r="I2644">
        <v>0</v>
      </c>
      <c r="J2644">
        <v>0</v>
      </c>
      <c r="K2644">
        <v>0</v>
      </c>
      <c r="L2644">
        <v>0</v>
      </c>
      <c r="M2644">
        <v>0</v>
      </c>
      <c r="N2644">
        <v>0</v>
      </c>
      <c r="O2644">
        <v>0</v>
      </c>
    </row>
    <row r="2645" spans="1:15">
      <c r="A2645" t="s">
        <v>2963</v>
      </c>
      <c r="B2645" t="s">
        <v>2908</v>
      </c>
      <c r="C2645" t="s">
        <v>317</v>
      </c>
      <c r="D2645">
        <v>55</v>
      </c>
      <c r="E2645">
        <v>100</v>
      </c>
      <c r="F2645">
        <v>0</v>
      </c>
      <c r="G2645">
        <v>0</v>
      </c>
      <c r="H2645">
        <v>0</v>
      </c>
      <c r="I2645">
        <v>0</v>
      </c>
      <c r="J2645">
        <v>0</v>
      </c>
      <c r="K2645">
        <v>0</v>
      </c>
      <c r="L2645">
        <v>0</v>
      </c>
      <c r="M2645">
        <v>0</v>
      </c>
      <c r="N2645">
        <v>0</v>
      </c>
      <c r="O2645">
        <v>0</v>
      </c>
    </row>
    <row r="2646" spans="1:15">
      <c r="A2646" t="s">
        <v>2964</v>
      </c>
      <c r="B2646" t="s">
        <v>2908</v>
      </c>
      <c r="C2646" t="s">
        <v>317</v>
      </c>
      <c r="D2646">
        <v>56</v>
      </c>
      <c r="E2646">
        <v>100</v>
      </c>
      <c r="F2646">
        <v>0</v>
      </c>
      <c r="G2646">
        <v>0</v>
      </c>
      <c r="H2646">
        <v>0</v>
      </c>
      <c r="I2646">
        <v>0</v>
      </c>
      <c r="J2646">
        <v>0</v>
      </c>
      <c r="K2646">
        <v>0</v>
      </c>
      <c r="L2646">
        <v>0</v>
      </c>
      <c r="M2646">
        <v>0</v>
      </c>
      <c r="N2646">
        <v>0</v>
      </c>
      <c r="O2646">
        <v>0</v>
      </c>
    </row>
    <row r="2647" spans="1:15">
      <c r="A2647" t="s">
        <v>2965</v>
      </c>
      <c r="B2647" t="s">
        <v>2908</v>
      </c>
      <c r="C2647" t="s">
        <v>317</v>
      </c>
      <c r="D2647">
        <v>57</v>
      </c>
      <c r="E2647">
        <v>100</v>
      </c>
      <c r="F2647">
        <v>0</v>
      </c>
      <c r="G2647">
        <v>0</v>
      </c>
      <c r="H2647">
        <v>0</v>
      </c>
      <c r="I2647">
        <v>0</v>
      </c>
      <c r="J2647">
        <v>0</v>
      </c>
      <c r="K2647">
        <v>0</v>
      </c>
      <c r="L2647">
        <v>0</v>
      </c>
      <c r="M2647">
        <v>0</v>
      </c>
      <c r="N2647">
        <v>0</v>
      </c>
      <c r="O2647">
        <v>0</v>
      </c>
    </row>
    <row r="2648" spans="1:15">
      <c r="A2648" t="s">
        <v>2966</v>
      </c>
      <c r="B2648" t="s">
        <v>2908</v>
      </c>
      <c r="C2648" t="s">
        <v>317</v>
      </c>
      <c r="D2648">
        <v>58</v>
      </c>
      <c r="E2648">
        <v>100</v>
      </c>
      <c r="F2648">
        <v>0</v>
      </c>
      <c r="G2648">
        <v>0</v>
      </c>
      <c r="H2648">
        <v>0</v>
      </c>
      <c r="I2648">
        <v>0</v>
      </c>
      <c r="J2648">
        <v>0</v>
      </c>
      <c r="K2648">
        <v>0</v>
      </c>
      <c r="L2648">
        <v>0</v>
      </c>
      <c r="M2648">
        <v>0</v>
      </c>
      <c r="N2648">
        <v>0</v>
      </c>
      <c r="O2648">
        <v>0</v>
      </c>
    </row>
    <row r="2649" spans="1:15">
      <c r="A2649" t="s">
        <v>2967</v>
      </c>
      <c r="B2649" t="s">
        <v>2908</v>
      </c>
      <c r="C2649" t="s">
        <v>317</v>
      </c>
      <c r="D2649">
        <v>59</v>
      </c>
      <c r="E2649">
        <v>100</v>
      </c>
      <c r="F2649">
        <v>0</v>
      </c>
      <c r="G2649">
        <v>0</v>
      </c>
      <c r="H2649">
        <v>0</v>
      </c>
      <c r="I2649">
        <v>0</v>
      </c>
      <c r="J2649">
        <v>0</v>
      </c>
      <c r="K2649">
        <v>0</v>
      </c>
      <c r="L2649">
        <v>0</v>
      </c>
      <c r="M2649">
        <v>0</v>
      </c>
      <c r="N2649">
        <v>0</v>
      </c>
      <c r="O2649">
        <v>0</v>
      </c>
    </row>
    <row r="2650" spans="1:15">
      <c r="A2650" t="s">
        <v>2968</v>
      </c>
      <c r="B2650" t="s">
        <v>2908</v>
      </c>
      <c r="C2650" t="s">
        <v>317</v>
      </c>
      <c r="D2650">
        <v>60</v>
      </c>
      <c r="E2650">
        <v>100</v>
      </c>
      <c r="F2650">
        <v>0</v>
      </c>
      <c r="G2650">
        <v>0</v>
      </c>
      <c r="H2650">
        <v>0</v>
      </c>
      <c r="I2650">
        <v>0</v>
      </c>
      <c r="J2650">
        <v>0</v>
      </c>
      <c r="K2650">
        <v>0</v>
      </c>
      <c r="L2650">
        <v>0</v>
      </c>
      <c r="M2650">
        <v>0</v>
      </c>
      <c r="N2650">
        <v>0</v>
      </c>
      <c r="O2650">
        <v>0</v>
      </c>
    </row>
    <row r="2651" spans="1:15">
      <c r="A2651" t="s">
        <v>2969</v>
      </c>
      <c r="B2651" t="s">
        <v>2908</v>
      </c>
      <c r="C2651" t="s">
        <v>317</v>
      </c>
      <c r="D2651">
        <v>61</v>
      </c>
      <c r="E2651">
        <v>100</v>
      </c>
      <c r="F2651">
        <v>0</v>
      </c>
      <c r="G2651">
        <v>0</v>
      </c>
      <c r="H2651">
        <v>0</v>
      </c>
      <c r="I2651">
        <v>0</v>
      </c>
      <c r="J2651">
        <v>0</v>
      </c>
      <c r="K2651">
        <v>0</v>
      </c>
      <c r="L2651">
        <v>0</v>
      </c>
      <c r="M2651">
        <v>0</v>
      </c>
      <c r="N2651">
        <v>0</v>
      </c>
      <c r="O2651">
        <v>0</v>
      </c>
    </row>
    <row r="2652" spans="1:15">
      <c r="A2652" t="s">
        <v>2970</v>
      </c>
      <c r="B2652" t="s">
        <v>2908</v>
      </c>
      <c r="C2652" t="s">
        <v>317</v>
      </c>
      <c r="D2652">
        <v>62</v>
      </c>
      <c r="E2652">
        <v>100</v>
      </c>
      <c r="F2652">
        <v>0</v>
      </c>
      <c r="G2652">
        <v>0</v>
      </c>
      <c r="H2652">
        <v>0</v>
      </c>
      <c r="I2652">
        <v>0</v>
      </c>
      <c r="J2652">
        <v>0</v>
      </c>
      <c r="K2652">
        <v>0</v>
      </c>
      <c r="L2652">
        <v>0</v>
      </c>
      <c r="M2652">
        <v>0</v>
      </c>
      <c r="N2652">
        <v>0</v>
      </c>
      <c r="O2652">
        <v>0</v>
      </c>
    </row>
    <row r="2653" spans="1:15">
      <c r="A2653" t="s">
        <v>2971</v>
      </c>
      <c r="B2653" t="s">
        <v>2908</v>
      </c>
      <c r="C2653" t="s">
        <v>317</v>
      </c>
      <c r="D2653">
        <v>63</v>
      </c>
      <c r="E2653">
        <v>100</v>
      </c>
      <c r="F2653">
        <v>0</v>
      </c>
      <c r="G2653">
        <v>0</v>
      </c>
      <c r="H2653">
        <v>0</v>
      </c>
      <c r="I2653">
        <v>0</v>
      </c>
      <c r="J2653">
        <v>0</v>
      </c>
      <c r="K2653">
        <v>0</v>
      </c>
      <c r="L2653">
        <v>0</v>
      </c>
      <c r="M2653">
        <v>0</v>
      </c>
      <c r="N2653">
        <v>0</v>
      </c>
      <c r="O2653">
        <v>0</v>
      </c>
    </row>
    <row r="2654" spans="1:15">
      <c r="A2654" t="s">
        <v>2972</v>
      </c>
      <c r="B2654" t="s">
        <v>2908</v>
      </c>
      <c r="C2654" t="s">
        <v>317</v>
      </c>
      <c r="D2654">
        <v>64</v>
      </c>
      <c r="E2654">
        <v>100</v>
      </c>
      <c r="F2654">
        <v>0</v>
      </c>
      <c r="G2654">
        <v>0</v>
      </c>
      <c r="H2654">
        <v>0</v>
      </c>
      <c r="I2654">
        <v>0</v>
      </c>
      <c r="J2654">
        <v>0</v>
      </c>
      <c r="K2654">
        <v>0</v>
      </c>
      <c r="L2654">
        <v>0</v>
      </c>
      <c r="M2654">
        <v>0</v>
      </c>
      <c r="N2654">
        <v>0</v>
      </c>
      <c r="O2654">
        <v>0</v>
      </c>
    </row>
    <row r="2655" spans="1:15">
      <c r="A2655" t="s">
        <v>2973</v>
      </c>
      <c r="B2655" t="s">
        <v>2908</v>
      </c>
      <c r="C2655" t="s">
        <v>317</v>
      </c>
      <c r="D2655">
        <v>65</v>
      </c>
      <c r="E2655">
        <v>100</v>
      </c>
      <c r="F2655">
        <v>0</v>
      </c>
      <c r="G2655">
        <v>0</v>
      </c>
      <c r="H2655">
        <v>0</v>
      </c>
      <c r="I2655">
        <v>0</v>
      </c>
      <c r="J2655">
        <v>0</v>
      </c>
      <c r="K2655">
        <v>0</v>
      </c>
      <c r="L2655">
        <v>0</v>
      </c>
      <c r="M2655">
        <v>0</v>
      </c>
      <c r="N2655">
        <v>0</v>
      </c>
      <c r="O2655">
        <v>0</v>
      </c>
    </row>
    <row r="2656" spans="1:15">
      <c r="A2656" t="s">
        <v>2974</v>
      </c>
      <c r="B2656" t="s">
        <v>2908</v>
      </c>
      <c r="C2656" t="s">
        <v>317</v>
      </c>
      <c r="D2656">
        <v>66</v>
      </c>
      <c r="E2656">
        <v>100</v>
      </c>
      <c r="F2656">
        <v>0</v>
      </c>
      <c r="G2656">
        <v>0</v>
      </c>
      <c r="H2656">
        <v>0</v>
      </c>
      <c r="I2656">
        <v>0</v>
      </c>
      <c r="J2656">
        <v>0</v>
      </c>
      <c r="K2656">
        <v>0</v>
      </c>
      <c r="L2656">
        <v>0</v>
      </c>
      <c r="M2656">
        <v>0</v>
      </c>
      <c r="N2656">
        <v>0</v>
      </c>
      <c r="O2656">
        <v>0</v>
      </c>
    </row>
    <row r="2657" spans="1:15">
      <c r="A2657" t="s">
        <v>2975</v>
      </c>
      <c r="B2657" t="s">
        <v>2908</v>
      </c>
      <c r="C2657" t="s">
        <v>317</v>
      </c>
      <c r="D2657">
        <v>67</v>
      </c>
      <c r="E2657">
        <v>100</v>
      </c>
      <c r="F2657">
        <v>0</v>
      </c>
      <c r="G2657">
        <v>0</v>
      </c>
      <c r="H2657">
        <v>0</v>
      </c>
      <c r="I2657">
        <v>0</v>
      </c>
      <c r="J2657">
        <v>0</v>
      </c>
      <c r="K2657">
        <v>0</v>
      </c>
      <c r="L2657">
        <v>0</v>
      </c>
      <c r="M2657">
        <v>0</v>
      </c>
      <c r="N2657">
        <v>0</v>
      </c>
      <c r="O2657">
        <v>0</v>
      </c>
    </row>
    <row r="2658" spans="1:15">
      <c r="A2658" t="s">
        <v>2976</v>
      </c>
      <c r="B2658" t="s">
        <v>2908</v>
      </c>
      <c r="C2658" t="s">
        <v>317</v>
      </c>
      <c r="D2658">
        <v>68</v>
      </c>
      <c r="E2658">
        <v>100</v>
      </c>
      <c r="F2658">
        <v>0</v>
      </c>
      <c r="G2658">
        <v>0</v>
      </c>
      <c r="H2658">
        <v>0</v>
      </c>
      <c r="I2658">
        <v>0</v>
      </c>
      <c r="J2658">
        <v>0</v>
      </c>
      <c r="K2658">
        <v>0</v>
      </c>
      <c r="L2658">
        <v>0</v>
      </c>
      <c r="M2658">
        <v>0</v>
      </c>
      <c r="N2658">
        <v>0</v>
      </c>
      <c r="O2658">
        <v>0</v>
      </c>
    </row>
    <row r="2659" spans="1:15">
      <c r="A2659" t="s">
        <v>2977</v>
      </c>
      <c r="B2659" t="s">
        <v>2908</v>
      </c>
      <c r="C2659" t="s">
        <v>317</v>
      </c>
      <c r="D2659">
        <v>69</v>
      </c>
      <c r="E2659">
        <v>100</v>
      </c>
      <c r="F2659">
        <v>0</v>
      </c>
      <c r="G2659">
        <v>0</v>
      </c>
      <c r="H2659">
        <v>0</v>
      </c>
      <c r="I2659">
        <v>0</v>
      </c>
      <c r="J2659">
        <v>0</v>
      </c>
      <c r="K2659">
        <v>0</v>
      </c>
      <c r="L2659">
        <v>0</v>
      </c>
      <c r="M2659">
        <v>0</v>
      </c>
      <c r="N2659">
        <v>0</v>
      </c>
      <c r="O2659">
        <v>0</v>
      </c>
    </row>
    <row r="2660" spans="1:15">
      <c r="A2660" t="s">
        <v>2978</v>
      </c>
      <c r="B2660" t="s">
        <v>2908</v>
      </c>
      <c r="C2660" t="s">
        <v>317</v>
      </c>
      <c r="D2660">
        <v>70</v>
      </c>
      <c r="E2660">
        <v>100</v>
      </c>
      <c r="F2660">
        <v>0</v>
      </c>
      <c r="G2660">
        <v>0</v>
      </c>
      <c r="H2660">
        <v>0</v>
      </c>
      <c r="I2660">
        <v>0</v>
      </c>
      <c r="J2660">
        <v>0</v>
      </c>
      <c r="K2660">
        <v>0</v>
      </c>
      <c r="L2660">
        <v>0</v>
      </c>
      <c r="M2660">
        <v>0</v>
      </c>
      <c r="N2660">
        <v>0</v>
      </c>
      <c r="O2660">
        <v>0</v>
      </c>
    </row>
    <row r="2661" spans="1:15">
      <c r="A2661" t="s">
        <v>2979</v>
      </c>
      <c r="B2661" t="s">
        <v>2908</v>
      </c>
      <c r="C2661" t="s">
        <v>317</v>
      </c>
      <c r="D2661">
        <v>71</v>
      </c>
      <c r="E2661">
        <v>100</v>
      </c>
      <c r="F2661">
        <v>0</v>
      </c>
      <c r="G2661">
        <v>0</v>
      </c>
      <c r="H2661">
        <v>0</v>
      </c>
      <c r="I2661">
        <v>0</v>
      </c>
      <c r="J2661">
        <v>0</v>
      </c>
      <c r="K2661">
        <v>0</v>
      </c>
      <c r="L2661">
        <v>0</v>
      </c>
      <c r="M2661">
        <v>0</v>
      </c>
      <c r="N2661">
        <v>0</v>
      </c>
      <c r="O2661">
        <v>0</v>
      </c>
    </row>
    <row r="2662" spans="1:15">
      <c r="A2662" t="s">
        <v>2980</v>
      </c>
      <c r="B2662" t="s">
        <v>2908</v>
      </c>
      <c r="C2662" t="s">
        <v>317</v>
      </c>
      <c r="D2662">
        <v>72</v>
      </c>
      <c r="E2662">
        <v>100</v>
      </c>
      <c r="F2662">
        <v>0</v>
      </c>
      <c r="G2662">
        <v>0</v>
      </c>
      <c r="H2662">
        <v>0</v>
      </c>
      <c r="I2662">
        <v>0</v>
      </c>
      <c r="J2662">
        <v>0</v>
      </c>
      <c r="K2662">
        <v>0</v>
      </c>
      <c r="L2662">
        <v>0</v>
      </c>
      <c r="M2662">
        <v>0</v>
      </c>
      <c r="N2662">
        <v>0</v>
      </c>
      <c r="O2662">
        <v>0</v>
      </c>
    </row>
    <row r="2663" spans="1:15">
      <c r="A2663" t="s">
        <v>2981</v>
      </c>
      <c r="B2663" t="s">
        <v>2908</v>
      </c>
      <c r="C2663" t="s">
        <v>317</v>
      </c>
      <c r="D2663">
        <v>73</v>
      </c>
      <c r="E2663">
        <v>100</v>
      </c>
      <c r="F2663">
        <v>0</v>
      </c>
      <c r="G2663">
        <v>0</v>
      </c>
      <c r="H2663">
        <v>0</v>
      </c>
      <c r="I2663">
        <v>0</v>
      </c>
      <c r="J2663">
        <v>0</v>
      </c>
      <c r="K2663">
        <v>0</v>
      </c>
      <c r="L2663">
        <v>0</v>
      </c>
      <c r="M2663">
        <v>0</v>
      </c>
      <c r="N2663">
        <v>0</v>
      </c>
      <c r="O2663">
        <v>0</v>
      </c>
    </row>
    <row r="2664" spans="1:15">
      <c r="A2664" t="s">
        <v>2982</v>
      </c>
      <c r="B2664" t="s">
        <v>2908</v>
      </c>
      <c r="C2664" t="s">
        <v>317</v>
      </c>
      <c r="D2664">
        <v>74</v>
      </c>
      <c r="E2664">
        <v>100</v>
      </c>
      <c r="F2664">
        <v>0</v>
      </c>
      <c r="G2664">
        <v>0</v>
      </c>
      <c r="H2664">
        <v>0</v>
      </c>
      <c r="I2664">
        <v>0</v>
      </c>
      <c r="J2664">
        <v>0</v>
      </c>
      <c r="K2664">
        <v>0</v>
      </c>
      <c r="L2664">
        <v>0</v>
      </c>
      <c r="M2664">
        <v>0</v>
      </c>
      <c r="N2664">
        <v>0</v>
      </c>
      <c r="O2664">
        <v>0</v>
      </c>
    </row>
    <row r="2665" spans="1:15">
      <c r="A2665" t="s">
        <v>2983</v>
      </c>
      <c r="B2665" t="s">
        <v>2908</v>
      </c>
      <c r="C2665" t="s">
        <v>317</v>
      </c>
      <c r="D2665">
        <v>75</v>
      </c>
      <c r="E2665">
        <v>100</v>
      </c>
      <c r="F2665">
        <v>0</v>
      </c>
      <c r="G2665">
        <v>0</v>
      </c>
      <c r="H2665">
        <v>0</v>
      </c>
      <c r="I2665">
        <v>0</v>
      </c>
      <c r="J2665">
        <v>0</v>
      </c>
      <c r="K2665">
        <v>0</v>
      </c>
      <c r="L2665">
        <v>0</v>
      </c>
      <c r="M2665">
        <v>0</v>
      </c>
      <c r="N2665">
        <v>0</v>
      </c>
      <c r="O2665">
        <v>0</v>
      </c>
    </row>
    <row r="2666" spans="1:15">
      <c r="A2666" t="s">
        <v>2984</v>
      </c>
      <c r="B2666" t="s">
        <v>2908</v>
      </c>
      <c r="C2666" t="s">
        <v>317</v>
      </c>
      <c r="D2666">
        <v>76</v>
      </c>
      <c r="E2666">
        <v>100</v>
      </c>
      <c r="F2666">
        <v>0</v>
      </c>
      <c r="G2666">
        <v>0</v>
      </c>
      <c r="H2666">
        <v>0</v>
      </c>
      <c r="I2666">
        <v>0</v>
      </c>
      <c r="J2666">
        <v>0</v>
      </c>
      <c r="K2666">
        <v>0</v>
      </c>
      <c r="L2666">
        <v>0</v>
      </c>
      <c r="M2666">
        <v>0</v>
      </c>
      <c r="N2666">
        <v>0</v>
      </c>
      <c r="O2666">
        <v>0</v>
      </c>
    </row>
    <row r="2667" spans="1:15">
      <c r="A2667" t="s">
        <v>2985</v>
      </c>
      <c r="B2667" t="s">
        <v>2908</v>
      </c>
      <c r="C2667" t="s">
        <v>317</v>
      </c>
      <c r="D2667">
        <v>77</v>
      </c>
      <c r="E2667">
        <v>100</v>
      </c>
      <c r="F2667">
        <v>0</v>
      </c>
      <c r="G2667">
        <v>0</v>
      </c>
      <c r="H2667">
        <v>0</v>
      </c>
      <c r="I2667">
        <v>0</v>
      </c>
      <c r="J2667">
        <v>0</v>
      </c>
      <c r="K2667">
        <v>0</v>
      </c>
      <c r="L2667">
        <v>0</v>
      </c>
      <c r="M2667">
        <v>0</v>
      </c>
      <c r="N2667">
        <v>0</v>
      </c>
      <c r="O2667">
        <v>0</v>
      </c>
    </row>
    <row r="2668" spans="1:15">
      <c r="A2668" t="s">
        <v>2986</v>
      </c>
      <c r="B2668" t="s">
        <v>2908</v>
      </c>
      <c r="C2668" t="s">
        <v>317</v>
      </c>
      <c r="D2668">
        <v>78</v>
      </c>
      <c r="E2668">
        <v>100</v>
      </c>
      <c r="F2668">
        <v>0</v>
      </c>
      <c r="G2668">
        <v>0</v>
      </c>
      <c r="H2668">
        <v>0</v>
      </c>
      <c r="I2668">
        <v>0</v>
      </c>
      <c r="J2668">
        <v>0</v>
      </c>
      <c r="K2668">
        <v>0</v>
      </c>
      <c r="L2668">
        <v>0</v>
      </c>
      <c r="M2668">
        <v>0</v>
      </c>
      <c r="N2668">
        <v>0</v>
      </c>
      <c r="O2668">
        <v>0</v>
      </c>
    </row>
    <row r="2669" spans="1:15">
      <c r="A2669" t="s">
        <v>2987</v>
      </c>
      <c r="B2669" t="s">
        <v>2908</v>
      </c>
      <c r="C2669" t="s">
        <v>317</v>
      </c>
      <c r="D2669">
        <v>79</v>
      </c>
      <c r="E2669">
        <v>100</v>
      </c>
      <c r="F2669">
        <v>0</v>
      </c>
      <c r="G2669">
        <v>0</v>
      </c>
      <c r="H2669">
        <v>0</v>
      </c>
      <c r="I2669">
        <v>0</v>
      </c>
      <c r="J2669">
        <v>0</v>
      </c>
      <c r="K2669">
        <v>0</v>
      </c>
      <c r="L2669">
        <v>0</v>
      </c>
      <c r="M2669">
        <v>0</v>
      </c>
      <c r="N2669">
        <v>0</v>
      </c>
      <c r="O2669">
        <v>0</v>
      </c>
    </row>
    <row r="2670" spans="1:15">
      <c r="A2670" t="s">
        <v>2988</v>
      </c>
      <c r="B2670" t="s">
        <v>2908</v>
      </c>
      <c r="C2670" t="s">
        <v>317</v>
      </c>
      <c r="D2670">
        <v>80</v>
      </c>
      <c r="E2670">
        <v>100</v>
      </c>
      <c r="F2670">
        <v>0</v>
      </c>
      <c r="G2670">
        <v>0</v>
      </c>
      <c r="H2670">
        <v>0</v>
      </c>
      <c r="I2670">
        <v>0</v>
      </c>
      <c r="J2670">
        <v>0</v>
      </c>
      <c r="K2670">
        <v>0</v>
      </c>
      <c r="L2670">
        <v>0</v>
      </c>
      <c r="M2670">
        <v>0</v>
      </c>
      <c r="N2670">
        <v>0</v>
      </c>
      <c r="O2670">
        <v>0</v>
      </c>
    </row>
    <row r="2671" spans="1:15">
      <c r="A2671" t="s">
        <v>2989</v>
      </c>
      <c r="B2671" t="s">
        <v>2908</v>
      </c>
      <c r="C2671" t="s">
        <v>317</v>
      </c>
      <c r="D2671">
        <v>81</v>
      </c>
      <c r="E2671">
        <v>100</v>
      </c>
      <c r="F2671">
        <v>0</v>
      </c>
      <c r="G2671">
        <v>0</v>
      </c>
      <c r="H2671">
        <v>0</v>
      </c>
      <c r="I2671">
        <v>0</v>
      </c>
      <c r="J2671">
        <v>0</v>
      </c>
      <c r="K2671">
        <v>0</v>
      </c>
      <c r="L2671">
        <v>0</v>
      </c>
      <c r="M2671">
        <v>0</v>
      </c>
      <c r="N2671">
        <v>0</v>
      </c>
      <c r="O2671">
        <v>0</v>
      </c>
    </row>
    <row r="2672" spans="1:15">
      <c r="A2672" t="s">
        <v>2990</v>
      </c>
      <c r="B2672" t="s">
        <v>2908</v>
      </c>
      <c r="C2672" t="s">
        <v>317</v>
      </c>
      <c r="D2672">
        <v>82</v>
      </c>
      <c r="E2672">
        <v>100</v>
      </c>
      <c r="F2672">
        <v>0</v>
      </c>
      <c r="G2672">
        <v>0</v>
      </c>
      <c r="H2672">
        <v>0</v>
      </c>
      <c r="I2672">
        <v>0</v>
      </c>
      <c r="J2672">
        <v>0</v>
      </c>
      <c r="K2672">
        <v>0</v>
      </c>
      <c r="L2672">
        <v>0</v>
      </c>
      <c r="M2672">
        <v>0</v>
      </c>
      <c r="N2672">
        <v>0</v>
      </c>
      <c r="O2672">
        <v>0</v>
      </c>
    </row>
    <row r="2673" spans="1:15">
      <c r="A2673" t="s">
        <v>2991</v>
      </c>
      <c r="B2673" t="s">
        <v>2908</v>
      </c>
      <c r="C2673" t="s">
        <v>317</v>
      </c>
      <c r="D2673">
        <v>83</v>
      </c>
      <c r="E2673">
        <v>100</v>
      </c>
      <c r="F2673">
        <v>0</v>
      </c>
      <c r="G2673">
        <v>0</v>
      </c>
      <c r="H2673">
        <v>0</v>
      </c>
      <c r="I2673">
        <v>0</v>
      </c>
      <c r="J2673">
        <v>0</v>
      </c>
      <c r="K2673">
        <v>0</v>
      </c>
      <c r="L2673">
        <v>0</v>
      </c>
      <c r="M2673">
        <v>0</v>
      </c>
      <c r="N2673">
        <v>0</v>
      </c>
      <c r="O2673">
        <v>0</v>
      </c>
    </row>
    <row r="2674" spans="1:15">
      <c r="A2674" t="s">
        <v>2992</v>
      </c>
      <c r="B2674" t="s">
        <v>2908</v>
      </c>
      <c r="C2674" t="s">
        <v>317</v>
      </c>
      <c r="D2674">
        <v>84</v>
      </c>
      <c r="E2674">
        <v>100</v>
      </c>
      <c r="F2674">
        <v>0</v>
      </c>
      <c r="G2674">
        <v>0</v>
      </c>
      <c r="H2674">
        <v>0</v>
      </c>
      <c r="I2674">
        <v>0</v>
      </c>
      <c r="J2674">
        <v>0</v>
      </c>
      <c r="K2674">
        <v>0</v>
      </c>
      <c r="L2674">
        <v>0</v>
      </c>
      <c r="M2674">
        <v>0</v>
      </c>
      <c r="N2674">
        <v>0</v>
      </c>
      <c r="O2674">
        <v>0</v>
      </c>
    </row>
    <row r="2675" spans="1:15">
      <c r="A2675" t="s">
        <v>2993</v>
      </c>
      <c r="B2675" t="s">
        <v>2908</v>
      </c>
      <c r="C2675" t="s">
        <v>317</v>
      </c>
      <c r="D2675">
        <v>85</v>
      </c>
      <c r="E2675">
        <v>100</v>
      </c>
      <c r="F2675">
        <v>0</v>
      </c>
      <c r="G2675">
        <v>0</v>
      </c>
      <c r="H2675">
        <v>0</v>
      </c>
      <c r="I2675">
        <v>0</v>
      </c>
      <c r="J2675">
        <v>0</v>
      </c>
      <c r="K2675">
        <v>0</v>
      </c>
      <c r="L2675">
        <v>0</v>
      </c>
      <c r="M2675">
        <v>0</v>
      </c>
      <c r="N2675">
        <v>0</v>
      </c>
      <c r="O2675">
        <v>0</v>
      </c>
    </row>
    <row r="2676" spans="1:15">
      <c r="A2676" t="s">
        <v>2994</v>
      </c>
      <c r="B2676" t="s">
        <v>2908</v>
      </c>
      <c r="C2676" t="s">
        <v>404</v>
      </c>
      <c r="D2676">
        <v>0</v>
      </c>
      <c r="E2676">
        <v>100</v>
      </c>
      <c r="F2676">
        <v>0</v>
      </c>
      <c r="G2676">
        <v>0</v>
      </c>
      <c r="H2676">
        <v>0</v>
      </c>
      <c r="I2676">
        <v>0</v>
      </c>
      <c r="J2676">
        <v>0</v>
      </c>
      <c r="K2676">
        <v>0</v>
      </c>
      <c r="L2676">
        <v>0</v>
      </c>
      <c r="M2676">
        <v>0</v>
      </c>
      <c r="N2676">
        <v>0</v>
      </c>
      <c r="O2676">
        <v>0</v>
      </c>
    </row>
    <row r="2677" spans="1:15">
      <c r="A2677" t="s">
        <v>2995</v>
      </c>
      <c r="B2677" t="s">
        <v>2908</v>
      </c>
      <c r="C2677" t="s">
        <v>404</v>
      </c>
      <c r="D2677">
        <v>1</v>
      </c>
      <c r="E2677">
        <v>100</v>
      </c>
      <c r="F2677">
        <v>0</v>
      </c>
      <c r="G2677">
        <v>0</v>
      </c>
      <c r="H2677">
        <v>0</v>
      </c>
      <c r="I2677">
        <v>0</v>
      </c>
      <c r="J2677">
        <v>0</v>
      </c>
      <c r="K2677">
        <v>0</v>
      </c>
      <c r="L2677">
        <v>0</v>
      </c>
      <c r="M2677">
        <v>0</v>
      </c>
      <c r="N2677">
        <v>0</v>
      </c>
      <c r="O2677">
        <v>0</v>
      </c>
    </row>
    <row r="2678" spans="1:15">
      <c r="A2678" t="s">
        <v>2996</v>
      </c>
      <c r="B2678" t="s">
        <v>2908</v>
      </c>
      <c r="C2678" t="s">
        <v>404</v>
      </c>
      <c r="D2678">
        <v>2</v>
      </c>
      <c r="E2678">
        <v>100</v>
      </c>
      <c r="F2678">
        <v>0</v>
      </c>
      <c r="G2678">
        <v>0</v>
      </c>
      <c r="H2678">
        <v>0</v>
      </c>
      <c r="I2678">
        <v>0</v>
      </c>
      <c r="J2678">
        <v>0</v>
      </c>
      <c r="K2678">
        <v>0</v>
      </c>
      <c r="L2678">
        <v>0</v>
      </c>
      <c r="M2678">
        <v>0</v>
      </c>
      <c r="N2678">
        <v>0</v>
      </c>
      <c r="O2678">
        <v>0</v>
      </c>
    </row>
    <row r="2679" spans="1:15">
      <c r="A2679" t="s">
        <v>2997</v>
      </c>
      <c r="B2679" t="s">
        <v>2908</v>
      </c>
      <c r="C2679" t="s">
        <v>404</v>
      </c>
      <c r="D2679">
        <v>3</v>
      </c>
      <c r="E2679">
        <v>100</v>
      </c>
      <c r="F2679">
        <v>0</v>
      </c>
      <c r="G2679">
        <v>0</v>
      </c>
      <c r="H2679">
        <v>0</v>
      </c>
      <c r="I2679">
        <v>0</v>
      </c>
      <c r="J2679">
        <v>0</v>
      </c>
      <c r="K2679">
        <v>0</v>
      </c>
      <c r="L2679">
        <v>0</v>
      </c>
      <c r="M2679">
        <v>0</v>
      </c>
      <c r="N2679">
        <v>0</v>
      </c>
      <c r="O2679">
        <v>0</v>
      </c>
    </row>
    <row r="2680" spans="1:15">
      <c r="A2680" t="s">
        <v>2998</v>
      </c>
      <c r="B2680" t="s">
        <v>2908</v>
      </c>
      <c r="C2680" t="s">
        <v>404</v>
      </c>
      <c r="D2680">
        <v>4</v>
      </c>
      <c r="E2680">
        <v>100</v>
      </c>
      <c r="F2680">
        <v>0</v>
      </c>
      <c r="G2680">
        <v>0</v>
      </c>
      <c r="H2680">
        <v>0</v>
      </c>
      <c r="I2680">
        <v>0</v>
      </c>
      <c r="J2680">
        <v>0</v>
      </c>
      <c r="K2680">
        <v>0</v>
      </c>
      <c r="L2680">
        <v>0</v>
      </c>
      <c r="M2680">
        <v>0</v>
      </c>
      <c r="N2680">
        <v>0</v>
      </c>
      <c r="O2680">
        <v>0</v>
      </c>
    </row>
    <row r="2681" spans="1:15">
      <c r="A2681" t="s">
        <v>2999</v>
      </c>
      <c r="B2681" t="s">
        <v>2908</v>
      </c>
      <c r="C2681" t="s">
        <v>404</v>
      </c>
      <c r="D2681">
        <v>5</v>
      </c>
      <c r="E2681">
        <v>100</v>
      </c>
      <c r="F2681">
        <v>0</v>
      </c>
      <c r="G2681">
        <v>0</v>
      </c>
      <c r="H2681">
        <v>0</v>
      </c>
      <c r="I2681">
        <v>0</v>
      </c>
      <c r="J2681">
        <v>0</v>
      </c>
      <c r="K2681">
        <v>0</v>
      </c>
      <c r="L2681">
        <v>0</v>
      </c>
      <c r="M2681">
        <v>0</v>
      </c>
      <c r="N2681">
        <v>0</v>
      </c>
      <c r="O2681">
        <v>0</v>
      </c>
    </row>
    <row r="2682" spans="1:15">
      <c r="A2682" t="s">
        <v>3000</v>
      </c>
      <c r="B2682" t="s">
        <v>2908</v>
      </c>
      <c r="C2682" t="s">
        <v>404</v>
      </c>
      <c r="D2682">
        <v>6</v>
      </c>
      <c r="E2682">
        <v>100</v>
      </c>
      <c r="F2682">
        <v>0</v>
      </c>
      <c r="G2682">
        <v>0</v>
      </c>
      <c r="H2682">
        <v>0</v>
      </c>
      <c r="I2682">
        <v>0</v>
      </c>
      <c r="J2682">
        <v>0</v>
      </c>
      <c r="K2682">
        <v>0</v>
      </c>
      <c r="L2682">
        <v>0</v>
      </c>
      <c r="M2682">
        <v>0</v>
      </c>
      <c r="N2682">
        <v>0</v>
      </c>
      <c r="O2682">
        <v>0</v>
      </c>
    </row>
    <row r="2683" spans="1:15">
      <c r="A2683" t="s">
        <v>3001</v>
      </c>
      <c r="B2683" t="s">
        <v>2908</v>
      </c>
      <c r="C2683" t="s">
        <v>404</v>
      </c>
      <c r="D2683">
        <v>7</v>
      </c>
      <c r="E2683">
        <v>100</v>
      </c>
      <c r="F2683">
        <v>0</v>
      </c>
      <c r="G2683">
        <v>0</v>
      </c>
      <c r="H2683">
        <v>0</v>
      </c>
      <c r="I2683">
        <v>0</v>
      </c>
      <c r="J2683">
        <v>0</v>
      </c>
      <c r="K2683">
        <v>0</v>
      </c>
      <c r="L2683">
        <v>0</v>
      </c>
      <c r="M2683">
        <v>0</v>
      </c>
      <c r="N2683">
        <v>0</v>
      </c>
      <c r="O2683">
        <v>0</v>
      </c>
    </row>
    <row r="2684" spans="1:15">
      <c r="A2684" t="s">
        <v>3002</v>
      </c>
      <c r="B2684" t="s">
        <v>2908</v>
      </c>
      <c r="C2684" t="s">
        <v>404</v>
      </c>
      <c r="D2684">
        <v>8</v>
      </c>
      <c r="E2684">
        <v>100</v>
      </c>
      <c r="F2684">
        <v>0</v>
      </c>
      <c r="G2684">
        <v>0</v>
      </c>
      <c r="H2684">
        <v>0</v>
      </c>
      <c r="I2684">
        <v>0</v>
      </c>
      <c r="J2684">
        <v>0</v>
      </c>
      <c r="K2684">
        <v>0</v>
      </c>
      <c r="L2684">
        <v>0</v>
      </c>
      <c r="M2684">
        <v>0</v>
      </c>
      <c r="N2684">
        <v>0</v>
      </c>
      <c r="O2684">
        <v>0</v>
      </c>
    </row>
    <row r="2685" spans="1:15">
      <c r="A2685" t="s">
        <v>3003</v>
      </c>
      <c r="B2685" t="s">
        <v>2908</v>
      </c>
      <c r="C2685" t="s">
        <v>404</v>
      </c>
      <c r="D2685">
        <v>9</v>
      </c>
      <c r="E2685">
        <v>100</v>
      </c>
      <c r="F2685">
        <v>0</v>
      </c>
      <c r="G2685">
        <v>0</v>
      </c>
      <c r="H2685">
        <v>0</v>
      </c>
      <c r="I2685">
        <v>0</v>
      </c>
      <c r="J2685">
        <v>0</v>
      </c>
      <c r="K2685">
        <v>0</v>
      </c>
      <c r="L2685">
        <v>0</v>
      </c>
      <c r="M2685">
        <v>0</v>
      </c>
      <c r="N2685">
        <v>0</v>
      </c>
      <c r="O2685">
        <v>0</v>
      </c>
    </row>
    <row r="2686" spans="1:15">
      <c r="A2686" t="s">
        <v>3004</v>
      </c>
      <c r="B2686" t="s">
        <v>2908</v>
      </c>
      <c r="C2686" t="s">
        <v>404</v>
      </c>
      <c r="D2686">
        <v>10</v>
      </c>
      <c r="E2686">
        <v>100</v>
      </c>
      <c r="F2686">
        <v>0</v>
      </c>
      <c r="G2686">
        <v>0</v>
      </c>
      <c r="H2686">
        <v>0</v>
      </c>
      <c r="I2686">
        <v>0</v>
      </c>
      <c r="J2686">
        <v>0</v>
      </c>
      <c r="K2686">
        <v>0</v>
      </c>
      <c r="L2686">
        <v>0</v>
      </c>
      <c r="M2686">
        <v>0</v>
      </c>
      <c r="N2686">
        <v>0</v>
      </c>
      <c r="O2686">
        <v>0</v>
      </c>
    </row>
    <row r="2687" spans="1:15">
      <c r="A2687" t="s">
        <v>3005</v>
      </c>
      <c r="B2687" t="s">
        <v>2908</v>
      </c>
      <c r="C2687" t="s">
        <v>404</v>
      </c>
      <c r="D2687">
        <v>11</v>
      </c>
      <c r="E2687">
        <v>100</v>
      </c>
      <c r="F2687">
        <v>0</v>
      </c>
      <c r="G2687">
        <v>0</v>
      </c>
      <c r="H2687">
        <v>0</v>
      </c>
      <c r="I2687">
        <v>0</v>
      </c>
      <c r="J2687">
        <v>0</v>
      </c>
      <c r="K2687">
        <v>0</v>
      </c>
      <c r="L2687">
        <v>0</v>
      </c>
      <c r="M2687">
        <v>0</v>
      </c>
      <c r="N2687">
        <v>0</v>
      </c>
      <c r="O2687">
        <v>0</v>
      </c>
    </row>
    <row r="2688" spans="1:15">
      <c r="A2688" t="s">
        <v>3006</v>
      </c>
      <c r="B2688" t="s">
        <v>2908</v>
      </c>
      <c r="C2688" t="s">
        <v>404</v>
      </c>
      <c r="D2688">
        <v>12</v>
      </c>
      <c r="E2688">
        <v>100</v>
      </c>
      <c r="F2688">
        <v>0</v>
      </c>
      <c r="G2688">
        <v>0</v>
      </c>
      <c r="H2688">
        <v>0</v>
      </c>
      <c r="I2688">
        <v>0</v>
      </c>
      <c r="J2688">
        <v>0</v>
      </c>
      <c r="K2688">
        <v>0</v>
      </c>
      <c r="L2688">
        <v>0</v>
      </c>
      <c r="M2688">
        <v>0</v>
      </c>
      <c r="N2688">
        <v>0</v>
      </c>
      <c r="O2688">
        <v>0</v>
      </c>
    </row>
    <row r="2689" spans="1:15">
      <c r="A2689" t="s">
        <v>3007</v>
      </c>
      <c r="B2689" t="s">
        <v>2908</v>
      </c>
      <c r="C2689" t="s">
        <v>404</v>
      </c>
      <c r="D2689">
        <v>13</v>
      </c>
      <c r="E2689">
        <v>100</v>
      </c>
      <c r="F2689">
        <v>0</v>
      </c>
      <c r="G2689">
        <v>0</v>
      </c>
      <c r="H2689">
        <v>0</v>
      </c>
      <c r="I2689">
        <v>0</v>
      </c>
      <c r="J2689">
        <v>0</v>
      </c>
      <c r="K2689">
        <v>0</v>
      </c>
      <c r="L2689">
        <v>0</v>
      </c>
      <c r="M2689">
        <v>0</v>
      </c>
      <c r="N2689">
        <v>0</v>
      </c>
      <c r="O2689">
        <v>0</v>
      </c>
    </row>
    <row r="2690" spans="1:15">
      <c r="A2690" t="s">
        <v>3008</v>
      </c>
      <c r="B2690" t="s">
        <v>2908</v>
      </c>
      <c r="C2690" t="s">
        <v>404</v>
      </c>
      <c r="D2690">
        <v>14</v>
      </c>
      <c r="E2690">
        <v>100</v>
      </c>
      <c r="F2690">
        <v>0</v>
      </c>
      <c r="G2690">
        <v>0</v>
      </c>
      <c r="H2690">
        <v>0</v>
      </c>
      <c r="I2690">
        <v>0</v>
      </c>
      <c r="J2690">
        <v>0</v>
      </c>
      <c r="K2690">
        <v>0</v>
      </c>
      <c r="L2690">
        <v>0</v>
      </c>
      <c r="M2690">
        <v>0</v>
      </c>
      <c r="N2690">
        <v>0</v>
      </c>
      <c r="O2690">
        <v>0</v>
      </c>
    </row>
    <row r="2691" spans="1:15">
      <c r="A2691" t="s">
        <v>3009</v>
      </c>
      <c r="B2691" t="s">
        <v>2908</v>
      </c>
      <c r="C2691" t="s">
        <v>404</v>
      </c>
      <c r="D2691">
        <v>15</v>
      </c>
      <c r="E2691">
        <v>100</v>
      </c>
      <c r="F2691">
        <v>0</v>
      </c>
      <c r="G2691">
        <v>0</v>
      </c>
      <c r="H2691">
        <v>0</v>
      </c>
      <c r="I2691">
        <v>0</v>
      </c>
      <c r="J2691">
        <v>0</v>
      </c>
      <c r="K2691">
        <v>0</v>
      </c>
      <c r="L2691">
        <v>0</v>
      </c>
      <c r="M2691">
        <v>0</v>
      </c>
      <c r="N2691">
        <v>0</v>
      </c>
      <c r="O2691">
        <v>0</v>
      </c>
    </row>
    <row r="2692" spans="1:15">
      <c r="A2692" t="s">
        <v>3010</v>
      </c>
      <c r="B2692" t="s">
        <v>2908</v>
      </c>
      <c r="C2692" t="s">
        <v>404</v>
      </c>
      <c r="D2692">
        <v>16</v>
      </c>
      <c r="E2692">
        <v>100</v>
      </c>
      <c r="F2692">
        <v>0</v>
      </c>
      <c r="G2692">
        <v>0</v>
      </c>
      <c r="H2692">
        <v>0</v>
      </c>
      <c r="I2692">
        <v>0</v>
      </c>
      <c r="J2692">
        <v>0</v>
      </c>
      <c r="K2692">
        <v>0</v>
      </c>
      <c r="L2692">
        <v>0</v>
      </c>
      <c r="M2692">
        <v>0</v>
      </c>
      <c r="N2692">
        <v>0</v>
      </c>
      <c r="O2692">
        <v>0</v>
      </c>
    </row>
    <row r="2693" spans="1:15">
      <c r="A2693" t="s">
        <v>3011</v>
      </c>
      <c r="B2693" t="s">
        <v>2908</v>
      </c>
      <c r="C2693" t="s">
        <v>404</v>
      </c>
      <c r="D2693">
        <v>17</v>
      </c>
      <c r="E2693">
        <v>100</v>
      </c>
      <c r="F2693">
        <v>0</v>
      </c>
      <c r="G2693">
        <v>0</v>
      </c>
      <c r="H2693">
        <v>0</v>
      </c>
      <c r="I2693">
        <v>0</v>
      </c>
      <c r="J2693">
        <v>0</v>
      </c>
      <c r="K2693">
        <v>0</v>
      </c>
      <c r="L2693">
        <v>0</v>
      </c>
      <c r="M2693">
        <v>0</v>
      </c>
      <c r="N2693">
        <v>0</v>
      </c>
      <c r="O2693">
        <v>0</v>
      </c>
    </row>
    <row r="2694" spans="1:15">
      <c r="A2694" t="s">
        <v>3012</v>
      </c>
      <c r="B2694" t="s">
        <v>2908</v>
      </c>
      <c r="C2694" t="s">
        <v>404</v>
      </c>
      <c r="D2694">
        <v>18</v>
      </c>
      <c r="E2694">
        <v>100</v>
      </c>
      <c r="F2694">
        <v>0</v>
      </c>
      <c r="G2694">
        <v>0</v>
      </c>
      <c r="H2694">
        <v>0</v>
      </c>
      <c r="I2694">
        <v>0</v>
      </c>
      <c r="J2694">
        <v>0</v>
      </c>
      <c r="K2694">
        <v>0</v>
      </c>
      <c r="L2694">
        <v>0</v>
      </c>
      <c r="M2694">
        <v>0</v>
      </c>
      <c r="N2694">
        <v>0</v>
      </c>
      <c r="O2694">
        <v>0</v>
      </c>
    </row>
    <row r="2695" spans="1:15">
      <c r="A2695" t="s">
        <v>3013</v>
      </c>
      <c r="B2695" t="s">
        <v>2908</v>
      </c>
      <c r="C2695" t="s">
        <v>404</v>
      </c>
      <c r="D2695">
        <v>19</v>
      </c>
      <c r="E2695">
        <v>100</v>
      </c>
      <c r="F2695">
        <v>0</v>
      </c>
      <c r="G2695">
        <v>0</v>
      </c>
      <c r="H2695">
        <v>0</v>
      </c>
      <c r="I2695">
        <v>0</v>
      </c>
      <c r="J2695">
        <v>0</v>
      </c>
      <c r="K2695">
        <v>0</v>
      </c>
      <c r="L2695">
        <v>0</v>
      </c>
      <c r="M2695">
        <v>0</v>
      </c>
      <c r="N2695">
        <v>0</v>
      </c>
      <c r="O2695">
        <v>0</v>
      </c>
    </row>
    <row r="2696" spans="1:15">
      <c r="A2696" t="s">
        <v>3014</v>
      </c>
      <c r="B2696" t="s">
        <v>2908</v>
      </c>
      <c r="C2696" t="s">
        <v>404</v>
      </c>
      <c r="D2696">
        <v>20</v>
      </c>
      <c r="E2696">
        <v>100</v>
      </c>
      <c r="F2696">
        <v>0</v>
      </c>
      <c r="G2696">
        <v>0</v>
      </c>
      <c r="H2696">
        <v>0</v>
      </c>
      <c r="I2696">
        <v>0</v>
      </c>
      <c r="J2696">
        <v>0</v>
      </c>
      <c r="K2696">
        <v>0</v>
      </c>
      <c r="L2696">
        <v>0</v>
      </c>
      <c r="M2696">
        <v>0</v>
      </c>
      <c r="N2696">
        <v>0</v>
      </c>
      <c r="O2696">
        <v>0</v>
      </c>
    </row>
    <row r="2697" spans="1:15">
      <c r="A2697" t="s">
        <v>3015</v>
      </c>
      <c r="B2697" t="s">
        <v>2908</v>
      </c>
      <c r="C2697" t="s">
        <v>404</v>
      </c>
      <c r="D2697">
        <v>21</v>
      </c>
      <c r="E2697">
        <v>100</v>
      </c>
      <c r="F2697">
        <v>0</v>
      </c>
      <c r="G2697">
        <v>0</v>
      </c>
      <c r="H2697">
        <v>0</v>
      </c>
      <c r="I2697">
        <v>0</v>
      </c>
      <c r="J2697">
        <v>0</v>
      </c>
      <c r="K2697">
        <v>0</v>
      </c>
      <c r="L2697">
        <v>0</v>
      </c>
      <c r="M2697">
        <v>0</v>
      </c>
      <c r="N2697">
        <v>0</v>
      </c>
      <c r="O2697">
        <v>0</v>
      </c>
    </row>
    <row r="2698" spans="1:15">
      <c r="A2698" t="s">
        <v>3016</v>
      </c>
      <c r="B2698" t="s">
        <v>2908</v>
      </c>
      <c r="C2698" t="s">
        <v>404</v>
      </c>
      <c r="D2698">
        <v>22</v>
      </c>
      <c r="E2698">
        <v>100</v>
      </c>
      <c r="F2698">
        <v>0</v>
      </c>
      <c r="G2698">
        <v>0</v>
      </c>
      <c r="H2698">
        <v>0</v>
      </c>
      <c r="I2698">
        <v>0</v>
      </c>
      <c r="J2698">
        <v>0</v>
      </c>
      <c r="K2698">
        <v>0</v>
      </c>
      <c r="L2698">
        <v>0</v>
      </c>
      <c r="M2698">
        <v>0</v>
      </c>
      <c r="N2698">
        <v>0</v>
      </c>
      <c r="O2698">
        <v>0</v>
      </c>
    </row>
    <row r="2699" spans="1:15">
      <c r="A2699" t="s">
        <v>3017</v>
      </c>
      <c r="B2699" t="s">
        <v>2908</v>
      </c>
      <c r="C2699" t="s">
        <v>404</v>
      </c>
      <c r="D2699">
        <v>23</v>
      </c>
      <c r="E2699">
        <v>100</v>
      </c>
      <c r="F2699">
        <v>0</v>
      </c>
      <c r="G2699">
        <v>0</v>
      </c>
      <c r="H2699">
        <v>0</v>
      </c>
      <c r="I2699">
        <v>0</v>
      </c>
      <c r="J2699">
        <v>0</v>
      </c>
      <c r="K2699">
        <v>0</v>
      </c>
      <c r="L2699">
        <v>0</v>
      </c>
      <c r="M2699">
        <v>0</v>
      </c>
      <c r="N2699">
        <v>0</v>
      </c>
      <c r="O2699">
        <v>0</v>
      </c>
    </row>
    <row r="2700" spans="1:15">
      <c r="A2700" t="s">
        <v>3018</v>
      </c>
      <c r="B2700" t="s">
        <v>2908</v>
      </c>
      <c r="C2700" t="s">
        <v>404</v>
      </c>
      <c r="D2700">
        <v>24</v>
      </c>
      <c r="E2700">
        <v>100</v>
      </c>
      <c r="F2700">
        <v>0</v>
      </c>
      <c r="G2700">
        <v>0</v>
      </c>
      <c r="H2700">
        <v>0</v>
      </c>
      <c r="I2700">
        <v>0</v>
      </c>
      <c r="J2700">
        <v>0</v>
      </c>
      <c r="K2700">
        <v>0</v>
      </c>
      <c r="L2700">
        <v>0</v>
      </c>
      <c r="M2700">
        <v>0</v>
      </c>
      <c r="N2700">
        <v>0</v>
      </c>
      <c r="O2700">
        <v>0</v>
      </c>
    </row>
    <row r="2701" spans="1:15">
      <c r="A2701" t="s">
        <v>3019</v>
      </c>
      <c r="B2701" t="s">
        <v>2908</v>
      </c>
      <c r="C2701" t="s">
        <v>404</v>
      </c>
      <c r="D2701">
        <v>25</v>
      </c>
      <c r="E2701">
        <v>100</v>
      </c>
      <c r="F2701">
        <v>0</v>
      </c>
      <c r="G2701">
        <v>0</v>
      </c>
      <c r="H2701">
        <v>0</v>
      </c>
      <c r="I2701">
        <v>0</v>
      </c>
      <c r="J2701">
        <v>0</v>
      </c>
      <c r="K2701">
        <v>0</v>
      </c>
      <c r="L2701">
        <v>0</v>
      </c>
      <c r="M2701">
        <v>0</v>
      </c>
      <c r="N2701">
        <v>0</v>
      </c>
      <c r="O2701">
        <v>0</v>
      </c>
    </row>
    <row r="2702" spans="1:15">
      <c r="A2702" t="s">
        <v>3020</v>
      </c>
      <c r="B2702" t="s">
        <v>2908</v>
      </c>
      <c r="C2702" t="s">
        <v>404</v>
      </c>
      <c r="D2702">
        <v>26</v>
      </c>
      <c r="E2702">
        <v>100</v>
      </c>
      <c r="F2702">
        <v>0</v>
      </c>
      <c r="G2702">
        <v>0</v>
      </c>
      <c r="H2702">
        <v>0</v>
      </c>
      <c r="I2702">
        <v>0</v>
      </c>
      <c r="J2702">
        <v>0</v>
      </c>
      <c r="K2702">
        <v>0</v>
      </c>
      <c r="L2702">
        <v>0</v>
      </c>
      <c r="M2702">
        <v>0</v>
      </c>
      <c r="N2702">
        <v>0</v>
      </c>
      <c r="O2702">
        <v>0</v>
      </c>
    </row>
    <row r="2703" spans="1:15">
      <c r="A2703" t="s">
        <v>3021</v>
      </c>
      <c r="B2703" t="s">
        <v>2908</v>
      </c>
      <c r="C2703" t="s">
        <v>404</v>
      </c>
      <c r="D2703">
        <v>27</v>
      </c>
      <c r="E2703">
        <v>100</v>
      </c>
      <c r="F2703">
        <v>0</v>
      </c>
      <c r="G2703">
        <v>0</v>
      </c>
      <c r="H2703">
        <v>0</v>
      </c>
      <c r="I2703">
        <v>0</v>
      </c>
      <c r="J2703">
        <v>0</v>
      </c>
      <c r="K2703">
        <v>0</v>
      </c>
      <c r="L2703">
        <v>0</v>
      </c>
      <c r="M2703">
        <v>0</v>
      </c>
      <c r="N2703">
        <v>0</v>
      </c>
      <c r="O2703">
        <v>0</v>
      </c>
    </row>
    <row r="2704" spans="1:15">
      <c r="A2704" t="s">
        <v>3022</v>
      </c>
      <c r="B2704" t="s">
        <v>2908</v>
      </c>
      <c r="C2704" t="s">
        <v>404</v>
      </c>
      <c r="D2704">
        <v>28</v>
      </c>
      <c r="E2704">
        <v>100</v>
      </c>
      <c r="F2704">
        <v>0</v>
      </c>
      <c r="G2704">
        <v>0</v>
      </c>
      <c r="H2704">
        <v>0</v>
      </c>
      <c r="I2704">
        <v>0</v>
      </c>
      <c r="J2704">
        <v>0</v>
      </c>
      <c r="K2704">
        <v>0</v>
      </c>
      <c r="L2704">
        <v>0</v>
      </c>
      <c r="M2704">
        <v>0</v>
      </c>
      <c r="N2704">
        <v>0</v>
      </c>
      <c r="O2704">
        <v>0</v>
      </c>
    </row>
    <row r="2705" spans="1:15">
      <c r="A2705" t="s">
        <v>3023</v>
      </c>
      <c r="B2705" t="s">
        <v>2908</v>
      </c>
      <c r="C2705" t="s">
        <v>404</v>
      </c>
      <c r="D2705">
        <v>29</v>
      </c>
      <c r="E2705">
        <v>100</v>
      </c>
      <c r="F2705">
        <v>0</v>
      </c>
      <c r="G2705">
        <v>0</v>
      </c>
      <c r="H2705">
        <v>0</v>
      </c>
      <c r="I2705">
        <v>0</v>
      </c>
      <c r="J2705">
        <v>0</v>
      </c>
      <c r="K2705">
        <v>0</v>
      </c>
      <c r="L2705">
        <v>0</v>
      </c>
      <c r="M2705">
        <v>0</v>
      </c>
      <c r="N2705">
        <v>0</v>
      </c>
      <c r="O2705">
        <v>0</v>
      </c>
    </row>
    <row r="2706" spans="1:15">
      <c r="A2706" t="s">
        <v>3024</v>
      </c>
      <c r="B2706" t="s">
        <v>2908</v>
      </c>
      <c r="C2706" t="s">
        <v>404</v>
      </c>
      <c r="D2706">
        <v>30</v>
      </c>
      <c r="E2706">
        <v>100</v>
      </c>
      <c r="F2706">
        <v>0</v>
      </c>
      <c r="G2706">
        <v>0</v>
      </c>
      <c r="H2706">
        <v>0</v>
      </c>
      <c r="I2706">
        <v>0</v>
      </c>
      <c r="J2706">
        <v>0</v>
      </c>
      <c r="K2706">
        <v>0</v>
      </c>
      <c r="L2706">
        <v>0</v>
      </c>
      <c r="M2706">
        <v>0</v>
      </c>
      <c r="N2706">
        <v>0</v>
      </c>
      <c r="O2706">
        <v>0</v>
      </c>
    </row>
    <row r="2707" spans="1:15">
      <c r="A2707" t="s">
        <v>3025</v>
      </c>
      <c r="B2707" t="s">
        <v>2908</v>
      </c>
      <c r="C2707" t="s">
        <v>404</v>
      </c>
      <c r="D2707">
        <v>31</v>
      </c>
      <c r="E2707">
        <v>100</v>
      </c>
      <c r="F2707">
        <v>0</v>
      </c>
      <c r="G2707">
        <v>0</v>
      </c>
      <c r="H2707">
        <v>0</v>
      </c>
      <c r="I2707">
        <v>0</v>
      </c>
      <c r="J2707">
        <v>0</v>
      </c>
      <c r="K2707">
        <v>0</v>
      </c>
      <c r="L2707">
        <v>0</v>
      </c>
      <c r="M2707">
        <v>0</v>
      </c>
      <c r="N2707">
        <v>0</v>
      </c>
      <c r="O2707">
        <v>0</v>
      </c>
    </row>
    <row r="2708" spans="1:15">
      <c r="A2708" t="s">
        <v>3026</v>
      </c>
      <c r="B2708" t="s">
        <v>2908</v>
      </c>
      <c r="C2708" t="s">
        <v>404</v>
      </c>
      <c r="D2708">
        <v>32</v>
      </c>
      <c r="E2708">
        <v>100</v>
      </c>
      <c r="F2708">
        <v>0</v>
      </c>
      <c r="G2708">
        <v>0</v>
      </c>
      <c r="H2708">
        <v>0</v>
      </c>
      <c r="I2708">
        <v>0</v>
      </c>
      <c r="J2708">
        <v>0</v>
      </c>
      <c r="K2708">
        <v>0</v>
      </c>
      <c r="L2708">
        <v>0</v>
      </c>
      <c r="M2708">
        <v>0</v>
      </c>
      <c r="N2708">
        <v>0</v>
      </c>
      <c r="O2708">
        <v>0</v>
      </c>
    </row>
    <row r="2709" spans="1:15">
      <c r="A2709" t="s">
        <v>3027</v>
      </c>
      <c r="B2709" t="s">
        <v>2908</v>
      </c>
      <c r="C2709" t="s">
        <v>404</v>
      </c>
      <c r="D2709">
        <v>33</v>
      </c>
      <c r="E2709">
        <v>100</v>
      </c>
      <c r="F2709">
        <v>0</v>
      </c>
      <c r="G2709">
        <v>0</v>
      </c>
      <c r="H2709">
        <v>0</v>
      </c>
      <c r="I2709">
        <v>0</v>
      </c>
      <c r="J2709">
        <v>0</v>
      </c>
      <c r="K2709">
        <v>0</v>
      </c>
      <c r="L2709">
        <v>0</v>
      </c>
      <c r="M2709">
        <v>0</v>
      </c>
      <c r="N2709">
        <v>0</v>
      </c>
      <c r="O2709">
        <v>0</v>
      </c>
    </row>
    <row r="2710" spans="1:15">
      <c r="A2710" t="s">
        <v>3028</v>
      </c>
      <c r="B2710" t="s">
        <v>2908</v>
      </c>
      <c r="C2710" t="s">
        <v>404</v>
      </c>
      <c r="D2710">
        <v>34</v>
      </c>
      <c r="E2710">
        <v>100</v>
      </c>
      <c r="F2710">
        <v>0</v>
      </c>
      <c r="G2710">
        <v>0</v>
      </c>
      <c r="H2710">
        <v>0</v>
      </c>
      <c r="I2710">
        <v>0</v>
      </c>
      <c r="J2710">
        <v>0</v>
      </c>
      <c r="K2710">
        <v>0</v>
      </c>
      <c r="L2710">
        <v>0</v>
      </c>
      <c r="M2710">
        <v>0</v>
      </c>
      <c r="N2710">
        <v>0</v>
      </c>
      <c r="O2710">
        <v>0</v>
      </c>
    </row>
    <row r="2711" spans="1:15">
      <c r="A2711" t="s">
        <v>3029</v>
      </c>
      <c r="B2711" t="s">
        <v>2908</v>
      </c>
      <c r="C2711" t="s">
        <v>404</v>
      </c>
      <c r="D2711">
        <v>35</v>
      </c>
      <c r="E2711">
        <v>100</v>
      </c>
      <c r="F2711">
        <v>0</v>
      </c>
      <c r="G2711">
        <v>0</v>
      </c>
      <c r="H2711">
        <v>0</v>
      </c>
      <c r="I2711">
        <v>0</v>
      </c>
      <c r="J2711">
        <v>0</v>
      </c>
      <c r="K2711">
        <v>0</v>
      </c>
      <c r="L2711">
        <v>0</v>
      </c>
      <c r="M2711">
        <v>0</v>
      </c>
      <c r="N2711">
        <v>0</v>
      </c>
      <c r="O2711">
        <v>0</v>
      </c>
    </row>
    <row r="2712" spans="1:15">
      <c r="A2712" t="s">
        <v>3030</v>
      </c>
      <c r="B2712" t="s">
        <v>2908</v>
      </c>
      <c r="C2712" t="s">
        <v>404</v>
      </c>
      <c r="D2712">
        <v>36</v>
      </c>
      <c r="E2712">
        <v>100</v>
      </c>
      <c r="F2712">
        <v>0</v>
      </c>
      <c r="G2712">
        <v>0</v>
      </c>
      <c r="H2712">
        <v>0</v>
      </c>
      <c r="I2712">
        <v>0</v>
      </c>
      <c r="J2712">
        <v>0</v>
      </c>
      <c r="K2712">
        <v>0</v>
      </c>
      <c r="L2712">
        <v>0</v>
      </c>
      <c r="M2712">
        <v>0</v>
      </c>
      <c r="N2712">
        <v>0</v>
      </c>
      <c r="O2712">
        <v>0</v>
      </c>
    </row>
    <row r="2713" spans="1:15">
      <c r="A2713" t="s">
        <v>3031</v>
      </c>
      <c r="B2713" t="s">
        <v>2908</v>
      </c>
      <c r="C2713" t="s">
        <v>404</v>
      </c>
      <c r="D2713">
        <v>37</v>
      </c>
      <c r="E2713">
        <v>100</v>
      </c>
      <c r="F2713">
        <v>0</v>
      </c>
      <c r="G2713">
        <v>0</v>
      </c>
      <c r="H2713">
        <v>0</v>
      </c>
      <c r="I2713">
        <v>0</v>
      </c>
      <c r="J2713">
        <v>0</v>
      </c>
      <c r="K2713">
        <v>0</v>
      </c>
      <c r="L2713">
        <v>0</v>
      </c>
      <c r="M2713">
        <v>0</v>
      </c>
      <c r="N2713">
        <v>0</v>
      </c>
      <c r="O2713">
        <v>0</v>
      </c>
    </row>
    <row r="2714" spans="1:15">
      <c r="A2714" t="s">
        <v>3032</v>
      </c>
      <c r="B2714" t="s">
        <v>2908</v>
      </c>
      <c r="C2714" t="s">
        <v>404</v>
      </c>
      <c r="D2714">
        <v>38</v>
      </c>
      <c r="E2714">
        <v>100</v>
      </c>
      <c r="F2714">
        <v>0</v>
      </c>
      <c r="G2714">
        <v>0</v>
      </c>
      <c r="H2714">
        <v>0</v>
      </c>
      <c r="I2714">
        <v>0</v>
      </c>
      <c r="J2714">
        <v>0</v>
      </c>
      <c r="K2714">
        <v>0</v>
      </c>
      <c r="L2714">
        <v>0</v>
      </c>
      <c r="M2714">
        <v>0</v>
      </c>
      <c r="N2714">
        <v>0</v>
      </c>
      <c r="O2714">
        <v>0</v>
      </c>
    </row>
    <row r="2715" spans="1:15">
      <c r="A2715" t="s">
        <v>3033</v>
      </c>
      <c r="B2715" t="s">
        <v>2908</v>
      </c>
      <c r="C2715" t="s">
        <v>404</v>
      </c>
      <c r="D2715">
        <v>39</v>
      </c>
      <c r="E2715">
        <v>100</v>
      </c>
      <c r="F2715">
        <v>0</v>
      </c>
      <c r="G2715">
        <v>0</v>
      </c>
      <c r="H2715">
        <v>0</v>
      </c>
      <c r="I2715">
        <v>0</v>
      </c>
      <c r="J2715">
        <v>0</v>
      </c>
      <c r="K2715">
        <v>0</v>
      </c>
      <c r="L2715">
        <v>0</v>
      </c>
      <c r="M2715">
        <v>0</v>
      </c>
      <c r="N2715">
        <v>0</v>
      </c>
      <c r="O2715">
        <v>0</v>
      </c>
    </row>
    <row r="2716" spans="1:15">
      <c r="A2716" t="s">
        <v>3034</v>
      </c>
      <c r="B2716" t="s">
        <v>2908</v>
      </c>
      <c r="C2716" t="s">
        <v>404</v>
      </c>
      <c r="D2716">
        <v>40</v>
      </c>
      <c r="E2716">
        <v>100</v>
      </c>
      <c r="F2716">
        <v>0</v>
      </c>
      <c r="G2716">
        <v>0</v>
      </c>
      <c r="H2716">
        <v>0</v>
      </c>
      <c r="I2716">
        <v>0</v>
      </c>
      <c r="J2716">
        <v>0</v>
      </c>
      <c r="K2716">
        <v>0</v>
      </c>
      <c r="L2716">
        <v>0</v>
      </c>
      <c r="M2716">
        <v>0</v>
      </c>
      <c r="N2716">
        <v>0</v>
      </c>
      <c r="O2716">
        <v>0</v>
      </c>
    </row>
    <row r="2717" spans="1:15">
      <c r="A2717" t="s">
        <v>3035</v>
      </c>
      <c r="B2717" t="s">
        <v>2908</v>
      </c>
      <c r="C2717" t="s">
        <v>404</v>
      </c>
      <c r="D2717">
        <v>41</v>
      </c>
      <c r="E2717">
        <v>100</v>
      </c>
      <c r="F2717">
        <v>0</v>
      </c>
      <c r="G2717">
        <v>0</v>
      </c>
      <c r="H2717">
        <v>0</v>
      </c>
      <c r="I2717">
        <v>0</v>
      </c>
      <c r="J2717">
        <v>0</v>
      </c>
      <c r="K2717">
        <v>0</v>
      </c>
      <c r="L2717">
        <v>0</v>
      </c>
      <c r="M2717">
        <v>0</v>
      </c>
      <c r="N2717">
        <v>0</v>
      </c>
      <c r="O2717">
        <v>0</v>
      </c>
    </row>
    <row r="2718" spans="1:15">
      <c r="A2718" t="s">
        <v>3036</v>
      </c>
      <c r="B2718" t="s">
        <v>2908</v>
      </c>
      <c r="C2718" t="s">
        <v>404</v>
      </c>
      <c r="D2718">
        <v>42</v>
      </c>
      <c r="E2718">
        <v>100</v>
      </c>
      <c r="F2718">
        <v>0</v>
      </c>
      <c r="G2718">
        <v>0</v>
      </c>
      <c r="H2718">
        <v>0</v>
      </c>
      <c r="I2718">
        <v>0</v>
      </c>
      <c r="J2718">
        <v>0</v>
      </c>
      <c r="K2718">
        <v>0</v>
      </c>
      <c r="L2718">
        <v>0</v>
      </c>
      <c r="M2718">
        <v>0</v>
      </c>
      <c r="N2718">
        <v>0</v>
      </c>
      <c r="O2718">
        <v>0</v>
      </c>
    </row>
    <row r="2719" spans="1:15">
      <c r="A2719" t="s">
        <v>3037</v>
      </c>
      <c r="B2719" t="s">
        <v>2908</v>
      </c>
      <c r="C2719" t="s">
        <v>404</v>
      </c>
      <c r="D2719">
        <v>43</v>
      </c>
      <c r="E2719">
        <v>100</v>
      </c>
      <c r="F2719">
        <v>0</v>
      </c>
      <c r="G2719">
        <v>0</v>
      </c>
      <c r="H2719">
        <v>0</v>
      </c>
      <c r="I2719">
        <v>0</v>
      </c>
      <c r="J2719">
        <v>0</v>
      </c>
      <c r="K2719">
        <v>0</v>
      </c>
      <c r="L2719">
        <v>0</v>
      </c>
      <c r="M2719">
        <v>0</v>
      </c>
      <c r="N2719">
        <v>0</v>
      </c>
      <c r="O2719">
        <v>0</v>
      </c>
    </row>
    <row r="2720" spans="1:15">
      <c r="A2720" t="s">
        <v>3038</v>
      </c>
      <c r="B2720" t="s">
        <v>2908</v>
      </c>
      <c r="C2720" t="s">
        <v>404</v>
      </c>
      <c r="D2720">
        <v>44</v>
      </c>
      <c r="E2720">
        <v>100</v>
      </c>
      <c r="F2720">
        <v>0</v>
      </c>
      <c r="G2720">
        <v>0</v>
      </c>
      <c r="H2720">
        <v>0</v>
      </c>
      <c r="I2720">
        <v>0</v>
      </c>
      <c r="J2720">
        <v>0</v>
      </c>
      <c r="K2720">
        <v>0</v>
      </c>
      <c r="L2720">
        <v>0</v>
      </c>
      <c r="M2720">
        <v>0</v>
      </c>
      <c r="N2720">
        <v>0</v>
      </c>
      <c r="O2720">
        <v>0</v>
      </c>
    </row>
    <row r="2721" spans="1:15">
      <c r="A2721" t="s">
        <v>3039</v>
      </c>
      <c r="B2721" t="s">
        <v>2908</v>
      </c>
      <c r="C2721" t="s">
        <v>404</v>
      </c>
      <c r="D2721">
        <v>45</v>
      </c>
      <c r="E2721">
        <v>100</v>
      </c>
      <c r="F2721">
        <v>0</v>
      </c>
      <c r="G2721">
        <v>0</v>
      </c>
      <c r="H2721">
        <v>0</v>
      </c>
      <c r="I2721">
        <v>0</v>
      </c>
      <c r="J2721">
        <v>0</v>
      </c>
      <c r="K2721">
        <v>0</v>
      </c>
      <c r="L2721">
        <v>0</v>
      </c>
      <c r="M2721">
        <v>0</v>
      </c>
      <c r="N2721">
        <v>0</v>
      </c>
      <c r="O2721">
        <v>0</v>
      </c>
    </row>
    <row r="2722" spans="1:15">
      <c r="A2722" t="s">
        <v>3040</v>
      </c>
      <c r="B2722" t="s">
        <v>2908</v>
      </c>
      <c r="C2722" t="s">
        <v>404</v>
      </c>
      <c r="D2722">
        <v>46</v>
      </c>
      <c r="E2722">
        <v>100</v>
      </c>
      <c r="F2722">
        <v>0</v>
      </c>
      <c r="G2722">
        <v>0</v>
      </c>
      <c r="H2722">
        <v>0</v>
      </c>
      <c r="I2722">
        <v>0</v>
      </c>
      <c r="J2722">
        <v>0</v>
      </c>
      <c r="K2722">
        <v>0</v>
      </c>
      <c r="L2722">
        <v>0</v>
      </c>
      <c r="M2722">
        <v>0</v>
      </c>
      <c r="N2722">
        <v>0</v>
      </c>
      <c r="O2722">
        <v>0</v>
      </c>
    </row>
    <row r="2723" spans="1:15">
      <c r="A2723" t="s">
        <v>3041</v>
      </c>
      <c r="B2723" t="s">
        <v>2908</v>
      </c>
      <c r="C2723" t="s">
        <v>404</v>
      </c>
      <c r="D2723">
        <v>47</v>
      </c>
      <c r="E2723">
        <v>100</v>
      </c>
      <c r="F2723">
        <v>0</v>
      </c>
      <c r="G2723">
        <v>0</v>
      </c>
      <c r="H2723">
        <v>0</v>
      </c>
      <c r="I2723">
        <v>0</v>
      </c>
      <c r="J2723">
        <v>0</v>
      </c>
      <c r="K2723">
        <v>0</v>
      </c>
      <c r="L2723">
        <v>0</v>
      </c>
      <c r="M2723">
        <v>0</v>
      </c>
      <c r="N2723">
        <v>0</v>
      </c>
      <c r="O2723">
        <v>0</v>
      </c>
    </row>
    <row r="2724" spans="1:15">
      <c r="A2724" t="s">
        <v>3042</v>
      </c>
      <c r="B2724" t="s">
        <v>2908</v>
      </c>
      <c r="C2724" t="s">
        <v>404</v>
      </c>
      <c r="D2724">
        <v>48</v>
      </c>
      <c r="E2724">
        <v>100</v>
      </c>
      <c r="F2724">
        <v>0</v>
      </c>
      <c r="G2724">
        <v>0</v>
      </c>
      <c r="H2724">
        <v>0</v>
      </c>
      <c r="I2724">
        <v>0</v>
      </c>
      <c r="J2724">
        <v>0</v>
      </c>
      <c r="K2724">
        <v>0</v>
      </c>
      <c r="L2724">
        <v>0</v>
      </c>
      <c r="M2724">
        <v>0</v>
      </c>
      <c r="N2724">
        <v>0</v>
      </c>
      <c r="O2724">
        <v>0</v>
      </c>
    </row>
    <row r="2725" spans="1:15">
      <c r="A2725" t="s">
        <v>3043</v>
      </c>
      <c r="B2725" t="s">
        <v>2908</v>
      </c>
      <c r="C2725" t="s">
        <v>404</v>
      </c>
      <c r="D2725">
        <v>49</v>
      </c>
      <c r="E2725">
        <v>100</v>
      </c>
      <c r="F2725">
        <v>0</v>
      </c>
      <c r="G2725">
        <v>0</v>
      </c>
      <c r="H2725">
        <v>0</v>
      </c>
      <c r="I2725">
        <v>0</v>
      </c>
      <c r="J2725">
        <v>0</v>
      </c>
      <c r="K2725">
        <v>0</v>
      </c>
      <c r="L2725">
        <v>0</v>
      </c>
      <c r="M2725">
        <v>0</v>
      </c>
      <c r="N2725">
        <v>0</v>
      </c>
      <c r="O2725">
        <v>0</v>
      </c>
    </row>
    <row r="2726" spans="1:15">
      <c r="A2726" t="s">
        <v>3044</v>
      </c>
      <c r="B2726" t="s">
        <v>2908</v>
      </c>
      <c r="C2726" t="s">
        <v>404</v>
      </c>
      <c r="D2726">
        <v>50</v>
      </c>
      <c r="E2726">
        <v>100</v>
      </c>
      <c r="F2726">
        <v>0</v>
      </c>
      <c r="G2726">
        <v>0</v>
      </c>
      <c r="H2726">
        <v>0</v>
      </c>
      <c r="I2726">
        <v>0</v>
      </c>
      <c r="J2726">
        <v>0</v>
      </c>
      <c r="K2726">
        <v>0</v>
      </c>
      <c r="L2726">
        <v>0</v>
      </c>
      <c r="M2726">
        <v>0</v>
      </c>
      <c r="N2726">
        <v>0</v>
      </c>
      <c r="O2726">
        <v>0</v>
      </c>
    </row>
    <row r="2727" spans="1:15">
      <c r="A2727" t="s">
        <v>3045</v>
      </c>
      <c r="B2727" t="s">
        <v>2908</v>
      </c>
      <c r="C2727" t="s">
        <v>404</v>
      </c>
      <c r="D2727">
        <v>51</v>
      </c>
      <c r="E2727">
        <v>100</v>
      </c>
      <c r="F2727">
        <v>0</v>
      </c>
      <c r="G2727">
        <v>0</v>
      </c>
      <c r="H2727">
        <v>0</v>
      </c>
      <c r="I2727">
        <v>0</v>
      </c>
      <c r="J2727">
        <v>0</v>
      </c>
      <c r="K2727">
        <v>0</v>
      </c>
      <c r="L2727">
        <v>0</v>
      </c>
      <c r="M2727">
        <v>0</v>
      </c>
      <c r="N2727">
        <v>0</v>
      </c>
      <c r="O2727">
        <v>0</v>
      </c>
    </row>
    <row r="2728" spans="1:15">
      <c r="A2728" t="s">
        <v>3046</v>
      </c>
      <c r="B2728" t="s">
        <v>2908</v>
      </c>
      <c r="C2728" t="s">
        <v>404</v>
      </c>
      <c r="D2728">
        <v>52</v>
      </c>
      <c r="E2728">
        <v>100</v>
      </c>
      <c r="F2728">
        <v>0</v>
      </c>
      <c r="G2728">
        <v>0</v>
      </c>
      <c r="H2728">
        <v>0</v>
      </c>
      <c r="I2728">
        <v>0</v>
      </c>
      <c r="J2728">
        <v>0</v>
      </c>
      <c r="K2728">
        <v>0</v>
      </c>
      <c r="L2728">
        <v>0</v>
      </c>
      <c r="M2728">
        <v>0</v>
      </c>
      <c r="N2728">
        <v>0</v>
      </c>
      <c r="O2728">
        <v>0</v>
      </c>
    </row>
    <row r="2729" spans="1:15">
      <c r="A2729" t="s">
        <v>3047</v>
      </c>
      <c r="B2729" t="s">
        <v>2908</v>
      </c>
      <c r="C2729" t="s">
        <v>404</v>
      </c>
      <c r="D2729">
        <v>53</v>
      </c>
      <c r="E2729">
        <v>100</v>
      </c>
      <c r="F2729">
        <v>0</v>
      </c>
      <c r="G2729">
        <v>0</v>
      </c>
      <c r="H2729">
        <v>0</v>
      </c>
      <c r="I2729">
        <v>0</v>
      </c>
      <c r="J2729">
        <v>0</v>
      </c>
      <c r="K2729">
        <v>0</v>
      </c>
      <c r="L2729">
        <v>0</v>
      </c>
      <c r="M2729">
        <v>0</v>
      </c>
      <c r="N2729">
        <v>0</v>
      </c>
      <c r="O2729">
        <v>0</v>
      </c>
    </row>
    <row r="2730" spans="1:15">
      <c r="A2730" t="s">
        <v>3048</v>
      </c>
      <c r="B2730" t="s">
        <v>2908</v>
      </c>
      <c r="C2730" t="s">
        <v>404</v>
      </c>
      <c r="D2730">
        <v>54</v>
      </c>
      <c r="E2730">
        <v>100</v>
      </c>
      <c r="F2730">
        <v>0</v>
      </c>
      <c r="G2730">
        <v>0</v>
      </c>
      <c r="H2730">
        <v>0</v>
      </c>
      <c r="I2730">
        <v>0</v>
      </c>
      <c r="J2730">
        <v>0</v>
      </c>
      <c r="K2730">
        <v>0</v>
      </c>
      <c r="L2730">
        <v>0</v>
      </c>
      <c r="M2730">
        <v>0</v>
      </c>
      <c r="N2730">
        <v>0</v>
      </c>
      <c r="O2730">
        <v>0</v>
      </c>
    </row>
    <row r="2731" spans="1:15">
      <c r="A2731" t="s">
        <v>3049</v>
      </c>
      <c r="B2731" t="s">
        <v>2908</v>
      </c>
      <c r="C2731" t="s">
        <v>404</v>
      </c>
      <c r="D2731">
        <v>55</v>
      </c>
      <c r="E2731">
        <v>100</v>
      </c>
      <c r="F2731">
        <v>0</v>
      </c>
      <c r="G2731">
        <v>0</v>
      </c>
      <c r="H2731">
        <v>0</v>
      </c>
      <c r="I2731">
        <v>0</v>
      </c>
      <c r="J2731">
        <v>0</v>
      </c>
      <c r="K2731">
        <v>0</v>
      </c>
      <c r="L2731">
        <v>0</v>
      </c>
      <c r="M2731">
        <v>0</v>
      </c>
      <c r="N2731">
        <v>0</v>
      </c>
      <c r="O2731">
        <v>0</v>
      </c>
    </row>
    <row r="2732" spans="1:15">
      <c r="A2732" t="s">
        <v>3050</v>
      </c>
      <c r="B2732" t="s">
        <v>2908</v>
      </c>
      <c r="C2732" t="s">
        <v>404</v>
      </c>
      <c r="D2732">
        <v>56</v>
      </c>
      <c r="E2732">
        <v>100</v>
      </c>
      <c r="F2732">
        <v>0</v>
      </c>
      <c r="G2732">
        <v>0</v>
      </c>
      <c r="H2732">
        <v>0</v>
      </c>
      <c r="I2732">
        <v>0</v>
      </c>
      <c r="J2732">
        <v>0</v>
      </c>
      <c r="K2732">
        <v>0</v>
      </c>
      <c r="L2732">
        <v>0</v>
      </c>
      <c r="M2732">
        <v>0</v>
      </c>
      <c r="N2732">
        <v>0</v>
      </c>
      <c r="O2732">
        <v>0</v>
      </c>
    </row>
    <row r="2733" spans="1:15">
      <c r="A2733" t="s">
        <v>3051</v>
      </c>
      <c r="B2733" t="s">
        <v>2908</v>
      </c>
      <c r="C2733" t="s">
        <v>404</v>
      </c>
      <c r="D2733">
        <v>57</v>
      </c>
      <c r="E2733">
        <v>100</v>
      </c>
      <c r="F2733">
        <v>0</v>
      </c>
      <c r="G2733">
        <v>0</v>
      </c>
      <c r="H2733">
        <v>0</v>
      </c>
      <c r="I2733">
        <v>0</v>
      </c>
      <c r="J2733">
        <v>0</v>
      </c>
      <c r="K2733">
        <v>0</v>
      </c>
      <c r="L2733">
        <v>0</v>
      </c>
      <c r="M2733">
        <v>0</v>
      </c>
      <c r="N2733">
        <v>0</v>
      </c>
      <c r="O2733">
        <v>0</v>
      </c>
    </row>
    <row r="2734" spans="1:15">
      <c r="A2734" t="s">
        <v>3052</v>
      </c>
      <c r="B2734" t="s">
        <v>2908</v>
      </c>
      <c r="C2734" t="s">
        <v>404</v>
      </c>
      <c r="D2734">
        <v>58</v>
      </c>
      <c r="E2734">
        <v>100</v>
      </c>
      <c r="F2734">
        <v>0</v>
      </c>
      <c r="G2734">
        <v>0</v>
      </c>
      <c r="H2734">
        <v>0</v>
      </c>
      <c r="I2734">
        <v>0</v>
      </c>
      <c r="J2734">
        <v>0</v>
      </c>
      <c r="K2734">
        <v>0</v>
      </c>
      <c r="L2734">
        <v>0</v>
      </c>
      <c r="M2734">
        <v>0</v>
      </c>
      <c r="N2734">
        <v>0</v>
      </c>
      <c r="O2734">
        <v>0</v>
      </c>
    </row>
    <row r="2735" spans="1:15">
      <c r="A2735" t="s">
        <v>3053</v>
      </c>
      <c r="B2735" t="s">
        <v>2908</v>
      </c>
      <c r="C2735" t="s">
        <v>404</v>
      </c>
      <c r="D2735">
        <v>59</v>
      </c>
      <c r="E2735">
        <v>100</v>
      </c>
      <c r="F2735">
        <v>0</v>
      </c>
      <c r="G2735">
        <v>0</v>
      </c>
      <c r="H2735">
        <v>0</v>
      </c>
      <c r="I2735">
        <v>0</v>
      </c>
      <c r="J2735">
        <v>0</v>
      </c>
      <c r="K2735">
        <v>0</v>
      </c>
      <c r="L2735">
        <v>0</v>
      </c>
      <c r="M2735">
        <v>0</v>
      </c>
      <c r="N2735">
        <v>0</v>
      </c>
      <c r="O2735">
        <v>0</v>
      </c>
    </row>
    <row r="2736" spans="1:15">
      <c r="A2736" t="s">
        <v>3054</v>
      </c>
      <c r="B2736" t="s">
        <v>2908</v>
      </c>
      <c r="C2736" t="s">
        <v>404</v>
      </c>
      <c r="D2736">
        <v>60</v>
      </c>
      <c r="E2736">
        <v>100</v>
      </c>
      <c r="F2736">
        <v>0</v>
      </c>
      <c r="G2736">
        <v>0</v>
      </c>
      <c r="H2736">
        <v>0</v>
      </c>
      <c r="I2736">
        <v>0</v>
      </c>
      <c r="J2736">
        <v>0</v>
      </c>
      <c r="K2736">
        <v>0</v>
      </c>
      <c r="L2736">
        <v>0</v>
      </c>
      <c r="M2736">
        <v>0</v>
      </c>
      <c r="N2736">
        <v>0</v>
      </c>
      <c r="O2736">
        <v>0</v>
      </c>
    </row>
    <row r="2737" spans="1:15">
      <c r="A2737" t="s">
        <v>3055</v>
      </c>
      <c r="B2737" t="s">
        <v>2908</v>
      </c>
      <c r="C2737" t="s">
        <v>404</v>
      </c>
      <c r="D2737">
        <v>61</v>
      </c>
      <c r="E2737">
        <v>100</v>
      </c>
      <c r="F2737">
        <v>0</v>
      </c>
      <c r="G2737">
        <v>0</v>
      </c>
      <c r="H2737">
        <v>0</v>
      </c>
      <c r="I2737">
        <v>0</v>
      </c>
      <c r="J2737">
        <v>0</v>
      </c>
      <c r="K2737">
        <v>0</v>
      </c>
      <c r="L2737">
        <v>0</v>
      </c>
      <c r="M2737">
        <v>0</v>
      </c>
      <c r="N2737">
        <v>0</v>
      </c>
      <c r="O2737">
        <v>0</v>
      </c>
    </row>
    <row r="2738" spans="1:15">
      <c r="A2738" t="s">
        <v>3056</v>
      </c>
      <c r="B2738" t="s">
        <v>2908</v>
      </c>
      <c r="C2738" t="s">
        <v>404</v>
      </c>
      <c r="D2738">
        <v>62</v>
      </c>
      <c r="E2738">
        <v>100</v>
      </c>
      <c r="F2738">
        <v>0</v>
      </c>
      <c r="G2738">
        <v>0</v>
      </c>
      <c r="H2738">
        <v>0</v>
      </c>
      <c r="I2738">
        <v>0</v>
      </c>
      <c r="J2738">
        <v>0</v>
      </c>
      <c r="K2738">
        <v>0</v>
      </c>
      <c r="L2738">
        <v>0</v>
      </c>
      <c r="M2738">
        <v>0</v>
      </c>
      <c r="N2738">
        <v>0</v>
      </c>
      <c r="O2738">
        <v>0</v>
      </c>
    </row>
    <row r="2739" spans="1:15">
      <c r="A2739" t="s">
        <v>3057</v>
      </c>
      <c r="B2739" t="s">
        <v>2908</v>
      </c>
      <c r="C2739" t="s">
        <v>404</v>
      </c>
      <c r="D2739">
        <v>63</v>
      </c>
      <c r="E2739">
        <v>100</v>
      </c>
      <c r="F2739">
        <v>0</v>
      </c>
      <c r="G2739">
        <v>0</v>
      </c>
      <c r="H2739">
        <v>0</v>
      </c>
      <c r="I2739">
        <v>0</v>
      </c>
      <c r="J2739">
        <v>0</v>
      </c>
      <c r="K2739">
        <v>0</v>
      </c>
      <c r="L2739">
        <v>0</v>
      </c>
      <c r="M2739">
        <v>0</v>
      </c>
      <c r="N2739">
        <v>0</v>
      </c>
      <c r="O2739">
        <v>0</v>
      </c>
    </row>
    <row r="2740" spans="1:15">
      <c r="A2740" t="s">
        <v>3058</v>
      </c>
      <c r="B2740" t="s">
        <v>2908</v>
      </c>
      <c r="C2740" t="s">
        <v>404</v>
      </c>
      <c r="D2740">
        <v>64</v>
      </c>
      <c r="E2740">
        <v>100</v>
      </c>
      <c r="F2740">
        <v>0</v>
      </c>
      <c r="G2740">
        <v>0</v>
      </c>
      <c r="H2740">
        <v>0</v>
      </c>
      <c r="I2740">
        <v>0</v>
      </c>
      <c r="J2740">
        <v>0</v>
      </c>
      <c r="K2740">
        <v>0</v>
      </c>
      <c r="L2740">
        <v>0</v>
      </c>
      <c r="M2740">
        <v>0</v>
      </c>
      <c r="N2740">
        <v>0</v>
      </c>
      <c r="O2740">
        <v>0</v>
      </c>
    </row>
    <row r="2741" spans="1:15">
      <c r="A2741" t="s">
        <v>3059</v>
      </c>
      <c r="B2741" t="s">
        <v>2908</v>
      </c>
      <c r="C2741" t="s">
        <v>404</v>
      </c>
      <c r="D2741">
        <v>65</v>
      </c>
      <c r="E2741">
        <v>100</v>
      </c>
      <c r="F2741">
        <v>0</v>
      </c>
      <c r="G2741">
        <v>0</v>
      </c>
      <c r="H2741">
        <v>0</v>
      </c>
      <c r="I2741">
        <v>0</v>
      </c>
      <c r="J2741">
        <v>0</v>
      </c>
      <c r="K2741">
        <v>0</v>
      </c>
      <c r="L2741">
        <v>0</v>
      </c>
      <c r="M2741">
        <v>0</v>
      </c>
      <c r="N2741">
        <v>0</v>
      </c>
      <c r="O2741">
        <v>0</v>
      </c>
    </row>
    <row r="2742" spans="1:15">
      <c r="A2742" t="s">
        <v>3060</v>
      </c>
      <c r="B2742" t="s">
        <v>2908</v>
      </c>
      <c r="C2742" t="s">
        <v>404</v>
      </c>
      <c r="D2742">
        <v>66</v>
      </c>
      <c r="E2742">
        <v>100</v>
      </c>
      <c r="F2742">
        <v>0</v>
      </c>
      <c r="G2742">
        <v>0</v>
      </c>
      <c r="H2742">
        <v>0</v>
      </c>
      <c r="I2742">
        <v>0</v>
      </c>
      <c r="J2742">
        <v>0</v>
      </c>
      <c r="K2742">
        <v>0</v>
      </c>
      <c r="L2742">
        <v>0</v>
      </c>
      <c r="M2742">
        <v>0</v>
      </c>
      <c r="N2742">
        <v>0</v>
      </c>
      <c r="O2742">
        <v>0</v>
      </c>
    </row>
    <row r="2743" spans="1:15">
      <c r="A2743" t="s">
        <v>3061</v>
      </c>
      <c r="B2743" t="s">
        <v>2908</v>
      </c>
      <c r="C2743" t="s">
        <v>404</v>
      </c>
      <c r="D2743">
        <v>67</v>
      </c>
      <c r="E2743">
        <v>100</v>
      </c>
      <c r="F2743">
        <v>0</v>
      </c>
      <c r="G2743">
        <v>0</v>
      </c>
      <c r="H2743">
        <v>0</v>
      </c>
      <c r="I2743">
        <v>0</v>
      </c>
      <c r="J2743">
        <v>0</v>
      </c>
      <c r="K2743">
        <v>0</v>
      </c>
      <c r="L2743">
        <v>0</v>
      </c>
      <c r="M2743">
        <v>0</v>
      </c>
      <c r="N2743">
        <v>0</v>
      </c>
      <c r="O2743">
        <v>0</v>
      </c>
    </row>
    <row r="2744" spans="1:15">
      <c r="A2744" t="s">
        <v>3062</v>
      </c>
      <c r="B2744" t="s">
        <v>2908</v>
      </c>
      <c r="C2744" t="s">
        <v>404</v>
      </c>
      <c r="D2744">
        <v>68</v>
      </c>
      <c r="E2744">
        <v>100</v>
      </c>
      <c r="F2744">
        <v>0</v>
      </c>
      <c r="G2744">
        <v>0</v>
      </c>
      <c r="H2744">
        <v>0</v>
      </c>
      <c r="I2744">
        <v>0</v>
      </c>
      <c r="J2744">
        <v>0</v>
      </c>
      <c r="K2744">
        <v>0</v>
      </c>
      <c r="L2744">
        <v>0</v>
      </c>
      <c r="M2744">
        <v>0</v>
      </c>
      <c r="N2744">
        <v>0</v>
      </c>
      <c r="O2744">
        <v>0</v>
      </c>
    </row>
    <row r="2745" spans="1:15">
      <c r="A2745" t="s">
        <v>3063</v>
      </c>
      <c r="B2745" t="s">
        <v>2908</v>
      </c>
      <c r="C2745" t="s">
        <v>404</v>
      </c>
      <c r="D2745">
        <v>69</v>
      </c>
      <c r="E2745">
        <v>100</v>
      </c>
      <c r="F2745">
        <v>0</v>
      </c>
      <c r="G2745">
        <v>0</v>
      </c>
      <c r="H2745">
        <v>0</v>
      </c>
      <c r="I2745">
        <v>0</v>
      </c>
      <c r="J2745">
        <v>0</v>
      </c>
      <c r="K2745">
        <v>0</v>
      </c>
      <c r="L2745">
        <v>0</v>
      </c>
      <c r="M2745">
        <v>0</v>
      </c>
      <c r="N2745">
        <v>0</v>
      </c>
      <c r="O2745">
        <v>0</v>
      </c>
    </row>
    <row r="2746" spans="1:15">
      <c r="A2746" t="s">
        <v>3064</v>
      </c>
      <c r="B2746" t="s">
        <v>2908</v>
      </c>
      <c r="C2746" t="s">
        <v>404</v>
      </c>
      <c r="D2746">
        <v>70</v>
      </c>
      <c r="E2746">
        <v>100</v>
      </c>
      <c r="F2746">
        <v>0</v>
      </c>
      <c r="G2746">
        <v>0</v>
      </c>
      <c r="H2746">
        <v>0</v>
      </c>
      <c r="I2746">
        <v>0</v>
      </c>
      <c r="J2746">
        <v>0</v>
      </c>
      <c r="K2746">
        <v>0</v>
      </c>
      <c r="L2746">
        <v>0</v>
      </c>
      <c r="M2746">
        <v>0</v>
      </c>
      <c r="N2746">
        <v>0</v>
      </c>
      <c r="O2746">
        <v>0</v>
      </c>
    </row>
    <row r="2747" spans="1:15">
      <c r="A2747" t="s">
        <v>3065</v>
      </c>
      <c r="B2747" t="s">
        <v>2908</v>
      </c>
      <c r="C2747" t="s">
        <v>404</v>
      </c>
      <c r="D2747">
        <v>71</v>
      </c>
      <c r="E2747">
        <v>100</v>
      </c>
      <c r="F2747">
        <v>0</v>
      </c>
      <c r="G2747">
        <v>0</v>
      </c>
      <c r="H2747">
        <v>0</v>
      </c>
      <c r="I2747">
        <v>0</v>
      </c>
      <c r="J2747">
        <v>0</v>
      </c>
      <c r="K2747">
        <v>0</v>
      </c>
      <c r="L2747">
        <v>0</v>
      </c>
      <c r="M2747">
        <v>0</v>
      </c>
      <c r="N2747">
        <v>0</v>
      </c>
      <c r="O2747">
        <v>0</v>
      </c>
    </row>
    <row r="2748" spans="1:15">
      <c r="A2748" t="s">
        <v>3066</v>
      </c>
      <c r="B2748" t="s">
        <v>2908</v>
      </c>
      <c r="C2748" t="s">
        <v>404</v>
      </c>
      <c r="D2748">
        <v>72</v>
      </c>
      <c r="E2748">
        <v>100</v>
      </c>
      <c r="F2748">
        <v>0</v>
      </c>
      <c r="G2748">
        <v>0</v>
      </c>
      <c r="H2748">
        <v>0</v>
      </c>
      <c r="I2748">
        <v>0</v>
      </c>
      <c r="J2748">
        <v>0</v>
      </c>
      <c r="K2748">
        <v>0</v>
      </c>
      <c r="L2748">
        <v>0</v>
      </c>
      <c r="M2748">
        <v>0</v>
      </c>
      <c r="N2748">
        <v>0</v>
      </c>
      <c r="O2748">
        <v>0</v>
      </c>
    </row>
    <row r="2749" spans="1:15">
      <c r="A2749" t="s">
        <v>3067</v>
      </c>
      <c r="B2749" t="s">
        <v>2908</v>
      </c>
      <c r="C2749" t="s">
        <v>404</v>
      </c>
      <c r="D2749">
        <v>73</v>
      </c>
      <c r="E2749">
        <v>100</v>
      </c>
      <c r="F2749">
        <v>0</v>
      </c>
      <c r="G2749">
        <v>0</v>
      </c>
      <c r="H2749">
        <v>0</v>
      </c>
      <c r="I2749">
        <v>0</v>
      </c>
      <c r="J2749">
        <v>0</v>
      </c>
      <c r="K2749">
        <v>0</v>
      </c>
      <c r="L2749">
        <v>0</v>
      </c>
      <c r="M2749">
        <v>0</v>
      </c>
      <c r="N2749">
        <v>0</v>
      </c>
      <c r="O2749">
        <v>0</v>
      </c>
    </row>
    <row r="2750" spans="1:15">
      <c r="A2750" t="s">
        <v>3068</v>
      </c>
      <c r="B2750" t="s">
        <v>2908</v>
      </c>
      <c r="C2750" t="s">
        <v>404</v>
      </c>
      <c r="D2750">
        <v>74</v>
      </c>
      <c r="E2750">
        <v>100</v>
      </c>
      <c r="F2750">
        <v>0</v>
      </c>
      <c r="G2750">
        <v>0</v>
      </c>
      <c r="H2750">
        <v>0</v>
      </c>
      <c r="I2750">
        <v>0</v>
      </c>
      <c r="J2750">
        <v>0</v>
      </c>
      <c r="K2750">
        <v>0</v>
      </c>
      <c r="L2750">
        <v>0</v>
      </c>
      <c r="M2750">
        <v>0</v>
      </c>
      <c r="N2750">
        <v>0</v>
      </c>
      <c r="O2750">
        <v>0</v>
      </c>
    </row>
    <row r="2751" spans="1:15">
      <c r="A2751" t="s">
        <v>3069</v>
      </c>
      <c r="B2751" t="s">
        <v>2908</v>
      </c>
      <c r="C2751" t="s">
        <v>404</v>
      </c>
      <c r="D2751">
        <v>75</v>
      </c>
      <c r="E2751">
        <v>100</v>
      </c>
      <c r="F2751">
        <v>0</v>
      </c>
      <c r="G2751">
        <v>0</v>
      </c>
      <c r="H2751">
        <v>0</v>
      </c>
      <c r="I2751">
        <v>0</v>
      </c>
      <c r="J2751">
        <v>0</v>
      </c>
      <c r="K2751">
        <v>0</v>
      </c>
      <c r="L2751">
        <v>0</v>
      </c>
      <c r="M2751">
        <v>0</v>
      </c>
      <c r="N2751">
        <v>0</v>
      </c>
      <c r="O2751">
        <v>0</v>
      </c>
    </row>
    <row r="2752" spans="1:15">
      <c r="A2752" t="s">
        <v>3070</v>
      </c>
      <c r="B2752" t="s">
        <v>2908</v>
      </c>
      <c r="C2752" t="s">
        <v>404</v>
      </c>
      <c r="D2752">
        <v>76</v>
      </c>
      <c r="E2752">
        <v>100</v>
      </c>
      <c r="F2752">
        <v>0</v>
      </c>
      <c r="G2752">
        <v>0</v>
      </c>
      <c r="H2752">
        <v>0</v>
      </c>
      <c r="I2752">
        <v>0</v>
      </c>
      <c r="J2752">
        <v>0</v>
      </c>
      <c r="K2752">
        <v>0</v>
      </c>
      <c r="L2752">
        <v>0</v>
      </c>
      <c r="M2752">
        <v>0</v>
      </c>
      <c r="N2752">
        <v>0</v>
      </c>
      <c r="O2752">
        <v>0</v>
      </c>
    </row>
    <row r="2753" spans="1:15">
      <c r="A2753" t="s">
        <v>3071</v>
      </c>
      <c r="B2753" t="s">
        <v>2908</v>
      </c>
      <c r="C2753" t="s">
        <v>404</v>
      </c>
      <c r="D2753">
        <v>77</v>
      </c>
      <c r="E2753">
        <v>100</v>
      </c>
      <c r="F2753">
        <v>0</v>
      </c>
      <c r="G2753">
        <v>0</v>
      </c>
      <c r="H2753">
        <v>0</v>
      </c>
      <c r="I2753">
        <v>0</v>
      </c>
      <c r="J2753">
        <v>0</v>
      </c>
      <c r="K2753">
        <v>0</v>
      </c>
      <c r="L2753">
        <v>0</v>
      </c>
      <c r="M2753">
        <v>0</v>
      </c>
      <c r="N2753">
        <v>0</v>
      </c>
      <c r="O2753">
        <v>0</v>
      </c>
    </row>
    <row r="2754" spans="1:15">
      <c r="A2754" t="s">
        <v>3072</v>
      </c>
      <c r="B2754" t="s">
        <v>2908</v>
      </c>
      <c r="C2754" t="s">
        <v>404</v>
      </c>
      <c r="D2754">
        <v>78</v>
      </c>
      <c r="E2754">
        <v>100</v>
      </c>
      <c r="F2754">
        <v>0</v>
      </c>
      <c r="G2754">
        <v>0</v>
      </c>
      <c r="H2754">
        <v>0</v>
      </c>
      <c r="I2754">
        <v>0</v>
      </c>
      <c r="J2754">
        <v>0</v>
      </c>
      <c r="K2754">
        <v>0</v>
      </c>
      <c r="L2754">
        <v>0</v>
      </c>
      <c r="M2754">
        <v>0</v>
      </c>
      <c r="N2754">
        <v>0</v>
      </c>
      <c r="O2754">
        <v>0</v>
      </c>
    </row>
    <row r="2755" spans="1:15">
      <c r="A2755" t="s">
        <v>3073</v>
      </c>
      <c r="B2755" t="s">
        <v>2908</v>
      </c>
      <c r="C2755" t="s">
        <v>404</v>
      </c>
      <c r="D2755">
        <v>79</v>
      </c>
      <c r="E2755">
        <v>100</v>
      </c>
      <c r="F2755">
        <v>0</v>
      </c>
      <c r="G2755">
        <v>0</v>
      </c>
      <c r="H2755">
        <v>0</v>
      </c>
      <c r="I2755">
        <v>0</v>
      </c>
      <c r="J2755">
        <v>0</v>
      </c>
      <c r="K2755">
        <v>0</v>
      </c>
      <c r="L2755">
        <v>0</v>
      </c>
      <c r="M2755">
        <v>0</v>
      </c>
      <c r="N2755">
        <v>0</v>
      </c>
      <c r="O2755">
        <v>0</v>
      </c>
    </row>
    <row r="2756" spans="1:15">
      <c r="A2756" t="s">
        <v>3074</v>
      </c>
      <c r="B2756" t="s">
        <v>2908</v>
      </c>
      <c r="C2756" t="s">
        <v>404</v>
      </c>
      <c r="D2756">
        <v>80</v>
      </c>
      <c r="E2756">
        <v>100</v>
      </c>
      <c r="F2756">
        <v>0</v>
      </c>
      <c r="G2756">
        <v>0</v>
      </c>
      <c r="H2756">
        <v>0</v>
      </c>
      <c r="I2756">
        <v>0</v>
      </c>
      <c r="J2756">
        <v>0</v>
      </c>
      <c r="K2756">
        <v>0</v>
      </c>
      <c r="L2756">
        <v>0</v>
      </c>
      <c r="M2756">
        <v>0</v>
      </c>
      <c r="N2756">
        <v>0</v>
      </c>
      <c r="O2756">
        <v>0</v>
      </c>
    </row>
    <row r="2757" spans="1:15">
      <c r="A2757" t="s">
        <v>3075</v>
      </c>
      <c r="B2757" t="s">
        <v>2908</v>
      </c>
      <c r="C2757" t="s">
        <v>404</v>
      </c>
      <c r="D2757">
        <v>81</v>
      </c>
      <c r="E2757">
        <v>100</v>
      </c>
      <c r="F2757">
        <v>0</v>
      </c>
      <c r="G2757">
        <v>0</v>
      </c>
      <c r="H2757">
        <v>0</v>
      </c>
      <c r="I2757">
        <v>0</v>
      </c>
      <c r="J2757">
        <v>0</v>
      </c>
      <c r="K2757">
        <v>0</v>
      </c>
      <c r="L2757">
        <v>0</v>
      </c>
      <c r="M2757">
        <v>0</v>
      </c>
      <c r="N2757">
        <v>0</v>
      </c>
      <c r="O2757">
        <v>0</v>
      </c>
    </row>
    <row r="2758" spans="1:15">
      <c r="A2758" t="s">
        <v>3076</v>
      </c>
      <c r="B2758" t="s">
        <v>2908</v>
      </c>
      <c r="C2758" t="s">
        <v>404</v>
      </c>
      <c r="D2758">
        <v>82</v>
      </c>
      <c r="E2758">
        <v>100</v>
      </c>
      <c r="F2758">
        <v>0</v>
      </c>
      <c r="G2758">
        <v>0</v>
      </c>
      <c r="H2758">
        <v>0</v>
      </c>
      <c r="I2758">
        <v>0</v>
      </c>
      <c r="J2758">
        <v>0</v>
      </c>
      <c r="K2758">
        <v>0</v>
      </c>
      <c r="L2758">
        <v>0</v>
      </c>
      <c r="M2758">
        <v>0</v>
      </c>
      <c r="N2758">
        <v>0</v>
      </c>
      <c r="O2758">
        <v>0</v>
      </c>
    </row>
    <row r="2759" spans="1:15">
      <c r="A2759" t="s">
        <v>3077</v>
      </c>
      <c r="B2759" t="s">
        <v>2908</v>
      </c>
      <c r="C2759" t="s">
        <v>404</v>
      </c>
      <c r="D2759">
        <v>83</v>
      </c>
      <c r="E2759">
        <v>100</v>
      </c>
      <c r="F2759">
        <v>0</v>
      </c>
      <c r="G2759">
        <v>0</v>
      </c>
      <c r="H2759">
        <v>0</v>
      </c>
      <c r="I2759">
        <v>0</v>
      </c>
      <c r="J2759">
        <v>0</v>
      </c>
      <c r="K2759">
        <v>0</v>
      </c>
      <c r="L2759">
        <v>0</v>
      </c>
      <c r="M2759">
        <v>0</v>
      </c>
      <c r="N2759">
        <v>0</v>
      </c>
      <c r="O2759">
        <v>0</v>
      </c>
    </row>
    <row r="2760" spans="1:15">
      <c r="A2760" t="s">
        <v>3078</v>
      </c>
      <c r="B2760" t="s">
        <v>2908</v>
      </c>
      <c r="C2760" t="s">
        <v>404</v>
      </c>
      <c r="D2760">
        <v>84</v>
      </c>
      <c r="E2760">
        <v>100</v>
      </c>
      <c r="F2760">
        <v>0</v>
      </c>
      <c r="G2760">
        <v>0</v>
      </c>
      <c r="H2760">
        <v>0</v>
      </c>
      <c r="I2760">
        <v>0</v>
      </c>
      <c r="J2760">
        <v>0</v>
      </c>
      <c r="K2760">
        <v>0</v>
      </c>
      <c r="L2760">
        <v>0</v>
      </c>
      <c r="M2760">
        <v>0</v>
      </c>
      <c r="N2760">
        <v>0</v>
      </c>
      <c r="O2760">
        <v>0</v>
      </c>
    </row>
    <row r="2761" spans="1:15">
      <c r="A2761" t="s">
        <v>3079</v>
      </c>
      <c r="B2761" t="s">
        <v>2908</v>
      </c>
      <c r="C2761" t="s">
        <v>404</v>
      </c>
      <c r="D2761">
        <v>85</v>
      </c>
      <c r="E2761">
        <v>100</v>
      </c>
      <c r="F2761">
        <v>0</v>
      </c>
      <c r="G2761">
        <v>0</v>
      </c>
      <c r="H2761">
        <v>0</v>
      </c>
      <c r="I2761">
        <v>0</v>
      </c>
      <c r="J2761">
        <v>0</v>
      </c>
      <c r="K2761">
        <v>0</v>
      </c>
      <c r="L2761">
        <v>0</v>
      </c>
      <c r="M2761">
        <v>0</v>
      </c>
      <c r="N2761">
        <v>0</v>
      </c>
      <c r="O2761">
        <v>0</v>
      </c>
    </row>
    <row r="2763" spans="1:15">
      <c r="A2763" t="s">
        <v>3080</v>
      </c>
      <c r="B2763" t="s">
        <v>3081</v>
      </c>
      <c r="C2763" t="s">
        <v>317</v>
      </c>
      <c r="D2763">
        <v>0</v>
      </c>
      <c r="E2763">
        <v>100</v>
      </c>
      <c r="F2763">
        <v>0</v>
      </c>
      <c r="G2763">
        <v>0</v>
      </c>
      <c r="H2763">
        <v>0</v>
      </c>
      <c r="I2763">
        <v>0</v>
      </c>
      <c r="J2763">
        <v>0</v>
      </c>
      <c r="K2763">
        <v>0</v>
      </c>
      <c r="L2763">
        <v>0</v>
      </c>
      <c r="M2763">
        <v>0</v>
      </c>
      <c r="N2763">
        <v>0</v>
      </c>
      <c r="O2763">
        <v>0</v>
      </c>
    </row>
    <row r="2764" spans="1:15">
      <c r="A2764" t="s">
        <v>3082</v>
      </c>
      <c r="B2764" t="s">
        <v>3081</v>
      </c>
      <c r="C2764" t="s">
        <v>317</v>
      </c>
      <c r="D2764">
        <v>1</v>
      </c>
      <c r="E2764">
        <v>100</v>
      </c>
      <c r="F2764">
        <v>0</v>
      </c>
      <c r="G2764">
        <v>0</v>
      </c>
      <c r="H2764">
        <v>0</v>
      </c>
      <c r="I2764">
        <v>0</v>
      </c>
      <c r="J2764">
        <v>0</v>
      </c>
      <c r="K2764">
        <v>0</v>
      </c>
      <c r="L2764">
        <v>0</v>
      </c>
      <c r="M2764">
        <v>0</v>
      </c>
      <c r="N2764">
        <v>0</v>
      </c>
      <c r="O2764">
        <v>0</v>
      </c>
    </row>
    <row r="2765" spans="1:15">
      <c r="A2765" t="s">
        <v>3083</v>
      </c>
      <c r="B2765" t="s">
        <v>3081</v>
      </c>
      <c r="C2765" t="s">
        <v>317</v>
      </c>
      <c r="D2765">
        <v>2</v>
      </c>
      <c r="E2765">
        <v>100</v>
      </c>
      <c r="F2765">
        <v>0</v>
      </c>
      <c r="G2765">
        <v>0</v>
      </c>
      <c r="H2765">
        <v>0</v>
      </c>
      <c r="I2765">
        <v>0</v>
      </c>
      <c r="J2765">
        <v>0</v>
      </c>
      <c r="K2765">
        <v>0</v>
      </c>
      <c r="L2765">
        <v>0</v>
      </c>
      <c r="M2765">
        <v>0</v>
      </c>
      <c r="N2765">
        <v>0</v>
      </c>
      <c r="O2765">
        <v>0</v>
      </c>
    </row>
    <row r="2766" spans="1:15">
      <c r="A2766" t="s">
        <v>3084</v>
      </c>
      <c r="B2766" t="s">
        <v>3081</v>
      </c>
      <c r="C2766" t="s">
        <v>317</v>
      </c>
      <c r="D2766">
        <v>3</v>
      </c>
      <c r="E2766">
        <v>100</v>
      </c>
      <c r="F2766">
        <v>0</v>
      </c>
      <c r="G2766">
        <v>0</v>
      </c>
      <c r="H2766">
        <v>0</v>
      </c>
      <c r="I2766">
        <v>0</v>
      </c>
      <c r="J2766">
        <v>0</v>
      </c>
      <c r="K2766">
        <v>0</v>
      </c>
      <c r="L2766">
        <v>0</v>
      </c>
      <c r="M2766">
        <v>0</v>
      </c>
      <c r="N2766">
        <v>0</v>
      </c>
      <c r="O2766">
        <v>0</v>
      </c>
    </row>
    <row r="2767" spans="1:15">
      <c r="A2767" t="s">
        <v>3085</v>
      </c>
      <c r="B2767" t="s">
        <v>3081</v>
      </c>
      <c r="C2767" t="s">
        <v>317</v>
      </c>
      <c r="D2767">
        <v>4</v>
      </c>
      <c r="E2767">
        <v>100</v>
      </c>
      <c r="F2767">
        <v>0</v>
      </c>
      <c r="G2767">
        <v>0</v>
      </c>
      <c r="H2767">
        <v>0</v>
      </c>
      <c r="I2767">
        <v>0</v>
      </c>
      <c r="J2767">
        <v>0</v>
      </c>
      <c r="K2767">
        <v>0</v>
      </c>
      <c r="L2767">
        <v>0</v>
      </c>
      <c r="M2767">
        <v>0</v>
      </c>
      <c r="N2767">
        <v>0</v>
      </c>
      <c r="O2767">
        <v>0</v>
      </c>
    </row>
    <row r="2768" spans="1:15">
      <c r="A2768" t="s">
        <v>3086</v>
      </c>
      <c r="B2768" t="s">
        <v>3081</v>
      </c>
      <c r="C2768" t="s">
        <v>317</v>
      </c>
      <c r="D2768">
        <v>5</v>
      </c>
      <c r="E2768">
        <v>100</v>
      </c>
      <c r="F2768">
        <v>0</v>
      </c>
      <c r="G2768">
        <v>0</v>
      </c>
      <c r="H2768">
        <v>0</v>
      </c>
      <c r="I2768">
        <v>0</v>
      </c>
      <c r="J2768">
        <v>0</v>
      </c>
      <c r="K2768">
        <v>0</v>
      </c>
      <c r="L2768">
        <v>0</v>
      </c>
      <c r="M2768">
        <v>0</v>
      </c>
      <c r="N2768">
        <v>0</v>
      </c>
      <c r="O2768">
        <v>0</v>
      </c>
    </row>
    <row r="2769" spans="1:15">
      <c r="A2769" t="s">
        <v>3087</v>
      </c>
      <c r="B2769" t="s">
        <v>3081</v>
      </c>
      <c r="C2769" t="s">
        <v>317</v>
      </c>
      <c r="D2769">
        <v>6</v>
      </c>
      <c r="E2769">
        <v>100</v>
      </c>
      <c r="F2769">
        <v>0</v>
      </c>
      <c r="G2769">
        <v>0</v>
      </c>
      <c r="H2769">
        <v>0</v>
      </c>
      <c r="I2769">
        <v>0</v>
      </c>
      <c r="J2769">
        <v>0</v>
      </c>
      <c r="K2769">
        <v>0</v>
      </c>
      <c r="L2769">
        <v>0</v>
      </c>
      <c r="M2769">
        <v>0</v>
      </c>
      <c r="N2769">
        <v>0</v>
      </c>
      <c r="O2769">
        <v>0</v>
      </c>
    </row>
    <row r="2770" spans="1:15">
      <c r="A2770" t="s">
        <v>3088</v>
      </c>
      <c r="B2770" t="s">
        <v>3081</v>
      </c>
      <c r="C2770" t="s">
        <v>317</v>
      </c>
      <c r="D2770">
        <v>7</v>
      </c>
      <c r="E2770">
        <v>100</v>
      </c>
      <c r="F2770">
        <v>0</v>
      </c>
      <c r="G2770">
        <v>0</v>
      </c>
      <c r="H2770">
        <v>0</v>
      </c>
      <c r="I2770">
        <v>0</v>
      </c>
      <c r="J2770">
        <v>0</v>
      </c>
      <c r="K2770">
        <v>0</v>
      </c>
      <c r="L2770">
        <v>0</v>
      </c>
      <c r="M2770">
        <v>0</v>
      </c>
      <c r="N2770">
        <v>0</v>
      </c>
      <c r="O2770">
        <v>0</v>
      </c>
    </row>
    <row r="2771" spans="1:15">
      <c r="A2771" t="s">
        <v>3089</v>
      </c>
      <c r="B2771" t="s">
        <v>3081</v>
      </c>
      <c r="C2771" t="s">
        <v>317</v>
      </c>
      <c r="D2771">
        <v>8</v>
      </c>
      <c r="E2771">
        <v>100</v>
      </c>
      <c r="F2771">
        <v>0</v>
      </c>
      <c r="G2771">
        <v>0</v>
      </c>
      <c r="H2771">
        <v>0</v>
      </c>
      <c r="I2771">
        <v>0</v>
      </c>
      <c r="J2771">
        <v>0</v>
      </c>
      <c r="K2771">
        <v>0</v>
      </c>
      <c r="L2771">
        <v>0</v>
      </c>
      <c r="M2771">
        <v>0</v>
      </c>
      <c r="N2771">
        <v>0</v>
      </c>
      <c r="O2771">
        <v>0</v>
      </c>
    </row>
    <row r="2772" spans="1:15">
      <c r="A2772" t="s">
        <v>3090</v>
      </c>
      <c r="B2772" t="s">
        <v>3081</v>
      </c>
      <c r="C2772" t="s">
        <v>317</v>
      </c>
      <c r="D2772">
        <v>9</v>
      </c>
      <c r="E2772">
        <v>100</v>
      </c>
      <c r="F2772">
        <v>0</v>
      </c>
      <c r="G2772">
        <v>0</v>
      </c>
      <c r="H2772">
        <v>0</v>
      </c>
      <c r="I2772">
        <v>0</v>
      </c>
      <c r="J2772">
        <v>0</v>
      </c>
      <c r="K2772">
        <v>0</v>
      </c>
      <c r="L2772">
        <v>0</v>
      </c>
      <c r="M2772">
        <v>0</v>
      </c>
      <c r="N2772">
        <v>0</v>
      </c>
      <c r="O2772">
        <v>0</v>
      </c>
    </row>
    <row r="2773" spans="1:15">
      <c r="A2773" t="s">
        <v>3091</v>
      </c>
      <c r="B2773" t="s">
        <v>3081</v>
      </c>
      <c r="C2773" t="s">
        <v>317</v>
      </c>
      <c r="D2773">
        <v>10</v>
      </c>
      <c r="E2773">
        <v>100</v>
      </c>
      <c r="F2773">
        <v>0</v>
      </c>
      <c r="G2773">
        <v>0</v>
      </c>
      <c r="H2773">
        <v>0</v>
      </c>
      <c r="I2773">
        <v>0</v>
      </c>
      <c r="J2773">
        <v>0</v>
      </c>
      <c r="K2773">
        <v>0</v>
      </c>
      <c r="L2773">
        <v>0</v>
      </c>
      <c r="M2773">
        <v>0</v>
      </c>
      <c r="N2773">
        <v>0</v>
      </c>
      <c r="O2773">
        <v>0</v>
      </c>
    </row>
    <row r="2774" spans="1:15">
      <c r="A2774" t="s">
        <v>3092</v>
      </c>
      <c r="B2774" t="s">
        <v>3081</v>
      </c>
      <c r="C2774" t="s">
        <v>317</v>
      </c>
      <c r="D2774">
        <v>11</v>
      </c>
      <c r="E2774">
        <v>100</v>
      </c>
      <c r="F2774">
        <v>0</v>
      </c>
      <c r="G2774">
        <v>0</v>
      </c>
      <c r="H2774">
        <v>0</v>
      </c>
      <c r="I2774">
        <v>0</v>
      </c>
      <c r="J2774">
        <v>0</v>
      </c>
      <c r="K2774">
        <v>0</v>
      </c>
      <c r="L2774">
        <v>0</v>
      </c>
      <c r="M2774">
        <v>0</v>
      </c>
      <c r="N2774">
        <v>0</v>
      </c>
      <c r="O2774">
        <v>0</v>
      </c>
    </row>
    <row r="2775" spans="1:15">
      <c r="A2775" t="s">
        <v>3093</v>
      </c>
      <c r="B2775" t="s">
        <v>3081</v>
      </c>
      <c r="C2775" t="s">
        <v>317</v>
      </c>
      <c r="D2775">
        <v>12</v>
      </c>
      <c r="E2775">
        <v>100</v>
      </c>
      <c r="F2775">
        <v>0</v>
      </c>
      <c r="G2775">
        <v>0</v>
      </c>
      <c r="H2775">
        <v>0</v>
      </c>
      <c r="I2775">
        <v>0</v>
      </c>
      <c r="J2775">
        <v>0</v>
      </c>
      <c r="K2775">
        <v>0</v>
      </c>
      <c r="L2775">
        <v>0</v>
      </c>
      <c r="M2775">
        <v>0</v>
      </c>
      <c r="N2775">
        <v>0</v>
      </c>
      <c r="O2775">
        <v>0</v>
      </c>
    </row>
    <row r="2776" spans="1:15">
      <c r="A2776" t="s">
        <v>3094</v>
      </c>
      <c r="B2776" t="s">
        <v>3081</v>
      </c>
      <c r="C2776" t="s">
        <v>317</v>
      </c>
      <c r="D2776">
        <v>13</v>
      </c>
      <c r="E2776">
        <v>100</v>
      </c>
      <c r="F2776">
        <v>0</v>
      </c>
      <c r="G2776">
        <v>0</v>
      </c>
      <c r="H2776">
        <v>0</v>
      </c>
      <c r="I2776">
        <v>0</v>
      </c>
      <c r="J2776">
        <v>0</v>
      </c>
      <c r="K2776">
        <v>0</v>
      </c>
      <c r="L2776">
        <v>0</v>
      </c>
      <c r="M2776">
        <v>0</v>
      </c>
      <c r="N2776">
        <v>0</v>
      </c>
      <c r="O2776">
        <v>0</v>
      </c>
    </row>
    <row r="2777" spans="1:15">
      <c r="A2777" t="s">
        <v>3095</v>
      </c>
      <c r="B2777" t="s">
        <v>3081</v>
      </c>
      <c r="C2777" t="s">
        <v>317</v>
      </c>
      <c r="D2777">
        <v>14</v>
      </c>
      <c r="E2777">
        <v>100</v>
      </c>
      <c r="F2777">
        <v>0</v>
      </c>
      <c r="G2777">
        <v>0</v>
      </c>
      <c r="H2777">
        <v>0</v>
      </c>
      <c r="I2777">
        <v>0</v>
      </c>
      <c r="J2777">
        <v>0</v>
      </c>
      <c r="K2777">
        <v>0</v>
      </c>
      <c r="L2777">
        <v>0</v>
      </c>
      <c r="M2777">
        <v>0</v>
      </c>
      <c r="N2777">
        <v>0</v>
      </c>
      <c r="O2777">
        <v>0</v>
      </c>
    </row>
    <row r="2778" spans="1:15">
      <c r="A2778" t="s">
        <v>3096</v>
      </c>
      <c r="B2778" t="s">
        <v>3081</v>
      </c>
      <c r="C2778" t="s">
        <v>317</v>
      </c>
      <c r="D2778">
        <v>15</v>
      </c>
      <c r="E2778">
        <v>100</v>
      </c>
      <c r="F2778">
        <v>0</v>
      </c>
      <c r="G2778">
        <v>0</v>
      </c>
      <c r="H2778">
        <v>0</v>
      </c>
      <c r="I2778">
        <v>0</v>
      </c>
      <c r="J2778">
        <v>0</v>
      </c>
      <c r="K2778">
        <v>0</v>
      </c>
      <c r="L2778">
        <v>0</v>
      </c>
      <c r="M2778">
        <v>0</v>
      </c>
      <c r="N2778">
        <v>0</v>
      </c>
      <c r="O2778">
        <v>0</v>
      </c>
    </row>
    <row r="2779" spans="1:15">
      <c r="A2779" t="s">
        <v>3097</v>
      </c>
      <c r="B2779" t="s">
        <v>3081</v>
      </c>
      <c r="C2779" t="s">
        <v>317</v>
      </c>
      <c r="D2779">
        <v>16</v>
      </c>
      <c r="E2779">
        <v>100</v>
      </c>
      <c r="F2779">
        <v>0</v>
      </c>
      <c r="G2779">
        <v>0</v>
      </c>
      <c r="H2779">
        <v>0</v>
      </c>
      <c r="I2779">
        <v>0</v>
      </c>
      <c r="J2779">
        <v>0</v>
      </c>
      <c r="K2779">
        <v>0</v>
      </c>
      <c r="L2779">
        <v>0</v>
      </c>
      <c r="M2779">
        <v>0</v>
      </c>
      <c r="N2779">
        <v>0</v>
      </c>
      <c r="O2779">
        <v>0</v>
      </c>
    </row>
    <row r="2780" spans="1:15">
      <c r="A2780" t="s">
        <v>3098</v>
      </c>
      <c r="B2780" t="s">
        <v>3081</v>
      </c>
      <c r="C2780" t="s">
        <v>317</v>
      </c>
      <c r="D2780">
        <v>17</v>
      </c>
      <c r="E2780">
        <v>100</v>
      </c>
      <c r="F2780">
        <v>0</v>
      </c>
      <c r="G2780">
        <v>0</v>
      </c>
      <c r="H2780">
        <v>0</v>
      </c>
      <c r="I2780">
        <v>0</v>
      </c>
      <c r="J2780">
        <v>0</v>
      </c>
      <c r="K2780">
        <v>0</v>
      </c>
      <c r="L2780">
        <v>0</v>
      </c>
      <c r="M2780">
        <v>0</v>
      </c>
      <c r="N2780">
        <v>0</v>
      </c>
      <c r="O2780">
        <v>0</v>
      </c>
    </row>
    <row r="2781" spans="1:15">
      <c r="A2781" t="s">
        <v>3099</v>
      </c>
      <c r="B2781" t="s">
        <v>3081</v>
      </c>
      <c r="C2781" t="s">
        <v>317</v>
      </c>
      <c r="D2781">
        <v>18</v>
      </c>
      <c r="E2781">
        <v>100</v>
      </c>
      <c r="F2781">
        <v>0</v>
      </c>
      <c r="G2781">
        <v>0</v>
      </c>
      <c r="H2781">
        <v>0</v>
      </c>
      <c r="I2781">
        <v>0</v>
      </c>
      <c r="J2781">
        <v>0</v>
      </c>
      <c r="K2781">
        <v>0</v>
      </c>
      <c r="L2781">
        <v>0</v>
      </c>
      <c r="M2781">
        <v>0</v>
      </c>
      <c r="N2781">
        <v>0</v>
      </c>
      <c r="O2781">
        <v>0</v>
      </c>
    </row>
    <row r="2782" spans="1:15">
      <c r="A2782" t="s">
        <v>3100</v>
      </c>
      <c r="B2782" t="s">
        <v>3081</v>
      </c>
      <c r="C2782" t="s">
        <v>317</v>
      </c>
      <c r="D2782">
        <v>19</v>
      </c>
      <c r="E2782">
        <v>100</v>
      </c>
      <c r="F2782">
        <v>0</v>
      </c>
      <c r="G2782">
        <v>0</v>
      </c>
      <c r="H2782">
        <v>0</v>
      </c>
      <c r="I2782">
        <v>0</v>
      </c>
      <c r="J2782">
        <v>0</v>
      </c>
      <c r="K2782">
        <v>0</v>
      </c>
      <c r="L2782">
        <v>0</v>
      </c>
      <c r="M2782">
        <v>0</v>
      </c>
      <c r="N2782">
        <v>0</v>
      </c>
      <c r="O2782">
        <v>0</v>
      </c>
    </row>
    <row r="2783" spans="1:15">
      <c r="A2783" t="s">
        <v>3101</v>
      </c>
      <c r="B2783" t="s">
        <v>3081</v>
      </c>
      <c r="C2783" t="s">
        <v>317</v>
      </c>
      <c r="D2783">
        <v>20</v>
      </c>
      <c r="E2783">
        <v>100</v>
      </c>
      <c r="F2783">
        <v>0</v>
      </c>
      <c r="G2783">
        <v>0</v>
      </c>
      <c r="H2783">
        <v>0</v>
      </c>
      <c r="I2783">
        <v>0</v>
      </c>
      <c r="J2783">
        <v>0</v>
      </c>
      <c r="K2783">
        <v>0</v>
      </c>
      <c r="L2783">
        <v>0</v>
      </c>
      <c r="M2783">
        <v>0</v>
      </c>
      <c r="N2783">
        <v>0</v>
      </c>
      <c r="O2783">
        <v>0</v>
      </c>
    </row>
    <row r="2784" spans="1:15">
      <c r="A2784" t="s">
        <v>3102</v>
      </c>
      <c r="B2784" t="s">
        <v>3081</v>
      </c>
      <c r="C2784" t="s">
        <v>317</v>
      </c>
      <c r="D2784">
        <v>21</v>
      </c>
      <c r="E2784">
        <v>100</v>
      </c>
      <c r="F2784">
        <v>0</v>
      </c>
      <c r="G2784">
        <v>0</v>
      </c>
      <c r="H2784">
        <v>0</v>
      </c>
      <c r="I2784">
        <v>0</v>
      </c>
      <c r="J2784">
        <v>0</v>
      </c>
      <c r="K2784">
        <v>0</v>
      </c>
      <c r="L2784">
        <v>0</v>
      </c>
      <c r="M2784">
        <v>0</v>
      </c>
      <c r="N2784">
        <v>0</v>
      </c>
      <c r="O2784">
        <v>0</v>
      </c>
    </row>
    <row r="2785" spans="1:15">
      <c r="A2785" t="s">
        <v>3103</v>
      </c>
      <c r="B2785" t="s">
        <v>3081</v>
      </c>
      <c r="C2785" t="s">
        <v>317</v>
      </c>
      <c r="D2785">
        <v>22</v>
      </c>
      <c r="E2785">
        <v>100</v>
      </c>
      <c r="F2785">
        <v>0</v>
      </c>
      <c r="G2785">
        <v>0</v>
      </c>
      <c r="H2785">
        <v>0</v>
      </c>
      <c r="I2785">
        <v>0</v>
      </c>
      <c r="J2785">
        <v>0</v>
      </c>
      <c r="K2785">
        <v>0</v>
      </c>
      <c r="L2785">
        <v>0</v>
      </c>
      <c r="M2785">
        <v>0</v>
      </c>
      <c r="N2785">
        <v>0</v>
      </c>
      <c r="O2785">
        <v>0</v>
      </c>
    </row>
    <row r="2786" spans="1:15">
      <c r="A2786" t="s">
        <v>3104</v>
      </c>
      <c r="B2786" t="s">
        <v>3081</v>
      </c>
      <c r="C2786" t="s">
        <v>317</v>
      </c>
      <c r="D2786">
        <v>23</v>
      </c>
      <c r="E2786">
        <v>100</v>
      </c>
      <c r="F2786">
        <v>0</v>
      </c>
      <c r="G2786">
        <v>0</v>
      </c>
      <c r="H2786">
        <v>0</v>
      </c>
      <c r="I2786">
        <v>0</v>
      </c>
      <c r="J2786">
        <v>0</v>
      </c>
      <c r="K2786">
        <v>0</v>
      </c>
      <c r="L2786">
        <v>0</v>
      </c>
      <c r="M2786">
        <v>0</v>
      </c>
      <c r="N2786">
        <v>0</v>
      </c>
      <c r="O2786">
        <v>0</v>
      </c>
    </row>
    <row r="2787" spans="1:15">
      <c r="A2787" t="s">
        <v>3105</v>
      </c>
      <c r="B2787" t="s">
        <v>3081</v>
      </c>
      <c r="C2787" t="s">
        <v>317</v>
      </c>
      <c r="D2787">
        <v>24</v>
      </c>
      <c r="E2787">
        <v>100</v>
      </c>
      <c r="F2787">
        <v>0</v>
      </c>
      <c r="G2787">
        <v>0</v>
      </c>
      <c r="H2787">
        <v>0</v>
      </c>
      <c r="I2787">
        <v>0</v>
      </c>
      <c r="J2787">
        <v>0</v>
      </c>
      <c r="K2787">
        <v>0</v>
      </c>
      <c r="L2787">
        <v>0</v>
      </c>
      <c r="M2787">
        <v>0</v>
      </c>
      <c r="N2787">
        <v>0</v>
      </c>
      <c r="O2787">
        <v>0</v>
      </c>
    </row>
    <row r="2788" spans="1:15">
      <c r="A2788" t="s">
        <v>3106</v>
      </c>
      <c r="B2788" t="s">
        <v>3081</v>
      </c>
      <c r="C2788" t="s">
        <v>317</v>
      </c>
      <c r="D2788">
        <v>25</v>
      </c>
      <c r="E2788">
        <v>100</v>
      </c>
      <c r="F2788">
        <v>0</v>
      </c>
      <c r="G2788">
        <v>0</v>
      </c>
      <c r="H2788">
        <v>0</v>
      </c>
      <c r="I2788">
        <v>0</v>
      </c>
      <c r="J2788">
        <v>0</v>
      </c>
      <c r="K2788">
        <v>0</v>
      </c>
      <c r="L2788">
        <v>0</v>
      </c>
      <c r="M2788">
        <v>0</v>
      </c>
      <c r="N2788">
        <v>0</v>
      </c>
      <c r="O2788">
        <v>0</v>
      </c>
    </row>
    <row r="2789" spans="1:15">
      <c r="A2789" t="s">
        <v>3107</v>
      </c>
      <c r="B2789" t="s">
        <v>3081</v>
      </c>
      <c r="C2789" t="s">
        <v>317</v>
      </c>
      <c r="D2789">
        <v>26</v>
      </c>
      <c r="E2789">
        <v>100</v>
      </c>
      <c r="F2789">
        <v>0</v>
      </c>
      <c r="G2789">
        <v>0</v>
      </c>
      <c r="H2789">
        <v>0</v>
      </c>
      <c r="I2789">
        <v>0</v>
      </c>
      <c r="J2789">
        <v>0</v>
      </c>
      <c r="K2789">
        <v>0</v>
      </c>
      <c r="L2789">
        <v>0</v>
      </c>
      <c r="M2789">
        <v>0</v>
      </c>
      <c r="N2789">
        <v>0</v>
      </c>
      <c r="O2789">
        <v>0</v>
      </c>
    </row>
    <row r="2790" spans="1:15">
      <c r="A2790" t="s">
        <v>3108</v>
      </c>
      <c r="B2790" t="s">
        <v>3081</v>
      </c>
      <c r="C2790" t="s">
        <v>317</v>
      </c>
      <c r="D2790">
        <v>27</v>
      </c>
      <c r="E2790">
        <v>100</v>
      </c>
      <c r="F2790">
        <v>0</v>
      </c>
      <c r="G2790">
        <v>0</v>
      </c>
      <c r="H2790">
        <v>0</v>
      </c>
      <c r="I2790">
        <v>0</v>
      </c>
      <c r="J2790">
        <v>0</v>
      </c>
      <c r="K2790">
        <v>0</v>
      </c>
      <c r="L2790">
        <v>0</v>
      </c>
      <c r="M2790">
        <v>0</v>
      </c>
      <c r="N2790">
        <v>0</v>
      </c>
      <c r="O2790">
        <v>0</v>
      </c>
    </row>
    <row r="2791" spans="1:15">
      <c r="A2791" t="s">
        <v>3109</v>
      </c>
      <c r="B2791" t="s">
        <v>3081</v>
      </c>
      <c r="C2791" t="s">
        <v>317</v>
      </c>
      <c r="D2791">
        <v>28</v>
      </c>
      <c r="E2791">
        <v>100</v>
      </c>
      <c r="F2791">
        <v>0</v>
      </c>
      <c r="G2791">
        <v>0</v>
      </c>
      <c r="H2791">
        <v>0</v>
      </c>
      <c r="I2791">
        <v>0</v>
      </c>
      <c r="J2791">
        <v>0</v>
      </c>
      <c r="K2791">
        <v>0</v>
      </c>
      <c r="L2791">
        <v>0</v>
      </c>
      <c r="M2791">
        <v>0</v>
      </c>
      <c r="N2791">
        <v>0</v>
      </c>
      <c r="O2791">
        <v>0</v>
      </c>
    </row>
    <row r="2792" spans="1:15">
      <c r="A2792" t="s">
        <v>3110</v>
      </c>
      <c r="B2792" t="s">
        <v>3081</v>
      </c>
      <c r="C2792" t="s">
        <v>317</v>
      </c>
      <c r="D2792">
        <v>29</v>
      </c>
      <c r="E2792">
        <v>100</v>
      </c>
      <c r="F2792">
        <v>0</v>
      </c>
      <c r="G2792">
        <v>0</v>
      </c>
      <c r="H2792">
        <v>0</v>
      </c>
      <c r="I2792">
        <v>0</v>
      </c>
      <c r="J2792">
        <v>0</v>
      </c>
      <c r="K2792">
        <v>0</v>
      </c>
      <c r="L2792">
        <v>0</v>
      </c>
      <c r="M2792">
        <v>0</v>
      </c>
      <c r="N2792">
        <v>0</v>
      </c>
      <c r="O2792">
        <v>0</v>
      </c>
    </row>
    <row r="2793" spans="1:15">
      <c r="A2793" t="s">
        <v>3111</v>
      </c>
      <c r="B2793" t="s">
        <v>3081</v>
      </c>
      <c r="C2793" t="s">
        <v>317</v>
      </c>
      <c r="D2793">
        <v>30</v>
      </c>
      <c r="E2793">
        <v>100</v>
      </c>
      <c r="F2793">
        <v>0</v>
      </c>
      <c r="G2793">
        <v>0</v>
      </c>
      <c r="H2793">
        <v>0</v>
      </c>
      <c r="I2793">
        <v>0</v>
      </c>
      <c r="J2793">
        <v>0</v>
      </c>
      <c r="K2793">
        <v>0</v>
      </c>
      <c r="L2793">
        <v>0</v>
      </c>
      <c r="M2793">
        <v>0</v>
      </c>
      <c r="N2793">
        <v>0</v>
      </c>
      <c r="O2793">
        <v>0</v>
      </c>
    </row>
    <row r="2794" spans="1:15">
      <c r="A2794" t="s">
        <v>3112</v>
      </c>
      <c r="B2794" t="s">
        <v>3081</v>
      </c>
      <c r="C2794" t="s">
        <v>317</v>
      </c>
      <c r="D2794">
        <v>31</v>
      </c>
      <c r="E2794">
        <v>100</v>
      </c>
      <c r="F2794">
        <v>0</v>
      </c>
      <c r="G2794">
        <v>0</v>
      </c>
      <c r="H2794">
        <v>0</v>
      </c>
      <c r="I2794">
        <v>0</v>
      </c>
      <c r="J2794">
        <v>0</v>
      </c>
      <c r="K2794">
        <v>0</v>
      </c>
      <c r="L2794">
        <v>0</v>
      </c>
      <c r="M2794">
        <v>0</v>
      </c>
      <c r="N2794">
        <v>0</v>
      </c>
      <c r="O2794">
        <v>0</v>
      </c>
    </row>
    <row r="2795" spans="1:15">
      <c r="A2795" t="s">
        <v>3113</v>
      </c>
      <c r="B2795" t="s">
        <v>3081</v>
      </c>
      <c r="C2795" t="s">
        <v>317</v>
      </c>
      <c r="D2795">
        <v>32</v>
      </c>
      <c r="E2795">
        <v>100</v>
      </c>
      <c r="F2795">
        <v>0</v>
      </c>
      <c r="G2795">
        <v>0</v>
      </c>
      <c r="H2795">
        <v>0</v>
      </c>
      <c r="I2795">
        <v>0</v>
      </c>
      <c r="J2795">
        <v>0</v>
      </c>
      <c r="K2795">
        <v>0</v>
      </c>
      <c r="L2795">
        <v>0</v>
      </c>
      <c r="M2795">
        <v>0</v>
      </c>
      <c r="N2795">
        <v>0</v>
      </c>
      <c r="O2795">
        <v>0</v>
      </c>
    </row>
    <row r="2796" spans="1:15">
      <c r="A2796" t="s">
        <v>3114</v>
      </c>
      <c r="B2796" t="s">
        <v>3081</v>
      </c>
      <c r="C2796" t="s">
        <v>317</v>
      </c>
      <c r="D2796">
        <v>33</v>
      </c>
      <c r="E2796">
        <v>100</v>
      </c>
      <c r="F2796">
        <v>0</v>
      </c>
      <c r="G2796">
        <v>0</v>
      </c>
      <c r="H2796">
        <v>0</v>
      </c>
      <c r="I2796">
        <v>0</v>
      </c>
      <c r="J2796">
        <v>0</v>
      </c>
      <c r="K2796">
        <v>0</v>
      </c>
      <c r="L2796">
        <v>0</v>
      </c>
      <c r="M2796">
        <v>0</v>
      </c>
      <c r="N2796">
        <v>0</v>
      </c>
      <c r="O2796">
        <v>0</v>
      </c>
    </row>
    <row r="2797" spans="1:15">
      <c r="A2797" t="s">
        <v>3115</v>
      </c>
      <c r="B2797" t="s">
        <v>3081</v>
      </c>
      <c r="C2797" t="s">
        <v>317</v>
      </c>
      <c r="D2797">
        <v>34</v>
      </c>
      <c r="E2797">
        <v>100</v>
      </c>
      <c r="F2797">
        <v>0</v>
      </c>
      <c r="G2797">
        <v>0</v>
      </c>
      <c r="H2797">
        <v>0</v>
      </c>
      <c r="I2797">
        <v>0</v>
      </c>
      <c r="J2797">
        <v>0</v>
      </c>
      <c r="K2797">
        <v>0</v>
      </c>
      <c r="L2797">
        <v>0</v>
      </c>
      <c r="M2797">
        <v>0</v>
      </c>
      <c r="N2797">
        <v>0</v>
      </c>
      <c r="O2797">
        <v>0</v>
      </c>
    </row>
    <row r="2798" spans="1:15">
      <c r="A2798" t="s">
        <v>3116</v>
      </c>
      <c r="B2798" t="s">
        <v>3081</v>
      </c>
      <c r="C2798" t="s">
        <v>317</v>
      </c>
      <c r="D2798">
        <v>35</v>
      </c>
      <c r="E2798">
        <v>100</v>
      </c>
      <c r="F2798">
        <v>0</v>
      </c>
      <c r="G2798">
        <v>0</v>
      </c>
      <c r="H2798">
        <v>0</v>
      </c>
      <c r="I2798">
        <v>0</v>
      </c>
      <c r="J2798">
        <v>0</v>
      </c>
      <c r="K2798">
        <v>0</v>
      </c>
      <c r="L2798">
        <v>0</v>
      </c>
      <c r="M2798">
        <v>0</v>
      </c>
      <c r="N2798">
        <v>0</v>
      </c>
      <c r="O2798">
        <v>0</v>
      </c>
    </row>
    <row r="2799" spans="1:15">
      <c r="A2799" t="s">
        <v>3117</v>
      </c>
      <c r="B2799" t="s">
        <v>3081</v>
      </c>
      <c r="C2799" t="s">
        <v>317</v>
      </c>
      <c r="D2799">
        <v>36</v>
      </c>
      <c r="E2799">
        <v>100</v>
      </c>
      <c r="F2799">
        <v>0</v>
      </c>
      <c r="G2799">
        <v>0</v>
      </c>
      <c r="H2799">
        <v>0</v>
      </c>
      <c r="I2799">
        <v>0</v>
      </c>
      <c r="J2799">
        <v>0</v>
      </c>
      <c r="K2799">
        <v>0</v>
      </c>
      <c r="L2799">
        <v>0</v>
      </c>
      <c r="M2799">
        <v>0</v>
      </c>
      <c r="N2799">
        <v>0</v>
      </c>
      <c r="O2799">
        <v>0</v>
      </c>
    </row>
    <row r="2800" spans="1:15">
      <c r="A2800" t="s">
        <v>3118</v>
      </c>
      <c r="B2800" t="s">
        <v>3081</v>
      </c>
      <c r="C2800" t="s">
        <v>317</v>
      </c>
      <c r="D2800">
        <v>37</v>
      </c>
      <c r="E2800">
        <v>100</v>
      </c>
      <c r="F2800">
        <v>0</v>
      </c>
      <c r="G2800">
        <v>0</v>
      </c>
      <c r="H2800">
        <v>0</v>
      </c>
      <c r="I2800">
        <v>0</v>
      </c>
      <c r="J2800">
        <v>0</v>
      </c>
      <c r="K2800">
        <v>0</v>
      </c>
      <c r="L2800">
        <v>0</v>
      </c>
      <c r="M2800">
        <v>0</v>
      </c>
      <c r="N2800">
        <v>0</v>
      </c>
      <c r="O2800">
        <v>0</v>
      </c>
    </row>
    <row r="2801" spans="1:15">
      <c r="A2801" t="s">
        <v>3119</v>
      </c>
      <c r="B2801" t="s">
        <v>3081</v>
      </c>
      <c r="C2801" t="s">
        <v>317</v>
      </c>
      <c r="D2801">
        <v>38</v>
      </c>
      <c r="E2801">
        <v>100</v>
      </c>
      <c r="F2801">
        <v>0</v>
      </c>
      <c r="G2801">
        <v>0</v>
      </c>
      <c r="H2801">
        <v>0</v>
      </c>
      <c r="I2801">
        <v>0</v>
      </c>
      <c r="J2801">
        <v>0</v>
      </c>
      <c r="K2801">
        <v>0</v>
      </c>
      <c r="L2801">
        <v>0</v>
      </c>
      <c r="M2801">
        <v>0</v>
      </c>
      <c r="N2801">
        <v>0</v>
      </c>
      <c r="O2801">
        <v>0</v>
      </c>
    </row>
    <row r="2802" spans="1:15">
      <c r="A2802" t="s">
        <v>3120</v>
      </c>
      <c r="B2802" t="s">
        <v>3081</v>
      </c>
      <c r="C2802" t="s">
        <v>317</v>
      </c>
      <c r="D2802">
        <v>39</v>
      </c>
      <c r="E2802">
        <v>100</v>
      </c>
      <c r="F2802">
        <v>0</v>
      </c>
      <c r="G2802">
        <v>0</v>
      </c>
      <c r="H2802">
        <v>0</v>
      </c>
      <c r="I2802">
        <v>0</v>
      </c>
      <c r="J2802">
        <v>0</v>
      </c>
      <c r="K2802">
        <v>0</v>
      </c>
      <c r="L2802">
        <v>0</v>
      </c>
      <c r="M2802">
        <v>0</v>
      </c>
      <c r="N2802">
        <v>0</v>
      </c>
      <c r="O2802">
        <v>0</v>
      </c>
    </row>
    <row r="2803" spans="1:15">
      <c r="A2803" t="s">
        <v>3121</v>
      </c>
      <c r="B2803" t="s">
        <v>3081</v>
      </c>
      <c r="C2803" t="s">
        <v>317</v>
      </c>
      <c r="D2803">
        <v>40</v>
      </c>
      <c r="E2803">
        <v>100</v>
      </c>
      <c r="F2803">
        <v>0</v>
      </c>
      <c r="G2803">
        <v>0</v>
      </c>
      <c r="H2803">
        <v>0</v>
      </c>
      <c r="I2803">
        <v>0</v>
      </c>
      <c r="J2803">
        <v>0</v>
      </c>
      <c r="K2803">
        <v>0</v>
      </c>
      <c r="L2803">
        <v>0</v>
      </c>
      <c r="M2803">
        <v>0</v>
      </c>
      <c r="N2803">
        <v>0</v>
      </c>
      <c r="O2803">
        <v>0</v>
      </c>
    </row>
    <row r="2804" spans="1:15">
      <c r="A2804" t="s">
        <v>3122</v>
      </c>
      <c r="B2804" t="s">
        <v>3081</v>
      </c>
      <c r="C2804" t="s">
        <v>317</v>
      </c>
      <c r="D2804">
        <v>41</v>
      </c>
      <c r="E2804">
        <v>100</v>
      </c>
      <c r="F2804">
        <v>0</v>
      </c>
      <c r="G2804">
        <v>0</v>
      </c>
      <c r="H2804">
        <v>0</v>
      </c>
      <c r="I2804">
        <v>0</v>
      </c>
      <c r="J2804">
        <v>0</v>
      </c>
      <c r="K2804">
        <v>0</v>
      </c>
      <c r="L2804">
        <v>0</v>
      </c>
      <c r="M2804">
        <v>0</v>
      </c>
      <c r="N2804">
        <v>0</v>
      </c>
      <c r="O2804">
        <v>0</v>
      </c>
    </row>
    <row r="2805" spans="1:15">
      <c r="A2805" t="s">
        <v>3123</v>
      </c>
      <c r="B2805" t="s">
        <v>3081</v>
      </c>
      <c r="C2805" t="s">
        <v>317</v>
      </c>
      <c r="D2805">
        <v>42</v>
      </c>
      <c r="E2805">
        <v>100</v>
      </c>
      <c r="F2805">
        <v>0</v>
      </c>
      <c r="G2805">
        <v>0</v>
      </c>
      <c r="H2805">
        <v>0</v>
      </c>
      <c r="I2805">
        <v>0</v>
      </c>
      <c r="J2805">
        <v>0</v>
      </c>
      <c r="K2805">
        <v>0</v>
      </c>
      <c r="L2805">
        <v>0</v>
      </c>
      <c r="M2805">
        <v>0</v>
      </c>
      <c r="N2805">
        <v>0</v>
      </c>
      <c r="O2805">
        <v>0</v>
      </c>
    </row>
    <row r="2806" spans="1:15">
      <c r="A2806" t="s">
        <v>3124</v>
      </c>
      <c r="B2806" t="s">
        <v>3081</v>
      </c>
      <c r="C2806" t="s">
        <v>317</v>
      </c>
      <c r="D2806">
        <v>43</v>
      </c>
      <c r="E2806">
        <v>100</v>
      </c>
      <c r="F2806">
        <v>0</v>
      </c>
      <c r="G2806">
        <v>0</v>
      </c>
      <c r="H2806">
        <v>0</v>
      </c>
      <c r="I2806">
        <v>0</v>
      </c>
      <c r="J2806">
        <v>0</v>
      </c>
      <c r="K2806">
        <v>0</v>
      </c>
      <c r="L2806">
        <v>0</v>
      </c>
      <c r="M2806">
        <v>0</v>
      </c>
      <c r="N2806">
        <v>0</v>
      </c>
      <c r="O2806">
        <v>0</v>
      </c>
    </row>
    <row r="2807" spans="1:15">
      <c r="A2807" t="s">
        <v>3125</v>
      </c>
      <c r="B2807" t="s">
        <v>3081</v>
      </c>
      <c r="C2807" t="s">
        <v>317</v>
      </c>
      <c r="D2807">
        <v>44</v>
      </c>
      <c r="E2807">
        <v>100</v>
      </c>
      <c r="F2807">
        <v>0</v>
      </c>
      <c r="G2807">
        <v>0</v>
      </c>
      <c r="H2807">
        <v>0</v>
      </c>
      <c r="I2807">
        <v>0</v>
      </c>
      <c r="J2807">
        <v>0</v>
      </c>
      <c r="K2807">
        <v>0</v>
      </c>
      <c r="L2807">
        <v>0</v>
      </c>
      <c r="M2807">
        <v>0</v>
      </c>
      <c r="N2807">
        <v>0</v>
      </c>
      <c r="O2807">
        <v>0</v>
      </c>
    </row>
    <row r="2808" spans="1:15">
      <c r="A2808" t="s">
        <v>3126</v>
      </c>
      <c r="B2808" t="s">
        <v>3081</v>
      </c>
      <c r="C2808" t="s">
        <v>317</v>
      </c>
      <c r="D2808">
        <v>45</v>
      </c>
      <c r="E2808">
        <v>100</v>
      </c>
      <c r="F2808">
        <v>0</v>
      </c>
      <c r="G2808">
        <v>0</v>
      </c>
      <c r="H2808">
        <v>0</v>
      </c>
      <c r="I2808">
        <v>0</v>
      </c>
      <c r="J2808">
        <v>0</v>
      </c>
      <c r="K2808">
        <v>0</v>
      </c>
      <c r="L2808">
        <v>0</v>
      </c>
      <c r="M2808">
        <v>0</v>
      </c>
      <c r="N2808">
        <v>0</v>
      </c>
      <c r="O2808">
        <v>0</v>
      </c>
    </row>
    <row r="2809" spans="1:15">
      <c r="A2809" t="s">
        <v>3127</v>
      </c>
      <c r="B2809" t="s">
        <v>3081</v>
      </c>
      <c r="C2809" t="s">
        <v>317</v>
      </c>
      <c r="D2809">
        <v>46</v>
      </c>
      <c r="E2809">
        <v>100</v>
      </c>
      <c r="F2809">
        <v>0</v>
      </c>
      <c r="G2809">
        <v>0</v>
      </c>
      <c r="H2809">
        <v>0</v>
      </c>
      <c r="I2809">
        <v>0</v>
      </c>
      <c r="J2809">
        <v>0</v>
      </c>
      <c r="K2809">
        <v>0</v>
      </c>
      <c r="L2809">
        <v>0</v>
      </c>
      <c r="M2809">
        <v>0</v>
      </c>
      <c r="N2809">
        <v>0</v>
      </c>
      <c r="O2809">
        <v>0</v>
      </c>
    </row>
    <row r="2810" spans="1:15">
      <c r="A2810" t="s">
        <v>3128</v>
      </c>
      <c r="B2810" t="s">
        <v>3081</v>
      </c>
      <c r="C2810" t="s">
        <v>317</v>
      </c>
      <c r="D2810">
        <v>47</v>
      </c>
      <c r="E2810">
        <v>100</v>
      </c>
      <c r="F2810">
        <v>0</v>
      </c>
      <c r="G2810">
        <v>0</v>
      </c>
      <c r="H2810">
        <v>0</v>
      </c>
      <c r="I2810">
        <v>0</v>
      </c>
      <c r="J2810">
        <v>0</v>
      </c>
      <c r="K2810">
        <v>0</v>
      </c>
      <c r="L2810">
        <v>0</v>
      </c>
      <c r="M2810">
        <v>0</v>
      </c>
      <c r="N2810">
        <v>0</v>
      </c>
      <c r="O2810">
        <v>0</v>
      </c>
    </row>
    <row r="2811" spans="1:15">
      <c r="A2811" t="s">
        <v>3129</v>
      </c>
      <c r="B2811" t="s">
        <v>3081</v>
      </c>
      <c r="C2811" t="s">
        <v>317</v>
      </c>
      <c r="D2811">
        <v>48</v>
      </c>
      <c r="E2811">
        <v>100</v>
      </c>
      <c r="F2811">
        <v>0</v>
      </c>
      <c r="G2811">
        <v>0</v>
      </c>
      <c r="H2811">
        <v>0</v>
      </c>
      <c r="I2811">
        <v>0</v>
      </c>
      <c r="J2811">
        <v>0</v>
      </c>
      <c r="K2811">
        <v>0</v>
      </c>
      <c r="L2811">
        <v>0</v>
      </c>
      <c r="M2811">
        <v>0</v>
      </c>
      <c r="N2811">
        <v>0</v>
      </c>
      <c r="O2811">
        <v>0</v>
      </c>
    </row>
    <row r="2812" spans="1:15">
      <c r="A2812" t="s">
        <v>3130</v>
      </c>
      <c r="B2812" t="s">
        <v>3081</v>
      </c>
      <c r="C2812" t="s">
        <v>317</v>
      </c>
      <c r="D2812">
        <v>49</v>
      </c>
      <c r="E2812">
        <v>100</v>
      </c>
      <c r="F2812">
        <v>0</v>
      </c>
      <c r="G2812">
        <v>0</v>
      </c>
      <c r="H2812">
        <v>0</v>
      </c>
      <c r="I2812">
        <v>0</v>
      </c>
      <c r="J2812">
        <v>0</v>
      </c>
      <c r="K2812">
        <v>0</v>
      </c>
      <c r="L2812">
        <v>0</v>
      </c>
      <c r="M2812">
        <v>0</v>
      </c>
      <c r="N2812">
        <v>0</v>
      </c>
      <c r="O2812">
        <v>0</v>
      </c>
    </row>
    <row r="2813" spans="1:15">
      <c r="A2813" t="s">
        <v>3131</v>
      </c>
      <c r="B2813" t="s">
        <v>3081</v>
      </c>
      <c r="C2813" t="s">
        <v>317</v>
      </c>
      <c r="D2813">
        <v>50</v>
      </c>
      <c r="E2813">
        <v>100</v>
      </c>
      <c r="F2813">
        <v>0</v>
      </c>
      <c r="G2813">
        <v>0</v>
      </c>
      <c r="H2813">
        <v>0</v>
      </c>
      <c r="I2813">
        <v>0</v>
      </c>
      <c r="J2813">
        <v>0</v>
      </c>
      <c r="K2813">
        <v>0</v>
      </c>
      <c r="L2813">
        <v>0</v>
      </c>
      <c r="M2813">
        <v>0</v>
      </c>
      <c r="N2813">
        <v>0</v>
      </c>
      <c r="O2813">
        <v>0</v>
      </c>
    </row>
    <row r="2814" spans="1:15">
      <c r="A2814" t="s">
        <v>3132</v>
      </c>
      <c r="B2814" t="s">
        <v>3081</v>
      </c>
      <c r="C2814" t="s">
        <v>317</v>
      </c>
      <c r="D2814">
        <v>51</v>
      </c>
      <c r="E2814">
        <v>100</v>
      </c>
      <c r="F2814">
        <v>0</v>
      </c>
      <c r="G2814">
        <v>0</v>
      </c>
      <c r="H2814">
        <v>0</v>
      </c>
      <c r="I2814">
        <v>0</v>
      </c>
      <c r="J2814">
        <v>0</v>
      </c>
      <c r="K2814">
        <v>0</v>
      </c>
      <c r="L2814">
        <v>0</v>
      </c>
      <c r="M2814">
        <v>0</v>
      </c>
      <c r="N2814">
        <v>0</v>
      </c>
      <c r="O2814">
        <v>0</v>
      </c>
    </row>
    <row r="2815" spans="1:15">
      <c r="A2815" t="s">
        <v>3133</v>
      </c>
      <c r="B2815" t="s">
        <v>3081</v>
      </c>
      <c r="C2815" t="s">
        <v>317</v>
      </c>
      <c r="D2815">
        <v>52</v>
      </c>
      <c r="E2815">
        <v>100</v>
      </c>
      <c r="F2815">
        <v>0</v>
      </c>
      <c r="G2815">
        <v>0</v>
      </c>
      <c r="H2815">
        <v>0</v>
      </c>
      <c r="I2815">
        <v>0</v>
      </c>
      <c r="J2815">
        <v>0</v>
      </c>
      <c r="K2815">
        <v>0</v>
      </c>
      <c r="L2815">
        <v>0</v>
      </c>
      <c r="M2815">
        <v>0</v>
      </c>
      <c r="N2815">
        <v>0</v>
      </c>
      <c r="O2815">
        <v>0</v>
      </c>
    </row>
    <row r="2816" spans="1:15">
      <c r="A2816" t="s">
        <v>3134</v>
      </c>
      <c r="B2816" t="s">
        <v>3081</v>
      </c>
      <c r="C2816" t="s">
        <v>317</v>
      </c>
      <c r="D2816">
        <v>53</v>
      </c>
      <c r="E2816">
        <v>100</v>
      </c>
      <c r="F2816">
        <v>0</v>
      </c>
      <c r="G2816">
        <v>0</v>
      </c>
      <c r="H2816">
        <v>0</v>
      </c>
      <c r="I2816">
        <v>0</v>
      </c>
      <c r="J2816">
        <v>0</v>
      </c>
      <c r="K2816">
        <v>0</v>
      </c>
      <c r="L2816">
        <v>0</v>
      </c>
      <c r="M2816">
        <v>0</v>
      </c>
      <c r="N2816">
        <v>0</v>
      </c>
      <c r="O2816">
        <v>0</v>
      </c>
    </row>
    <row r="2817" spans="1:15">
      <c r="A2817" t="s">
        <v>3135</v>
      </c>
      <c r="B2817" t="s">
        <v>3081</v>
      </c>
      <c r="C2817" t="s">
        <v>317</v>
      </c>
      <c r="D2817">
        <v>54</v>
      </c>
      <c r="E2817">
        <v>100</v>
      </c>
      <c r="F2817">
        <v>0</v>
      </c>
      <c r="G2817">
        <v>0</v>
      </c>
      <c r="H2817">
        <v>0</v>
      </c>
      <c r="I2817">
        <v>0</v>
      </c>
      <c r="J2817">
        <v>0</v>
      </c>
      <c r="K2817">
        <v>0</v>
      </c>
      <c r="L2817">
        <v>0</v>
      </c>
      <c r="M2817">
        <v>0</v>
      </c>
      <c r="N2817">
        <v>0</v>
      </c>
      <c r="O2817">
        <v>0</v>
      </c>
    </row>
    <row r="2818" spans="1:15">
      <c r="A2818" t="s">
        <v>3136</v>
      </c>
      <c r="B2818" t="s">
        <v>3081</v>
      </c>
      <c r="C2818" t="s">
        <v>317</v>
      </c>
      <c r="D2818">
        <v>55</v>
      </c>
      <c r="E2818">
        <v>100</v>
      </c>
      <c r="F2818">
        <v>0</v>
      </c>
      <c r="G2818">
        <v>0</v>
      </c>
      <c r="H2818">
        <v>0</v>
      </c>
      <c r="I2818">
        <v>0</v>
      </c>
      <c r="J2818">
        <v>0</v>
      </c>
      <c r="K2818">
        <v>0</v>
      </c>
      <c r="L2818">
        <v>0</v>
      </c>
      <c r="M2818">
        <v>0</v>
      </c>
      <c r="N2818">
        <v>0</v>
      </c>
      <c r="O2818">
        <v>0</v>
      </c>
    </row>
    <row r="2819" spans="1:15">
      <c r="A2819" t="s">
        <v>3137</v>
      </c>
      <c r="B2819" t="s">
        <v>3081</v>
      </c>
      <c r="C2819" t="s">
        <v>317</v>
      </c>
      <c r="D2819">
        <v>56</v>
      </c>
      <c r="E2819">
        <v>100</v>
      </c>
      <c r="F2819">
        <v>0</v>
      </c>
      <c r="G2819">
        <v>0</v>
      </c>
      <c r="H2819">
        <v>0</v>
      </c>
      <c r="I2819">
        <v>0</v>
      </c>
      <c r="J2819">
        <v>0</v>
      </c>
      <c r="K2819">
        <v>0</v>
      </c>
      <c r="L2819">
        <v>0</v>
      </c>
      <c r="M2819">
        <v>0</v>
      </c>
      <c r="N2819">
        <v>0</v>
      </c>
      <c r="O2819">
        <v>0</v>
      </c>
    </row>
    <row r="2820" spans="1:15">
      <c r="A2820" t="s">
        <v>3138</v>
      </c>
      <c r="B2820" t="s">
        <v>3081</v>
      </c>
      <c r="C2820" t="s">
        <v>317</v>
      </c>
      <c r="D2820">
        <v>57</v>
      </c>
      <c r="E2820">
        <v>100</v>
      </c>
      <c r="F2820">
        <v>0</v>
      </c>
      <c r="G2820">
        <v>0</v>
      </c>
      <c r="H2820">
        <v>0</v>
      </c>
      <c r="I2820">
        <v>0</v>
      </c>
      <c r="J2820">
        <v>0</v>
      </c>
      <c r="K2820">
        <v>0</v>
      </c>
      <c r="L2820">
        <v>0</v>
      </c>
      <c r="M2820">
        <v>0</v>
      </c>
      <c r="N2820">
        <v>0</v>
      </c>
      <c r="O2820">
        <v>0</v>
      </c>
    </row>
    <row r="2821" spans="1:15">
      <c r="A2821" t="s">
        <v>3139</v>
      </c>
      <c r="B2821" t="s">
        <v>3081</v>
      </c>
      <c r="C2821" t="s">
        <v>317</v>
      </c>
      <c r="D2821">
        <v>58</v>
      </c>
      <c r="E2821">
        <v>100</v>
      </c>
      <c r="F2821">
        <v>0</v>
      </c>
      <c r="G2821">
        <v>0</v>
      </c>
      <c r="H2821">
        <v>0</v>
      </c>
      <c r="I2821">
        <v>0</v>
      </c>
      <c r="J2821">
        <v>0</v>
      </c>
      <c r="K2821">
        <v>0</v>
      </c>
      <c r="L2821">
        <v>0</v>
      </c>
      <c r="M2821">
        <v>0</v>
      </c>
      <c r="N2821">
        <v>0</v>
      </c>
      <c r="O2821">
        <v>0</v>
      </c>
    </row>
    <row r="2822" spans="1:15">
      <c r="A2822" t="s">
        <v>3140</v>
      </c>
      <c r="B2822" t="s">
        <v>3081</v>
      </c>
      <c r="C2822" t="s">
        <v>317</v>
      </c>
      <c r="D2822">
        <v>59</v>
      </c>
      <c r="E2822">
        <v>100</v>
      </c>
      <c r="F2822">
        <v>0</v>
      </c>
      <c r="G2822">
        <v>0</v>
      </c>
      <c r="H2822">
        <v>0</v>
      </c>
      <c r="I2822">
        <v>0</v>
      </c>
      <c r="J2822">
        <v>0</v>
      </c>
      <c r="K2822">
        <v>0</v>
      </c>
      <c r="L2822">
        <v>0</v>
      </c>
      <c r="M2822">
        <v>0</v>
      </c>
      <c r="N2822">
        <v>0</v>
      </c>
      <c r="O2822">
        <v>0</v>
      </c>
    </row>
    <row r="2823" spans="1:15">
      <c r="A2823" t="s">
        <v>3141</v>
      </c>
      <c r="B2823" t="s">
        <v>3081</v>
      </c>
      <c r="C2823" t="s">
        <v>317</v>
      </c>
      <c r="D2823">
        <v>60</v>
      </c>
      <c r="E2823">
        <v>100</v>
      </c>
      <c r="F2823">
        <v>0</v>
      </c>
      <c r="G2823">
        <v>0</v>
      </c>
      <c r="H2823">
        <v>0</v>
      </c>
      <c r="I2823">
        <v>0</v>
      </c>
      <c r="J2823">
        <v>0</v>
      </c>
      <c r="K2823">
        <v>0</v>
      </c>
      <c r="L2823">
        <v>0</v>
      </c>
      <c r="M2823">
        <v>0</v>
      </c>
      <c r="N2823">
        <v>0</v>
      </c>
      <c r="O2823">
        <v>0</v>
      </c>
    </row>
    <row r="2824" spans="1:15">
      <c r="A2824" t="s">
        <v>3142</v>
      </c>
      <c r="B2824" t="s">
        <v>3081</v>
      </c>
      <c r="C2824" t="s">
        <v>317</v>
      </c>
      <c r="D2824">
        <v>61</v>
      </c>
      <c r="E2824">
        <v>100</v>
      </c>
      <c r="F2824">
        <v>0</v>
      </c>
      <c r="G2824">
        <v>0</v>
      </c>
      <c r="H2824">
        <v>0</v>
      </c>
      <c r="I2824">
        <v>0</v>
      </c>
      <c r="J2824">
        <v>0</v>
      </c>
      <c r="K2824">
        <v>0</v>
      </c>
      <c r="L2824">
        <v>0</v>
      </c>
      <c r="M2824">
        <v>0</v>
      </c>
      <c r="N2824">
        <v>0</v>
      </c>
      <c r="O2824">
        <v>0</v>
      </c>
    </row>
    <row r="2825" spans="1:15">
      <c r="A2825" t="s">
        <v>3143</v>
      </c>
      <c r="B2825" t="s">
        <v>3081</v>
      </c>
      <c r="C2825" t="s">
        <v>317</v>
      </c>
      <c r="D2825">
        <v>62</v>
      </c>
      <c r="E2825">
        <v>100</v>
      </c>
      <c r="F2825">
        <v>0</v>
      </c>
      <c r="G2825">
        <v>0</v>
      </c>
      <c r="H2825">
        <v>0</v>
      </c>
      <c r="I2825">
        <v>0</v>
      </c>
      <c r="J2825">
        <v>0</v>
      </c>
      <c r="K2825">
        <v>0</v>
      </c>
      <c r="L2825">
        <v>0</v>
      </c>
      <c r="M2825">
        <v>0</v>
      </c>
      <c r="N2825">
        <v>0</v>
      </c>
      <c r="O2825">
        <v>0</v>
      </c>
    </row>
    <row r="2826" spans="1:15">
      <c r="A2826" t="s">
        <v>3144</v>
      </c>
      <c r="B2826" t="s">
        <v>3081</v>
      </c>
      <c r="C2826" t="s">
        <v>317</v>
      </c>
      <c r="D2826">
        <v>63</v>
      </c>
      <c r="E2826">
        <v>100</v>
      </c>
      <c r="F2826">
        <v>0</v>
      </c>
      <c r="G2826">
        <v>0</v>
      </c>
      <c r="H2826">
        <v>0</v>
      </c>
      <c r="I2826">
        <v>0</v>
      </c>
      <c r="J2826">
        <v>0</v>
      </c>
      <c r="K2826">
        <v>0</v>
      </c>
      <c r="L2826">
        <v>0</v>
      </c>
      <c r="M2826">
        <v>0</v>
      </c>
      <c r="N2826">
        <v>0</v>
      </c>
      <c r="O2826">
        <v>0</v>
      </c>
    </row>
    <row r="2827" spans="1:15">
      <c r="A2827" t="s">
        <v>3145</v>
      </c>
      <c r="B2827" t="s">
        <v>3081</v>
      </c>
      <c r="C2827" t="s">
        <v>317</v>
      </c>
      <c r="D2827">
        <v>64</v>
      </c>
      <c r="E2827">
        <v>100</v>
      </c>
      <c r="F2827">
        <v>0</v>
      </c>
      <c r="G2827">
        <v>0</v>
      </c>
      <c r="H2827">
        <v>0</v>
      </c>
      <c r="I2827">
        <v>0</v>
      </c>
      <c r="J2827">
        <v>0</v>
      </c>
      <c r="K2827">
        <v>0</v>
      </c>
      <c r="L2827">
        <v>0</v>
      </c>
      <c r="M2827">
        <v>0</v>
      </c>
      <c r="N2827">
        <v>0</v>
      </c>
      <c r="O2827">
        <v>0</v>
      </c>
    </row>
    <row r="2828" spans="1:15">
      <c r="A2828" t="s">
        <v>3146</v>
      </c>
      <c r="B2828" t="s">
        <v>3081</v>
      </c>
      <c r="C2828" t="s">
        <v>317</v>
      </c>
      <c r="D2828">
        <v>65</v>
      </c>
      <c r="E2828">
        <v>100</v>
      </c>
      <c r="F2828">
        <v>0</v>
      </c>
      <c r="G2828">
        <v>0</v>
      </c>
      <c r="H2828">
        <v>0</v>
      </c>
      <c r="I2828">
        <v>0</v>
      </c>
      <c r="J2828">
        <v>0</v>
      </c>
      <c r="K2828">
        <v>0</v>
      </c>
      <c r="L2828">
        <v>0</v>
      </c>
      <c r="M2828">
        <v>0</v>
      </c>
      <c r="N2828">
        <v>0</v>
      </c>
      <c r="O2828">
        <v>0</v>
      </c>
    </row>
    <row r="2829" spans="1:15">
      <c r="A2829" t="s">
        <v>3147</v>
      </c>
      <c r="B2829" t="s">
        <v>3081</v>
      </c>
      <c r="C2829" t="s">
        <v>317</v>
      </c>
      <c r="D2829">
        <v>66</v>
      </c>
      <c r="E2829">
        <v>100</v>
      </c>
      <c r="F2829">
        <v>0</v>
      </c>
      <c r="G2829">
        <v>0</v>
      </c>
      <c r="H2829">
        <v>0</v>
      </c>
      <c r="I2829">
        <v>0</v>
      </c>
      <c r="J2829">
        <v>0</v>
      </c>
      <c r="K2829">
        <v>0</v>
      </c>
      <c r="L2829">
        <v>0</v>
      </c>
      <c r="M2829">
        <v>0</v>
      </c>
      <c r="N2829">
        <v>0</v>
      </c>
      <c r="O2829">
        <v>0</v>
      </c>
    </row>
    <row r="2830" spans="1:15">
      <c r="A2830" t="s">
        <v>3148</v>
      </c>
      <c r="B2830" t="s">
        <v>3081</v>
      </c>
      <c r="C2830" t="s">
        <v>317</v>
      </c>
      <c r="D2830">
        <v>67</v>
      </c>
      <c r="E2830">
        <v>100</v>
      </c>
      <c r="F2830">
        <v>0</v>
      </c>
      <c r="G2830">
        <v>0</v>
      </c>
      <c r="H2830">
        <v>0</v>
      </c>
      <c r="I2830">
        <v>0</v>
      </c>
      <c r="J2830">
        <v>0</v>
      </c>
      <c r="K2830">
        <v>0</v>
      </c>
      <c r="L2830">
        <v>0</v>
      </c>
      <c r="M2830">
        <v>0</v>
      </c>
      <c r="N2830">
        <v>0</v>
      </c>
      <c r="O2830">
        <v>0</v>
      </c>
    </row>
    <row r="2831" spans="1:15">
      <c r="A2831" t="s">
        <v>3149</v>
      </c>
      <c r="B2831" t="s">
        <v>3081</v>
      </c>
      <c r="C2831" t="s">
        <v>317</v>
      </c>
      <c r="D2831">
        <v>68</v>
      </c>
      <c r="E2831">
        <v>100</v>
      </c>
      <c r="F2831">
        <v>0</v>
      </c>
      <c r="G2831">
        <v>0</v>
      </c>
      <c r="H2831">
        <v>0</v>
      </c>
      <c r="I2831">
        <v>0</v>
      </c>
      <c r="J2831">
        <v>0</v>
      </c>
      <c r="K2831">
        <v>0</v>
      </c>
      <c r="L2831">
        <v>0</v>
      </c>
      <c r="M2831">
        <v>0</v>
      </c>
      <c r="N2831">
        <v>0</v>
      </c>
      <c r="O2831">
        <v>0</v>
      </c>
    </row>
    <row r="2832" spans="1:15">
      <c r="A2832" t="s">
        <v>3150</v>
      </c>
      <c r="B2832" t="s">
        <v>3081</v>
      </c>
      <c r="C2832" t="s">
        <v>317</v>
      </c>
      <c r="D2832">
        <v>69</v>
      </c>
      <c r="E2832">
        <v>100</v>
      </c>
      <c r="F2832">
        <v>0</v>
      </c>
      <c r="G2832">
        <v>0</v>
      </c>
      <c r="H2832">
        <v>0</v>
      </c>
      <c r="I2832">
        <v>0</v>
      </c>
      <c r="J2832">
        <v>0</v>
      </c>
      <c r="K2832">
        <v>0</v>
      </c>
      <c r="L2832">
        <v>0</v>
      </c>
      <c r="M2832">
        <v>0</v>
      </c>
      <c r="N2832">
        <v>0</v>
      </c>
      <c r="O2832">
        <v>0</v>
      </c>
    </row>
    <row r="2833" spans="1:15">
      <c r="A2833" t="s">
        <v>3151</v>
      </c>
      <c r="B2833" t="s">
        <v>3081</v>
      </c>
      <c r="C2833" t="s">
        <v>317</v>
      </c>
      <c r="D2833">
        <v>70</v>
      </c>
      <c r="E2833">
        <v>100</v>
      </c>
      <c r="F2833">
        <v>0</v>
      </c>
      <c r="G2833">
        <v>0</v>
      </c>
      <c r="H2833">
        <v>0</v>
      </c>
      <c r="I2833">
        <v>0</v>
      </c>
      <c r="J2833">
        <v>0</v>
      </c>
      <c r="K2833">
        <v>0</v>
      </c>
      <c r="L2833">
        <v>0</v>
      </c>
      <c r="M2833">
        <v>0</v>
      </c>
      <c r="N2833">
        <v>0</v>
      </c>
      <c r="O2833">
        <v>0</v>
      </c>
    </row>
    <row r="2834" spans="1:15">
      <c r="A2834" t="s">
        <v>3152</v>
      </c>
      <c r="B2834" t="s">
        <v>3081</v>
      </c>
      <c r="C2834" t="s">
        <v>317</v>
      </c>
      <c r="D2834">
        <v>71</v>
      </c>
      <c r="E2834">
        <v>100</v>
      </c>
      <c r="F2834">
        <v>0</v>
      </c>
      <c r="G2834">
        <v>0</v>
      </c>
      <c r="H2834">
        <v>0</v>
      </c>
      <c r="I2834">
        <v>0</v>
      </c>
      <c r="J2834">
        <v>0</v>
      </c>
      <c r="K2834">
        <v>0</v>
      </c>
      <c r="L2834">
        <v>0</v>
      </c>
      <c r="M2834">
        <v>0</v>
      </c>
      <c r="N2834">
        <v>0</v>
      </c>
      <c r="O2834">
        <v>0</v>
      </c>
    </row>
    <row r="2835" spans="1:15">
      <c r="A2835" t="s">
        <v>3153</v>
      </c>
      <c r="B2835" t="s">
        <v>3081</v>
      </c>
      <c r="C2835" t="s">
        <v>317</v>
      </c>
      <c r="D2835">
        <v>72</v>
      </c>
      <c r="E2835">
        <v>100</v>
      </c>
      <c r="F2835">
        <v>0</v>
      </c>
      <c r="G2835">
        <v>0</v>
      </c>
      <c r="H2835">
        <v>0</v>
      </c>
      <c r="I2835">
        <v>0</v>
      </c>
      <c r="J2835">
        <v>0</v>
      </c>
      <c r="K2835">
        <v>0</v>
      </c>
      <c r="L2835">
        <v>0</v>
      </c>
      <c r="M2835">
        <v>0</v>
      </c>
      <c r="N2835">
        <v>0</v>
      </c>
      <c r="O2835">
        <v>0</v>
      </c>
    </row>
    <row r="2836" spans="1:15">
      <c r="A2836" t="s">
        <v>3154</v>
      </c>
      <c r="B2836" t="s">
        <v>3081</v>
      </c>
      <c r="C2836" t="s">
        <v>317</v>
      </c>
      <c r="D2836">
        <v>73</v>
      </c>
      <c r="E2836">
        <v>100</v>
      </c>
      <c r="F2836">
        <v>0</v>
      </c>
      <c r="G2836">
        <v>0</v>
      </c>
      <c r="H2836">
        <v>0</v>
      </c>
      <c r="I2836">
        <v>0</v>
      </c>
      <c r="J2836">
        <v>0</v>
      </c>
      <c r="K2836">
        <v>0</v>
      </c>
      <c r="L2836">
        <v>0</v>
      </c>
      <c r="M2836">
        <v>0</v>
      </c>
      <c r="N2836">
        <v>0</v>
      </c>
      <c r="O2836">
        <v>0</v>
      </c>
    </row>
    <row r="2837" spans="1:15">
      <c r="A2837" t="s">
        <v>3155</v>
      </c>
      <c r="B2837" t="s">
        <v>3081</v>
      </c>
      <c r="C2837" t="s">
        <v>317</v>
      </c>
      <c r="D2837">
        <v>74</v>
      </c>
      <c r="E2837">
        <v>100</v>
      </c>
      <c r="F2837">
        <v>0</v>
      </c>
      <c r="G2837">
        <v>0</v>
      </c>
      <c r="H2837">
        <v>0</v>
      </c>
      <c r="I2837">
        <v>0</v>
      </c>
      <c r="J2837">
        <v>0</v>
      </c>
      <c r="K2837">
        <v>0</v>
      </c>
      <c r="L2837">
        <v>0</v>
      </c>
      <c r="M2837">
        <v>0</v>
      </c>
      <c r="N2837">
        <v>0</v>
      </c>
      <c r="O2837">
        <v>0</v>
      </c>
    </row>
    <row r="2838" spans="1:15">
      <c r="A2838" t="s">
        <v>3156</v>
      </c>
      <c r="B2838" t="s">
        <v>3081</v>
      </c>
      <c r="C2838" t="s">
        <v>317</v>
      </c>
      <c r="D2838">
        <v>75</v>
      </c>
      <c r="E2838">
        <v>100</v>
      </c>
      <c r="F2838">
        <v>0</v>
      </c>
      <c r="G2838">
        <v>0</v>
      </c>
      <c r="H2838">
        <v>0</v>
      </c>
      <c r="I2838">
        <v>0</v>
      </c>
      <c r="J2838">
        <v>0</v>
      </c>
      <c r="K2838">
        <v>0</v>
      </c>
      <c r="L2838">
        <v>0</v>
      </c>
      <c r="M2838">
        <v>0</v>
      </c>
      <c r="N2838">
        <v>0</v>
      </c>
      <c r="O2838">
        <v>0</v>
      </c>
    </row>
    <row r="2839" spans="1:15">
      <c r="A2839" t="s">
        <v>3157</v>
      </c>
      <c r="B2839" t="s">
        <v>3081</v>
      </c>
      <c r="C2839" t="s">
        <v>317</v>
      </c>
      <c r="D2839">
        <v>76</v>
      </c>
      <c r="E2839">
        <v>100</v>
      </c>
      <c r="F2839">
        <v>0</v>
      </c>
      <c r="G2839">
        <v>0</v>
      </c>
      <c r="H2839">
        <v>0</v>
      </c>
      <c r="I2839">
        <v>0</v>
      </c>
      <c r="J2839">
        <v>0</v>
      </c>
      <c r="K2839">
        <v>0</v>
      </c>
      <c r="L2839">
        <v>0</v>
      </c>
      <c r="M2839">
        <v>0</v>
      </c>
      <c r="N2839">
        <v>0</v>
      </c>
      <c r="O2839">
        <v>0</v>
      </c>
    </row>
    <row r="2840" spans="1:15">
      <c r="A2840" t="s">
        <v>3158</v>
      </c>
      <c r="B2840" t="s">
        <v>3081</v>
      </c>
      <c r="C2840" t="s">
        <v>317</v>
      </c>
      <c r="D2840">
        <v>77</v>
      </c>
      <c r="E2840">
        <v>100</v>
      </c>
      <c r="F2840">
        <v>0</v>
      </c>
      <c r="G2840">
        <v>0</v>
      </c>
      <c r="H2840">
        <v>0</v>
      </c>
      <c r="I2840">
        <v>0</v>
      </c>
      <c r="J2840">
        <v>0</v>
      </c>
      <c r="K2840">
        <v>0</v>
      </c>
      <c r="L2840">
        <v>0</v>
      </c>
      <c r="M2840">
        <v>0</v>
      </c>
      <c r="N2840">
        <v>0</v>
      </c>
      <c r="O2840">
        <v>0</v>
      </c>
    </row>
    <row r="2841" spans="1:15">
      <c r="A2841" t="s">
        <v>3159</v>
      </c>
      <c r="B2841" t="s">
        <v>3081</v>
      </c>
      <c r="C2841" t="s">
        <v>317</v>
      </c>
      <c r="D2841">
        <v>78</v>
      </c>
      <c r="E2841">
        <v>100</v>
      </c>
      <c r="F2841">
        <v>0</v>
      </c>
      <c r="G2841">
        <v>0</v>
      </c>
      <c r="H2841">
        <v>0</v>
      </c>
      <c r="I2841">
        <v>0</v>
      </c>
      <c r="J2841">
        <v>0</v>
      </c>
      <c r="K2841">
        <v>0</v>
      </c>
      <c r="L2841">
        <v>0</v>
      </c>
      <c r="M2841">
        <v>0</v>
      </c>
      <c r="N2841">
        <v>0</v>
      </c>
      <c r="O2841">
        <v>0</v>
      </c>
    </row>
    <row r="2842" spans="1:15">
      <c r="A2842" t="s">
        <v>3160</v>
      </c>
      <c r="B2842" t="s">
        <v>3081</v>
      </c>
      <c r="C2842" t="s">
        <v>317</v>
      </c>
      <c r="D2842">
        <v>79</v>
      </c>
      <c r="E2842">
        <v>100</v>
      </c>
      <c r="F2842">
        <v>0</v>
      </c>
      <c r="G2842">
        <v>0</v>
      </c>
      <c r="H2842">
        <v>0</v>
      </c>
      <c r="I2842">
        <v>0</v>
      </c>
      <c r="J2842">
        <v>0</v>
      </c>
      <c r="K2842">
        <v>0</v>
      </c>
      <c r="L2842">
        <v>0</v>
      </c>
      <c r="M2842">
        <v>0</v>
      </c>
      <c r="N2842">
        <v>0</v>
      </c>
      <c r="O2842">
        <v>0</v>
      </c>
    </row>
    <row r="2843" spans="1:15">
      <c r="A2843" t="s">
        <v>3161</v>
      </c>
      <c r="B2843" t="s">
        <v>3081</v>
      </c>
      <c r="C2843" t="s">
        <v>317</v>
      </c>
      <c r="D2843">
        <v>80</v>
      </c>
      <c r="E2843">
        <v>100</v>
      </c>
      <c r="F2843">
        <v>0</v>
      </c>
      <c r="G2843">
        <v>0</v>
      </c>
      <c r="H2843">
        <v>0</v>
      </c>
      <c r="I2843">
        <v>0</v>
      </c>
      <c r="J2843">
        <v>0</v>
      </c>
      <c r="K2843">
        <v>0</v>
      </c>
      <c r="L2843">
        <v>0</v>
      </c>
      <c r="M2843">
        <v>0</v>
      </c>
      <c r="N2843">
        <v>0</v>
      </c>
      <c r="O2843">
        <v>0</v>
      </c>
    </row>
    <row r="2844" spans="1:15">
      <c r="A2844" t="s">
        <v>3162</v>
      </c>
      <c r="B2844" t="s">
        <v>3081</v>
      </c>
      <c r="C2844" t="s">
        <v>317</v>
      </c>
      <c r="D2844">
        <v>81</v>
      </c>
      <c r="E2844">
        <v>100</v>
      </c>
      <c r="F2844">
        <v>0</v>
      </c>
      <c r="G2844">
        <v>0</v>
      </c>
      <c r="H2844">
        <v>0</v>
      </c>
      <c r="I2844">
        <v>0</v>
      </c>
      <c r="J2844">
        <v>0</v>
      </c>
      <c r="K2844">
        <v>0</v>
      </c>
      <c r="L2844">
        <v>0</v>
      </c>
      <c r="M2844">
        <v>0</v>
      </c>
      <c r="N2844">
        <v>0</v>
      </c>
      <c r="O2844">
        <v>0</v>
      </c>
    </row>
    <row r="2845" spans="1:15">
      <c r="A2845" t="s">
        <v>3163</v>
      </c>
      <c r="B2845" t="s">
        <v>3081</v>
      </c>
      <c r="C2845" t="s">
        <v>317</v>
      </c>
      <c r="D2845">
        <v>82</v>
      </c>
      <c r="E2845">
        <v>100</v>
      </c>
      <c r="F2845">
        <v>0</v>
      </c>
      <c r="G2845">
        <v>0</v>
      </c>
      <c r="H2845">
        <v>0</v>
      </c>
      <c r="I2845">
        <v>0</v>
      </c>
      <c r="J2845">
        <v>0</v>
      </c>
      <c r="K2845">
        <v>0</v>
      </c>
      <c r="L2845">
        <v>0</v>
      </c>
      <c r="M2845">
        <v>0</v>
      </c>
      <c r="N2845">
        <v>0</v>
      </c>
      <c r="O2845">
        <v>0</v>
      </c>
    </row>
    <row r="2846" spans="1:15">
      <c r="A2846" t="s">
        <v>3164</v>
      </c>
      <c r="B2846" t="s">
        <v>3081</v>
      </c>
      <c r="C2846" t="s">
        <v>317</v>
      </c>
      <c r="D2846">
        <v>83</v>
      </c>
      <c r="E2846">
        <v>100</v>
      </c>
      <c r="F2846">
        <v>0</v>
      </c>
      <c r="G2846">
        <v>0</v>
      </c>
      <c r="H2846">
        <v>0</v>
      </c>
      <c r="I2846">
        <v>0</v>
      </c>
      <c r="J2846">
        <v>0</v>
      </c>
      <c r="K2846">
        <v>0</v>
      </c>
      <c r="L2846">
        <v>0</v>
      </c>
      <c r="M2846">
        <v>0</v>
      </c>
      <c r="N2846">
        <v>0</v>
      </c>
      <c r="O2846">
        <v>0</v>
      </c>
    </row>
    <row r="2847" spans="1:15">
      <c r="A2847" t="s">
        <v>3165</v>
      </c>
      <c r="B2847" t="s">
        <v>3081</v>
      </c>
      <c r="C2847" t="s">
        <v>317</v>
      </c>
      <c r="D2847">
        <v>84</v>
      </c>
      <c r="E2847">
        <v>100</v>
      </c>
      <c r="F2847">
        <v>0</v>
      </c>
      <c r="G2847">
        <v>0</v>
      </c>
      <c r="H2847">
        <v>0</v>
      </c>
      <c r="I2847">
        <v>0</v>
      </c>
      <c r="J2847">
        <v>0</v>
      </c>
      <c r="K2847">
        <v>0</v>
      </c>
      <c r="L2847">
        <v>0</v>
      </c>
      <c r="M2847">
        <v>0</v>
      </c>
      <c r="N2847">
        <v>0</v>
      </c>
      <c r="O2847">
        <v>0</v>
      </c>
    </row>
    <row r="2848" spans="1:15">
      <c r="A2848" t="s">
        <v>3166</v>
      </c>
      <c r="B2848" t="s">
        <v>3081</v>
      </c>
      <c r="C2848" t="s">
        <v>317</v>
      </c>
      <c r="D2848">
        <v>85</v>
      </c>
      <c r="E2848">
        <v>100</v>
      </c>
      <c r="F2848">
        <v>0</v>
      </c>
      <c r="G2848">
        <v>0</v>
      </c>
      <c r="H2848">
        <v>0</v>
      </c>
      <c r="I2848">
        <v>0</v>
      </c>
      <c r="J2848">
        <v>0</v>
      </c>
      <c r="K2848">
        <v>0</v>
      </c>
      <c r="L2848">
        <v>0</v>
      </c>
      <c r="M2848">
        <v>0</v>
      </c>
      <c r="N2848">
        <v>0</v>
      </c>
      <c r="O2848">
        <v>0</v>
      </c>
    </row>
    <row r="2849" spans="1:15">
      <c r="A2849" t="s">
        <v>3167</v>
      </c>
      <c r="B2849" t="s">
        <v>3081</v>
      </c>
      <c r="C2849" t="s">
        <v>404</v>
      </c>
      <c r="D2849">
        <v>0</v>
      </c>
      <c r="E2849">
        <v>100</v>
      </c>
      <c r="F2849">
        <v>0</v>
      </c>
      <c r="G2849">
        <v>0</v>
      </c>
      <c r="H2849">
        <v>0</v>
      </c>
      <c r="I2849">
        <v>0</v>
      </c>
      <c r="J2849">
        <v>0</v>
      </c>
      <c r="K2849">
        <v>0</v>
      </c>
      <c r="L2849">
        <v>0</v>
      </c>
      <c r="M2849">
        <v>0</v>
      </c>
      <c r="N2849">
        <v>0</v>
      </c>
      <c r="O2849">
        <v>0</v>
      </c>
    </row>
    <row r="2850" spans="1:15">
      <c r="A2850" t="s">
        <v>3168</v>
      </c>
      <c r="B2850" t="s">
        <v>3081</v>
      </c>
      <c r="C2850" t="s">
        <v>404</v>
      </c>
      <c r="D2850">
        <v>1</v>
      </c>
      <c r="E2850">
        <v>100</v>
      </c>
      <c r="F2850">
        <v>0</v>
      </c>
      <c r="G2850">
        <v>0</v>
      </c>
      <c r="H2850">
        <v>0</v>
      </c>
      <c r="I2850">
        <v>0</v>
      </c>
      <c r="J2850">
        <v>0</v>
      </c>
      <c r="K2850">
        <v>0</v>
      </c>
      <c r="L2850">
        <v>0</v>
      </c>
      <c r="M2850">
        <v>0</v>
      </c>
      <c r="N2850">
        <v>0</v>
      </c>
      <c r="O2850">
        <v>0</v>
      </c>
    </row>
    <row r="2851" spans="1:15">
      <c r="A2851" t="s">
        <v>3169</v>
      </c>
      <c r="B2851" t="s">
        <v>3081</v>
      </c>
      <c r="C2851" t="s">
        <v>404</v>
      </c>
      <c r="D2851">
        <v>2</v>
      </c>
      <c r="E2851">
        <v>100</v>
      </c>
      <c r="F2851">
        <v>0</v>
      </c>
      <c r="G2851">
        <v>0</v>
      </c>
      <c r="H2851">
        <v>0</v>
      </c>
      <c r="I2851">
        <v>0</v>
      </c>
      <c r="J2851">
        <v>0</v>
      </c>
      <c r="K2851">
        <v>0</v>
      </c>
      <c r="L2851">
        <v>0</v>
      </c>
      <c r="M2851">
        <v>0</v>
      </c>
      <c r="N2851">
        <v>0</v>
      </c>
      <c r="O2851">
        <v>0</v>
      </c>
    </row>
    <row r="2852" spans="1:15">
      <c r="A2852" t="s">
        <v>3170</v>
      </c>
      <c r="B2852" t="s">
        <v>3081</v>
      </c>
      <c r="C2852" t="s">
        <v>404</v>
      </c>
      <c r="D2852">
        <v>3</v>
      </c>
      <c r="E2852">
        <v>100</v>
      </c>
      <c r="F2852">
        <v>0</v>
      </c>
      <c r="G2852">
        <v>0</v>
      </c>
      <c r="H2852">
        <v>0</v>
      </c>
      <c r="I2852">
        <v>0</v>
      </c>
      <c r="J2852">
        <v>0</v>
      </c>
      <c r="K2852">
        <v>0</v>
      </c>
      <c r="L2852">
        <v>0</v>
      </c>
      <c r="M2852">
        <v>0</v>
      </c>
      <c r="N2852">
        <v>0</v>
      </c>
      <c r="O2852">
        <v>0</v>
      </c>
    </row>
    <row r="2853" spans="1:15">
      <c r="A2853" t="s">
        <v>3171</v>
      </c>
      <c r="B2853" t="s">
        <v>3081</v>
      </c>
      <c r="C2853" t="s">
        <v>404</v>
      </c>
      <c r="D2853">
        <v>4</v>
      </c>
      <c r="E2853">
        <v>100</v>
      </c>
      <c r="F2853">
        <v>0</v>
      </c>
      <c r="G2853">
        <v>0</v>
      </c>
      <c r="H2853">
        <v>0</v>
      </c>
      <c r="I2853">
        <v>0</v>
      </c>
      <c r="J2853">
        <v>0</v>
      </c>
      <c r="K2853">
        <v>0</v>
      </c>
      <c r="L2853">
        <v>0</v>
      </c>
      <c r="M2853">
        <v>0</v>
      </c>
      <c r="N2853">
        <v>0</v>
      </c>
      <c r="O2853">
        <v>0</v>
      </c>
    </row>
    <row r="2854" spans="1:15">
      <c r="A2854" t="s">
        <v>3172</v>
      </c>
      <c r="B2854" t="s">
        <v>3081</v>
      </c>
      <c r="C2854" t="s">
        <v>404</v>
      </c>
      <c r="D2854">
        <v>5</v>
      </c>
      <c r="E2854">
        <v>100</v>
      </c>
      <c r="F2854">
        <v>0</v>
      </c>
      <c r="G2854">
        <v>0</v>
      </c>
      <c r="H2854">
        <v>0</v>
      </c>
      <c r="I2854">
        <v>0</v>
      </c>
      <c r="J2854">
        <v>0</v>
      </c>
      <c r="K2854">
        <v>0</v>
      </c>
      <c r="L2854">
        <v>0</v>
      </c>
      <c r="M2854">
        <v>0</v>
      </c>
      <c r="N2854">
        <v>0</v>
      </c>
      <c r="O2854">
        <v>0</v>
      </c>
    </row>
    <row r="2855" spans="1:15">
      <c r="A2855" t="s">
        <v>3173</v>
      </c>
      <c r="B2855" t="s">
        <v>3081</v>
      </c>
      <c r="C2855" t="s">
        <v>404</v>
      </c>
      <c r="D2855">
        <v>6</v>
      </c>
      <c r="E2855">
        <v>100</v>
      </c>
      <c r="F2855">
        <v>0</v>
      </c>
      <c r="G2855">
        <v>0</v>
      </c>
      <c r="H2855">
        <v>0</v>
      </c>
      <c r="I2855">
        <v>0</v>
      </c>
      <c r="J2855">
        <v>0</v>
      </c>
      <c r="K2855">
        <v>0</v>
      </c>
      <c r="L2855">
        <v>0</v>
      </c>
      <c r="M2855">
        <v>0</v>
      </c>
      <c r="N2855">
        <v>0</v>
      </c>
      <c r="O2855">
        <v>0</v>
      </c>
    </row>
    <row r="2856" spans="1:15">
      <c r="A2856" t="s">
        <v>3174</v>
      </c>
      <c r="B2856" t="s">
        <v>3081</v>
      </c>
      <c r="C2856" t="s">
        <v>404</v>
      </c>
      <c r="D2856">
        <v>7</v>
      </c>
      <c r="E2856">
        <v>100</v>
      </c>
      <c r="F2856">
        <v>0</v>
      </c>
      <c r="G2856">
        <v>0</v>
      </c>
      <c r="H2856">
        <v>0</v>
      </c>
      <c r="I2856">
        <v>0</v>
      </c>
      <c r="J2856">
        <v>0</v>
      </c>
      <c r="K2856">
        <v>0</v>
      </c>
      <c r="L2856">
        <v>0</v>
      </c>
      <c r="M2856">
        <v>0</v>
      </c>
      <c r="N2856">
        <v>0</v>
      </c>
      <c r="O2856">
        <v>0</v>
      </c>
    </row>
    <row r="2857" spans="1:15">
      <c r="A2857" t="s">
        <v>3175</v>
      </c>
      <c r="B2857" t="s">
        <v>3081</v>
      </c>
      <c r="C2857" t="s">
        <v>404</v>
      </c>
      <c r="D2857">
        <v>8</v>
      </c>
      <c r="E2857">
        <v>100</v>
      </c>
      <c r="F2857">
        <v>0</v>
      </c>
      <c r="G2857">
        <v>0</v>
      </c>
      <c r="H2857">
        <v>0</v>
      </c>
      <c r="I2857">
        <v>0</v>
      </c>
      <c r="J2857">
        <v>0</v>
      </c>
      <c r="K2857">
        <v>0</v>
      </c>
      <c r="L2857">
        <v>0</v>
      </c>
      <c r="M2857">
        <v>0</v>
      </c>
      <c r="N2857">
        <v>0</v>
      </c>
      <c r="O2857">
        <v>0</v>
      </c>
    </row>
    <row r="2858" spans="1:15">
      <c r="A2858" t="s">
        <v>3176</v>
      </c>
      <c r="B2858" t="s">
        <v>3081</v>
      </c>
      <c r="C2858" t="s">
        <v>404</v>
      </c>
      <c r="D2858">
        <v>9</v>
      </c>
      <c r="E2858">
        <v>100</v>
      </c>
      <c r="F2858">
        <v>0</v>
      </c>
      <c r="G2858">
        <v>0</v>
      </c>
      <c r="H2858">
        <v>0</v>
      </c>
      <c r="I2858">
        <v>0</v>
      </c>
      <c r="J2858">
        <v>0</v>
      </c>
      <c r="K2858">
        <v>0</v>
      </c>
      <c r="L2858">
        <v>0</v>
      </c>
      <c r="M2858">
        <v>0</v>
      </c>
      <c r="N2858">
        <v>0</v>
      </c>
      <c r="O2858">
        <v>0</v>
      </c>
    </row>
    <row r="2859" spans="1:15">
      <c r="A2859" t="s">
        <v>3177</v>
      </c>
      <c r="B2859" t="s">
        <v>3081</v>
      </c>
      <c r="C2859" t="s">
        <v>404</v>
      </c>
      <c r="D2859">
        <v>10</v>
      </c>
      <c r="E2859">
        <v>100</v>
      </c>
      <c r="F2859">
        <v>0</v>
      </c>
      <c r="G2859">
        <v>0</v>
      </c>
      <c r="H2859">
        <v>0</v>
      </c>
      <c r="I2859">
        <v>0</v>
      </c>
      <c r="J2859">
        <v>0</v>
      </c>
      <c r="K2859">
        <v>0</v>
      </c>
      <c r="L2859">
        <v>0</v>
      </c>
      <c r="M2859">
        <v>0</v>
      </c>
      <c r="N2859">
        <v>0</v>
      </c>
      <c r="O2859">
        <v>0</v>
      </c>
    </row>
    <row r="2860" spans="1:15">
      <c r="A2860" t="s">
        <v>3178</v>
      </c>
      <c r="B2860" t="s">
        <v>3081</v>
      </c>
      <c r="C2860" t="s">
        <v>404</v>
      </c>
      <c r="D2860">
        <v>11</v>
      </c>
      <c r="E2860">
        <v>100</v>
      </c>
      <c r="F2860">
        <v>0</v>
      </c>
      <c r="G2860">
        <v>0</v>
      </c>
      <c r="H2860">
        <v>0</v>
      </c>
      <c r="I2860">
        <v>0</v>
      </c>
      <c r="J2860">
        <v>0</v>
      </c>
      <c r="K2860">
        <v>0</v>
      </c>
      <c r="L2860">
        <v>0</v>
      </c>
      <c r="M2860">
        <v>0</v>
      </c>
      <c r="N2860">
        <v>0</v>
      </c>
      <c r="O2860">
        <v>0</v>
      </c>
    </row>
    <row r="2861" spans="1:15">
      <c r="A2861" t="s">
        <v>3179</v>
      </c>
      <c r="B2861" t="s">
        <v>3081</v>
      </c>
      <c r="C2861" t="s">
        <v>404</v>
      </c>
      <c r="D2861">
        <v>12</v>
      </c>
      <c r="E2861">
        <v>100</v>
      </c>
      <c r="F2861">
        <v>0</v>
      </c>
      <c r="G2861">
        <v>0</v>
      </c>
      <c r="H2861">
        <v>0</v>
      </c>
      <c r="I2861">
        <v>0</v>
      </c>
      <c r="J2861">
        <v>0</v>
      </c>
      <c r="K2861">
        <v>0</v>
      </c>
      <c r="L2861">
        <v>0</v>
      </c>
      <c r="M2861">
        <v>0</v>
      </c>
      <c r="N2861">
        <v>0</v>
      </c>
      <c r="O2861">
        <v>0</v>
      </c>
    </row>
    <row r="2862" spans="1:15">
      <c r="A2862" t="s">
        <v>3180</v>
      </c>
      <c r="B2862" t="s">
        <v>3081</v>
      </c>
      <c r="C2862" t="s">
        <v>404</v>
      </c>
      <c r="D2862">
        <v>13</v>
      </c>
      <c r="E2862">
        <v>100</v>
      </c>
      <c r="F2862">
        <v>0</v>
      </c>
      <c r="G2862">
        <v>0</v>
      </c>
      <c r="H2862">
        <v>0</v>
      </c>
      <c r="I2862">
        <v>0</v>
      </c>
      <c r="J2862">
        <v>0</v>
      </c>
      <c r="K2862">
        <v>0</v>
      </c>
      <c r="L2862">
        <v>0</v>
      </c>
      <c r="M2862">
        <v>0</v>
      </c>
      <c r="N2862">
        <v>0</v>
      </c>
      <c r="O2862">
        <v>0</v>
      </c>
    </row>
    <row r="2863" spans="1:15">
      <c r="A2863" t="s">
        <v>3181</v>
      </c>
      <c r="B2863" t="s">
        <v>3081</v>
      </c>
      <c r="C2863" t="s">
        <v>404</v>
      </c>
      <c r="D2863">
        <v>14</v>
      </c>
      <c r="E2863">
        <v>100</v>
      </c>
      <c r="F2863">
        <v>0</v>
      </c>
      <c r="G2863">
        <v>0</v>
      </c>
      <c r="H2863">
        <v>0</v>
      </c>
      <c r="I2863">
        <v>0</v>
      </c>
      <c r="J2863">
        <v>0</v>
      </c>
      <c r="K2863">
        <v>0</v>
      </c>
      <c r="L2863">
        <v>0</v>
      </c>
      <c r="M2863">
        <v>0</v>
      </c>
      <c r="N2863">
        <v>0</v>
      </c>
      <c r="O2863">
        <v>0</v>
      </c>
    </row>
    <row r="2864" spans="1:15">
      <c r="A2864" t="s">
        <v>3182</v>
      </c>
      <c r="B2864" t="s">
        <v>3081</v>
      </c>
      <c r="C2864" t="s">
        <v>404</v>
      </c>
      <c r="D2864">
        <v>15</v>
      </c>
      <c r="E2864">
        <v>100</v>
      </c>
      <c r="F2864">
        <v>0</v>
      </c>
      <c r="G2864">
        <v>0</v>
      </c>
      <c r="H2864">
        <v>0</v>
      </c>
      <c r="I2864">
        <v>0</v>
      </c>
      <c r="J2864">
        <v>0</v>
      </c>
      <c r="K2864">
        <v>0</v>
      </c>
      <c r="L2864">
        <v>0</v>
      </c>
      <c r="M2864">
        <v>0</v>
      </c>
      <c r="N2864">
        <v>0</v>
      </c>
      <c r="O2864">
        <v>0</v>
      </c>
    </row>
    <row r="2865" spans="1:15">
      <c r="A2865" t="s">
        <v>3183</v>
      </c>
      <c r="B2865" t="s">
        <v>3081</v>
      </c>
      <c r="C2865" t="s">
        <v>404</v>
      </c>
      <c r="D2865">
        <v>16</v>
      </c>
      <c r="E2865">
        <v>100</v>
      </c>
      <c r="F2865">
        <v>0</v>
      </c>
      <c r="G2865">
        <v>0</v>
      </c>
      <c r="H2865">
        <v>0</v>
      </c>
      <c r="I2865">
        <v>0</v>
      </c>
      <c r="J2865">
        <v>0</v>
      </c>
      <c r="K2865">
        <v>0</v>
      </c>
      <c r="L2865">
        <v>0</v>
      </c>
      <c r="M2865">
        <v>0</v>
      </c>
      <c r="N2865">
        <v>0</v>
      </c>
      <c r="O2865">
        <v>0</v>
      </c>
    </row>
    <row r="2866" spans="1:15">
      <c r="A2866" t="s">
        <v>3184</v>
      </c>
      <c r="B2866" t="s">
        <v>3081</v>
      </c>
      <c r="C2866" t="s">
        <v>404</v>
      </c>
      <c r="D2866">
        <v>17</v>
      </c>
      <c r="E2866">
        <v>100</v>
      </c>
      <c r="F2866">
        <v>0</v>
      </c>
      <c r="G2866">
        <v>0</v>
      </c>
      <c r="H2866">
        <v>0</v>
      </c>
      <c r="I2866">
        <v>0</v>
      </c>
      <c r="J2866">
        <v>0</v>
      </c>
      <c r="K2866">
        <v>0</v>
      </c>
      <c r="L2866">
        <v>0</v>
      </c>
      <c r="M2866">
        <v>0</v>
      </c>
      <c r="N2866">
        <v>0</v>
      </c>
      <c r="O2866">
        <v>0</v>
      </c>
    </row>
    <row r="2867" spans="1:15">
      <c r="A2867" t="s">
        <v>3185</v>
      </c>
      <c r="B2867" t="s">
        <v>3081</v>
      </c>
      <c r="C2867" t="s">
        <v>404</v>
      </c>
      <c r="D2867">
        <v>18</v>
      </c>
      <c r="E2867">
        <v>100</v>
      </c>
      <c r="F2867">
        <v>0</v>
      </c>
      <c r="G2867">
        <v>0</v>
      </c>
      <c r="H2867">
        <v>0</v>
      </c>
      <c r="I2867">
        <v>0</v>
      </c>
      <c r="J2867">
        <v>0</v>
      </c>
      <c r="K2867">
        <v>0</v>
      </c>
      <c r="L2867">
        <v>0</v>
      </c>
      <c r="M2867">
        <v>0</v>
      </c>
      <c r="N2867">
        <v>0</v>
      </c>
      <c r="O2867">
        <v>0</v>
      </c>
    </row>
    <row r="2868" spans="1:15">
      <c r="A2868" t="s">
        <v>3186</v>
      </c>
      <c r="B2868" t="s">
        <v>3081</v>
      </c>
      <c r="C2868" t="s">
        <v>404</v>
      </c>
      <c r="D2868">
        <v>19</v>
      </c>
      <c r="E2868">
        <v>100</v>
      </c>
      <c r="F2868">
        <v>0</v>
      </c>
      <c r="G2868">
        <v>0</v>
      </c>
      <c r="H2868">
        <v>0</v>
      </c>
      <c r="I2868">
        <v>0</v>
      </c>
      <c r="J2868">
        <v>0</v>
      </c>
      <c r="K2868">
        <v>0</v>
      </c>
      <c r="L2868">
        <v>0</v>
      </c>
      <c r="M2868">
        <v>0</v>
      </c>
      <c r="N2868">
        <v>0</v>
      </c>
      <c r="O2868">
        <v>0</v>
      </c>
    </row>
    <row r="2869" spans="1:15">
      <c r="A2869" t="s">
        <v>3187</v>
      </c>
      <c r="B2869" t="s">
        <v>3081</v>
      </c>
      <c r="C2869" t="s">
        <v>404</v>
      </c>
      <c r="D2869">
        <v>20</v>
      </c>
      <c r="E2869">
        <v>100</v>
      </c>
      <c r="F2869">
        <v>0</v>
      </c>
      <c r="G2869">
        <v>0</v>
      </c>
      <c r="H2869">
        <v>0</v>
      </c>
      <c r="I2869">
        <v>0</v>
      </c>
      <c r="J2869">
        <v>0</v>
      </c>
      <c r="K2869">
        <v>0</v>
      </c>
      <c r="L2869">
        <v>0</v>
      </c>
      <c r="M2869">
        <v>0</v>
      </c>
      <c r="N2869">
        <v>0</v>
      </c>
      <c r="O2869">
        <v>0</v>
      </c>
    </row>
    <row r="2870" spans="1:15">
      <c r="A2870" t="s">
        <v>3188</v>
      </c>
      <c r="B2870" t="s">
        <v>3081</v>
      </c>
      <c r="C2870" t="s">
        <v>404</v>
      </c>
      <c r="D2870">
        <v>21</v>
      </c>
      <c r="E2870">
        <v>100</v>
      </c>
      <c r="F2870">
        <v>0</v>
      </c>
      <c r="G2870">
        <v>0</v>
      </c>
      <c r="H2870">
        <v>0</v>
      </c>
      <c r="I2870">
        <v>0</v>
      </c>
      <c r="J2870">
        <v>0</v>
      </c>
      <c r="K2870">
        <v>0</v>
      </c>
      <c r="L2870">
        <v>0</v>
      </c>
      <c r="M2870">
        <v>0</v>
      </c>
      <c r="N2870">
        <v>0</v>
      </c>
      <c r="O2870">
        <v>0</v>
      </c>
    </row>
    <row r="2871" spans="1:15">
      <c r="A2871" t="s">
        <v>3189</v>
      </c>
      <c r="B2871" t="s">
        <v>3081</v>
      </c>
      <c r="C2871" t="s">
        <v>404</v>
      </c>
      <c r="D2871">
        <v>22</v>
      </c>
      <c r="E2871">
        <v>100</v>
      </c>
      <c r="F2871">
        <v>0</v>
      </c>
      <c r="G2871">
        <v>0</v>
      </c>
      <c r="H2871">
        <v>0</v>
      </c>
      <c r="I2871">
        <v>0</v>
      </c>
      <c r="J2871">
        <v>0</v>
      </c>
      <c r="K2871">
        <v>0</v>
      </c>
      <c r="L2871">
        <v>0</v>
      </c>
      <c r="M2871">
        <v>0</v>
      </c>
      <c r="N2871">
        <v>0</v>
      </c>
      <c r="O2871">
        <v>0</v>
      </c>
    </row>
    <row r="2872" spans="1:15">
      <c r="A2872" t="s">
        <v>3190</v>
      </c>
      <c r="B2872" t="s">
        <v>3081</v>
      </c>
      <c r="C2872" t="s">
        <v>404</v>
      </c>
      <c r="D2872">
        <v>23</v>
      </c>
      <c r="E2872">
        <v>100</v>
      </c>
      <c r="F2872">
        <v>0</v>
      </c>
      <c r="G2872">
        <v>0</v>
      </c>
      <c r="H2872">
        <v>0</v>
      </c>
      <c r="I2872">
        <v>0</v>
      </c>
      <c r="J2872">
        <v>0</v>
      </c>
      <c r="K2872">
        <v>0</v>
      </c>
      <c r="L2872">
        <v>0</v>
      </c>
      <c r="M2872">
        <v>0</v>
      </c>
      <c r="N2872">
        <v>0</v>
      </c>
      <c r="O2872">
        <v>0</v>
      </c>
    </row>
    <row r="2873" spans="1:15">
      <c r="A2873" t="s">
        <v>3191</v>
      </c>
      <c r="B2873" t="s">
        <v>3081</v>
      </c>
      <c r="C2873" t="s">
        <v>404</v>
      </c>
      <c r="D2873">
        <v>24</v>
      </c>
      <c r="E2873">
        <v>100</v>
      </c>
      <c r="F2873">
        <v>0</v>
      </c>
      <c r="G2873">
        <v>0</v>
      </c>
      <c r="H2873">
        <v>0</v>
      </c>
      <c r="I2873">
        <v>0</v>
      </c>
      <c r="J2873">
        <v>0</v>
      </c>
      <c r="K2873">
        <v>0</v>
      </c>
      <c r="L2873">
        <v>0</v>
      </c>
      <c r="M2873">
        <v>0</v>
      </c>
      <c r="N2873">
        <v>0</v>
      </c>
      <c r="O2873">
        <v>0</v>
      </c>
    </row>
    <row r="2874" spans="1:15">
      <c r="A2874" t="s">
        <v>3192</v>
      </c>
      <c r="B2874" t="s">
        <v>3081</v>
      </c>
      <c r="C2874" t="s">
        <v>404</v>
      </c>
      <c r="D2874">
        <v>25</v>
      </c>
      <c r="E2874">
        <v>100</v>
      </c>
      <c r="F2874">
        <v>0</v>
      </c>
      <c r="G2874">
        <v>0</v>
      </c>
      <c r="H2874">
        <v>0</v>
      </c>
      <c r="I2874">
        <v>0</v>
      </c>
      <c r="J2874">
        <v>0</v>
      </c>
      <c r="K2874">
        <v>0</v>
      </c>
      <c r="L2874">
        <v>0</v>
      </c>
      <c r="M2874">
        <v>0</v>
      </c>
      <c r="N2874">
        <v>0</v>
      </c>
      <c r="O2874">
        <v>0</v>
      </c>
    </row>
    <row r="2875" spans="1:15">
      <c r="A2875" t="s">
        <v>3193</v>
      </c>
      <c r="B2875" t="s">
        <v>3081</v>
      </c>
      <c r="C2875" t="s">
        <v>404</v>
      </c>
      <c r="D2875">
        <v>26</v>
      </c>
      <c r="E2875">
        <v>100</v>
      </c>
      <c r="F2875">
        <v>0</v>
      </c>
      <c r="G2875">
        <v>0</v>
      </c>
      <c r="H2875">
        <v>0</v>
      </c>
      <c r="I2875">
        <v>0</v>
      </c>
      <c r="J2875">
        <v>0</v>
      </c>
      <c r="K2875">
        <v>0</v>
      </c>
      <c r="L2875">
        <v>0</v>
      </c>
      <c r="M2875">
        <v>0</v>
      </c>
      <c r="N2875">
        <v>0</v>
      </c>
      <c r="O2875">
        <v>0</v>
      </c>
    </row>
    <row r="2876" spans="1:15">
      <c r="A2876" t="s">
        <v>3194</v>
      </c>
      <c r="B2876" t="s">
        <v>3081</v>
      </c>
      <c r="C2876" t="s">
        <v>404</v>
      </c>
      <c r="D2876">
        <v>27</v>
      </c>
      <c r="E2876">
        <v>100</v>
      </c>
      <c r="F2876">
        <v>0</v>
      </c>
      <c r="G2876">
        <v>0</v>
      </c>
      <c r="H2876">
        <v>0</v>
      </c>
      <c r="I2876">
        <v>0</v>
      </c>
      <c r="J2876">
        <v>0</v>
      </c>
      <c r="K2876">
        <v>0</v>
      </c>
      <c r="L2876">
        <v>0</v>
      </c>
      <c r="M2876">
        <v>0</v>
      </c>
      <c r="N2876">
        <v>0</v>
      </c>
      <c r="O2876">
        <v>0</v>
      </c>
    </row>
    <row r="2877" spans="1:15">
      <c r="A2877" t="s">
        <v>3195</v>
      </c>
      <c r="B2877" t="s">
        <v>3081</v>
      </c>
      <c r="C2877" t="s">
        <v>404</v>
      </c>
      <c r="D2877">
        <v>28</v>
      </c>
      <c r="E2877">
        <v>100</v>
      </c>
      <c r="F2877">
        <v>0</v>
      </c>
      <c r="G2877">
        <v>0</v>
      </c>
      <c r="H2877">
        <v>0</v>
      </c>
      <c r="I2877">
        <v>0</v>
      </c>
      <c r="J2877">
        <v>0</v>
      </c>
      <c r="K2877">
        <v>0</v>
      </c>
      <c r="L2877">
        <v>0</v>
      </c>
      <c r="M2877">
        <v>0</v>
      </c>
      <c r="N2877">
        <v>0</v>
      </c>
      <c r="O2877">
        <v>0</v>
      </c>
    </row>
    <row r="2878" spans="1:15">
      <c r="A2878" t="s">
        <v>3196</v>
      </c>
      <c r="B2878" t="s">
        <v>3081</v>
      </c>
      <c r="C2878" t="s">
        <v>404</v>
      </c>
      <c r="D2878">
        <v>29</v>
      </c>
      <c r="E2878">
        <v>100</v>
      </c>
      <c r="F2878">
        <v>0</v>
      </c>
      <c r="G2878">
        <v>0</v>
      </c>
      <c r="H2878">
        <v>0</v>
      </c>
      <c r="I2878">
        <v>0</v>
      </c>
      <c r="J2878">
        <v>0</v>
      </c>
      <c r="K2878">
        <v>0</v>
      </c>
      <c r="L2878">
        <v>0</v>
      </c>
      <c r="M2878">
        <v>0</v>
      </c>
      <c r="N2878">
        <v>0</v>
      </c>
      <c r="O2878">
        <v>0</v>
      </c>
    </row>
    <row r="2879" spans="1:15">
      <c r="A2879" t="s">
        <v>3197</v>
      </c>
      <c r="B2879" t="s">
        <v>3081</v>
      </c>
      <c r="C2879" t="s">
        <v>404</v>
      </c>
      <c r="D2879">
        <v>30</v>
      </c>
      <c r="E2879">
        <v>100</v>
      </c>
      <c r="F2879">
        <v>0</v>
      </c>
      <c r="G2879">
        <v>0</v>
      </c>
      <c r="H2879">
        <v>0</v>
      </c>
      <c r="I2879">
        <v>0</v>
      </c>
      <c r="J2879">
        <v>0</v>
      </c>
      <c r="K2879">
        <v>0</v>
      </c>
      <c r="L2879">
        <v>0</v>
      </c>
      <c r="M2879">
        <v>0</v>
      </c>
      <c r="N2879">
        <v>0</v>
      </c>
      <c r="O2879">
        <v>0</v>
      </c>
    </row>
    <row r="2880" spans="1:15">
      <c r="A2880" t="s">
        <v>3198</v>
      </c>
      <c r="B2880" t="s">
        <v>3081</v>
      </c>
      <c r="C2880" t="s">
        <v>404</v>
      </c>
      <c r="D2880">
        <v>31</v>
      </c>
      <c r="E2880">
        <v>100</v>
      </c>
      <c r="F2880">
        <v>0</v>
      </c>
      <c r="G2880">
        <v>0</v>
      </c>
      <c r="H2880">
        <v>0</v>
      </c>
      <c r="I2880">
        <v>0</v>
      </c>
      <c r="J2880">
        <v>0</v>
      </c>
      <c r="K2880">
        <v>0</v>
      </c>
      <c r="L2880">
        <v>0</v>
      </c>
      <c r="M2880">
        <v>0</v>
      </c>
      <c r="N2880">
        <v>0</v>
      </c>
      <c r="O2880">
        <v>0</v>
      </c>
    </row>
    <row r="2881" spans="1:15">
      <c r="A2881" t="s">
        <v>3199</v>
      </c>
      <c r="B2881" t="s">
        <v>3081</v>
      </c>
      <c r="C2881" t="s">
        <v>404</v>
      </c>
      <c r="D2881">
        <v>32</v>
      </c>
      <c r="E2881">
        <v>100</v>
      </c>
      <c r="F2881">
        <v>0</v>
      </c>
      <c r="G2881">
        <v>0</v>
      </c>
      <c r="H2881">
        <v>0</v>
      </c>
      <c r="I2881">
        <v>0</v>
      </c>
      <c r="J2881">
        <v>0</v>
      </c>
      <c r="K2881">
        <v>0</v>
      </c>
      <c r="L2881">
        <v>0</v>
      </c>
      <c r="M2881">
        <v>0</v>
      </c>
      <c r="N2881">
        <v>0</v>
      </c>
      <c r="O2881">
        <v>0</v>
      </c>
    </row>
    <row r="2882" spans="1:15">
      <c r="A2882" t="s">
        <v>3200</v>
      </c>
      <c r="B2882" t="s">
        <v>3081</v>
      </c>
      <c r="C2882" t="s">
        <v>404</v>
      </c>
      <c r="D2882">
        <v>33</v>
      </c>
      <c r="E2882">
        <v>100</v>
      </c>
      <c r="F2882">
        <v>0</v>
      </c>
      <c r="G2882">
        <v>0</v>
      </c>
      <c r="H2882">
        <v>0</v>
      </c>
      <c r="I2882">
        <v>0</v>
      </c>
      <c r="J2882">
        <v>0</v>
      </c>
      <c r="K2882">
        <v>0</v>
      </c>
      <c r="L2882">
        <v>0</v>
      </c>
      <c r="M2882">
        <v>0</v>
      </c>
      <c r="N2882">
        <v>0</v>
      </c>
      <c r="O2882">
        <v>0</v>
      </c>
    </row>
    <row r="2883" spans="1:15">
      <c r="A2883" t="s">
        <v>3201</v>
      </c>
      <c r="B2883" t="s">
        <v>3081</v>
      </c>
      <c r="C2883" t="s">
        <v>404</v>
      </c>
      <c r="D2883">
        <v>34</v>
      </c>
      <c r="E2883">
        <v>100</v>
      </c>
      <c r="F2883">
        <v>0</v>
      </c>
      <c r="G2883">
        <v>0</v>
      </c>
      <c r="H2883">
        <v>0</v>
      </c>
      <c r="I2883">
        <v>0</v>
      </c>
      <c r="J2883">
        <v>0</v>
      </c>
      <c r="K2883">
        <v>0</v>
      </c>
      <c r="L2883">
        <v>0</v>
      </c>
      <c r="M2883">
        <v>0</v>
      </c>
      <c r="N2883">
        <v>0</v>
      </c>
      <c r="O2883">
        <v>0</v>
      </c>
    </row>
    <row r="2884" spans="1:15">
      <c r="A2884" t="s">
        <v>3202</v>
      </c>
      <c r="B2884" t="s">
        <v>3081</v>
      </c>
      <c r="C2884" t="s">
        <v>404</v>
      </c>
      <c r="D2884">
        <v>35</v>
      </c>
      <c r="E2884">
        <v>100</v>
      </c>
      <c r="F2884">
        <v>0</v>
      </c>
      <c r="G2884">
        <v>0</v>
      </c>
      <c r="H2884">
        <v>0</v>
      </c>
      <c r="I2884">
        <v>0</v>
      </c>
      <c r="J2884">
        <v>0</v>
      </c>
      <c r="K2884">
        <v>0</v>
      </c>
      <c r="L2884">
        <v>0</v>
      </c>
      <c r="M2884">
        <v>0</v>
      </c>
      <c r="N2884">
        <v>0</v>
      </c>
      <c r="O2884">
        <v>0</v>
      </c>
    </row>
    <row r="2885" spans="1:15">
      <c r="A2885" t="s">
        <v>3203</v>
      </c>
      <c r="B2885" t="s">
        <v>3081</v>
      </c>
      <c r="C2885" t="s">
        <v>404</v>
      </c>
      <c r="D2885">
        <v>36</v>
      </c>
      <c r="E2885">
        <v>100</v>
      </c>
      <c r="F2885">
        <v>0</v>
      </c>
      <c r="G2885">
        <v>0</v>
      </c>
      <c r="H2885">
        <v>0</v>
      </c>
      <c r="I2885">
        <v>0</v>
      </c>
      <c r="J2885">
        <v>0</v>
      </c>
      <c r="K2885">
        <v>0</v>
      </c>
      <c r="L2885">
        <v>0</v>
      </c>
      <c r="M2885">
        <v>0</v>
      </c>
      <c r="N2885">
        <v>0</v>
      </c>
      <c r="O2885">
        <v>0</v>
      </c>
    </row>
    <row r="2886" spans="1:15">
      <c r="A2886" t="s">
        <v>3204</v>
      </c>
      <c r="B2886" t="s">
        <v>3081</v>
      </c>
      <c r="C2886" t="s">
        <v>404</v>
      </c>
      <c r="D2886">
        <v>37</v>
      </c>
      <c r="E2886">
        <v>100</v>
      </c>
      <c r="F2886">
        <v>0</v>
      </c>
      <c r="G2886">
        <v>0</v>
      </c>
      <c r="H2886">
        <v>0</v>
      </c>
      <c r="I2886">
        <v>0</v>
      </c>
      <c r="J2886">
        <v>0</v>
      </c>
      <c r="K2886">
        <v>0</v>
      </c>
      <c r="L2886">
        <v>0</v>
      </c>
      <c r="M2886">
        <v>0</v>
      </c>
      <c r="N2886">
        <v>0</v>
      </c>
      <c r="O2886">
        <v>0</v>
      </c>
    </row>
    <row r="2887" spans="1:15">
      <c r="A2887" t="s">
        <v>3205</v>
      </c>
      <c r="B2887" t="s">
        <v>3081</v>
      </c>
      <c r="C2887" t="s">
        <v>404</v>
      </c>
      <c r="D2887">
        <v>38</v>
      </c>
      <c r="E2887">
        <v>100</v>
      </c>
      <c r="F2887">
        <v>0</v>
      </c>
      <c r="G2887">
        <v>0</v>
      </c>
      <c r="H2887">
        <v>0</v>
      </c>
      <c r="I2887">
        <v>0</v>
      </c>
      <c r="J2887">
        <v>0</v>
      </c>
      <c r="K2887">
        <v>0</v>
      </c>
      <c r="L2887">
        <v>0</v>
      </c>
      <c r="M2887">
        <v>0</v>
      </c>
      <c r="N2887">
        <v>0</v>
      </c>
      <c r="O2887">
        <v>0</v>
      </c>
    </row>
    <row r="2888" spans="1:15">
      <c r="A2888" t="s">
        <v>3206</v>
      </c>
      <c r="B2888" t="s">
        <v>3081</v>
      </c>
      <c r="C2888" t="s">
        <v>404</v>
      </c>
      <c r="D2888">
        <v>39</v>
      </c>
      <c r="E2888">
        <v>100</v>
      </c>
      <c r="F2888">
        <v>0</v>
      </c>
      <c r="G2888">
        <v>0</v>
      </c>
      <c r="H2888">
        <v>0</v>
      </c>
      <c r="I2888">
        <v>0</v>
      </c>
      <c r="J2888">
        <v>0</v>
      </c>
      <c r="K2888">
        <v>0</v>
      </c>
      <c r="L2888">
        <v>0</v>
      </c>
      <c r="M2888">
        <v>0</v>
      </c>
      <c r="N2888">
        <v>0</v>
      </c>
      <c r="O2888">
        <v>0</v>
      </c>
    </row>
    <row r="2889" spans="1:15">
      <c r="A2889" t="s">
        <v>3207</v>
      </c>
      <c r="B2889" t="s">
        <v>3081</v>
      </c>
      <c r="C2889" t="s">
        <v>404</v>
      </c>
      <c r="D2889">
        <v>40</v>
      </c>
      <c r="E2889">
        <v>100</v>
      </c>
      <c r="F2889">
        <v>0</v>
      </c>
      <c r="G2889">
        <v>0</v>
      </c>
      <c r="H2889">
        <v>0</v>
      </c>
      <c r="I2889">
        <v>0</v>
      </c>
      <c r="J2889">
        <v>0</v>
      </c>
      <c r="K2889">
        <v>0</v>
      </c>
      <c r="L2889">
        <v>0</v>
      </c>
      <c r="M2889">
        <v>0</v>
      </c>
      <c r="N2889">
        <v>0</v>
      </c>
      <c r="O2889">
        <v>0</v>
      </c>
    </row>
    <row r="2890" spans="1:15">
      <c r="A2890" t="s">
        <v>3208</v>
      </c>
      <c r="B2890" t="s">
        <v>3081</v>
      </c>
      <c r="C2890" t="s">
        <v>404</v>
      </c>
      <c r="D2890">
        <v>41</v>
      </c>
      <c r="E2890">
        <v>100</v>
      </c>
      <c r="F2890">
        <v>0</v>
      </c>
      <c r="G2890">
        <v>0</v>
      </c>
      <c r="H2890">
        <v>0</v>
      </c>
      <c r="I2890">
        <v>0</v>
      </c>
      <c r="J2890">
        <v>0</v>
      </c>
      <c r="K2890">
        <v>0</v>
      </c>
      <c r="L2890">
        <v>0</v>
      </c>
      <c r="M2890">
        <v>0</v>
      </c>
      <c r="N2890">
        <v>0</v>
      </c>
      <c r="O2890">
        <v>0</v>
      </c>
    </row>
    <row r="2891" spans="1:15">
      <c r="A2891" t="s">
        <v>3209</v>
      </c>
      <c r="B2891" t="s">
        <v>3081</v>
      </c>
      <c r="C2891" t="s">
        <v>404</v>
      </c>
      <c r="D2891">
        <v>42</v>
      </c>
      <c r="E2891">
        <v>100</v>
      </c>
      <c r="F2891">
        <v>0</v>
      </c>
      <c r="G2891">
        <v>0</v>
      </c>
      <c r="H2891">
        <v>0</v>
      </c>
      <c r="I2891">
        <v>0</v>
      </c>
      <c r="J2891">
        <v>0</v>
      </c>
      <c r="K2891">
        <v>0</v>
      </c>
      <c r="L2891">
        <v>0</v>
      </c>
      <c r="M2891">
        <v>0</v>
      </c>
      <c r="N2891">
        <v>0</v>
      </c>
      <c r="O2891">
        <v>0</v>
      </c>
    </row>
    <row r="2892" spans="1:15">
      <c r="A2892" t="s">
        <v>3210</v>
      </c>
      <c r="B2892" t="s">
        <v>3081</v>
      </c>
      <c r="C2892" t="s">
        <v>404</v>
      </c>
      <c r="D2892">
        <v>43</v>
      </c>
      <c r="E2892">
        <v>100</v>
      </c>
      <c r="F2892">
        <v>0</v>
      </c>
      <c r="G2892">
        <v>0</v>
      </c>
      <c r="H2892">
        <v>0</v>
      </c>
      <c r="I2892">
        <v>0</v>
      </c>
      <c r="J2892">
        <v>0</v>
      </c>
      <c r="K2892">
        <v>0</v>
      </c>
      <c r="L2892">
        <v>0</v>
      </c>
      <c r="M2892">
        <v>0</v>
      </c>
      <c r="N2892">
        <v>0</v>
      </c>
      <c r="O2892">
        <v>0</v>
      </c>
    </row>
    <row r="2893" spans="1:15">
      <c r="A2893" t="s">
        <v>3211</v>
      </c>
      <c r="B2893" t="s">
        <v>3081</v>
      </c>
      <c r="C2893" t="s">
        <v>404</v>
      </c>
      <c r="D2893">
        <v>44</v>
      </c>
      <c r="E2893">
        <v>100</v>
      </c>
      <c r="F2893">
        <v>0</v>
      </c>
      <c r="G2893">
        <v>0</v>
      </c>
      <c r="H2893">
        <v>0</v>
      </c>
      <c r="I2893">
        <v>0</v>
      </c>
      <c r="J2893">
        <v>0</v>
      </c>
      <c r="K2893">
        <v>0</v>
      </c>
      <c r="L2893">
        <v>0</v>
      </c>
      <c r="M2893">
        <v>0</v>
      </c>
      <c r="N2893">
        <v>0</v>
      </c>
      <c r="O2893">
        <v>0</v>
      </c>
    </row>
    <row r="2894" spans="1:15">
      <c r="A2894" t="s">
        <v>3212</v>
      </c>
      <c r="B2894" t="s">
        <v>3081</v>
      </c>
      <c r="C2894" t="s">
        <v>404</v>
      </c>
      <c r="D2894">
        <v>45</v>
      </c>
      <c r="E2894">
        <v>100</v>
      </c>
      <c r="F2894">
        <v>0</v>
      </c>
      <c r="G2894">
        <v>0</v>
      </c>
      <c r="H2894">
        <v>0</v>
      </c>
      <c r="I2894">
        <v>0</v>
      </c>
      <c r="J2894">
        <v>0</v>
      </c>
      <c r="K2894">
        <v>0</v>
      </c>
      <c r="L2894">
        <v>0</v>
      </c>
      <c r="M2894">
        <v>0</v>
      </c>
      <c r="N2894">
        <v>0</v>
      </c>
      <c r="O2894">
        <v>0</v>
      </c>
    </row>
    <row r="2895" spans="1:15">
      <c r="A2895" t="s">
        <v>3213</v>
      </c>
      <c r="B2895" t="s">
        <v>3081</v>
      </c>
      <c r="C2895" t="s">
        <v>404</v>
      </c>
      <c r="D2895">
        <v>46</v>
      </c>
      <c r="E2895">
        <v>100</v>
      </c>
      <c r="F2895">
        <v>0</v>
      </c>
      <c r="G2895">
        <v>0</v>
      </c>
      <c r="H2895">
        <v>0</v>
      </c>
      <c r="I2895">
        <v>0</v>
      </c>
      <c r="J2895">
        <v>0</v>
      </c>
      <c r="K2895">
        <v>0</v>
      </c>
      <c r="L2895">
        <v>0</v>
      </c>
      <c r="M2895">
        <v>0</v>
      </c>
      <c r="N2895">
        <v>0</v>
      </c>
      <c r="O2895">
        <v>0</v>
      </c>
    </row>
    <row r="2896" spans="1:15">
      <c r="A2896" t="s">
        <v>3214</v>
      </c>
      <c r="B2896" t="s">
        <v>3081</v>
      </c>
      <c r="C2896" t="s">
        <v>404</v>
      </c>
      <c r="D2896">
        <v>47</v>
      </c>
      <c r="E2896">
        <v>100</v>
      </c>
      <c r="F2896">
        <v>0</v>
      </c>
      <c r="G2896">
        <v>0</v>
      </c>
      <c r="H2896">
        <v>0</v>
      </c>
      <c r="I2896">
        <v>0</v>
      </c>
      <c r="J2896">
        <v>0</v>
      </c>
      <c r="K2896">
        <v>0</v>
      </c>
      <c r="L2896">
        <v>0</v>
      </c>
      <c r="M2896">
        <v>0</v>
      </c>
      <c r="N2896">
        <v>0</v>
      </c>
      <c r="O2896">
        <v>0</v>
      </c>
    </row>
    <row r="2897" spans="1:15">
      <c r="A2897" t="s">
        <v>3215</v>
      </c>
      <c r="B2897" t="s">
        <v>3081</v>
      </c>
      <c r="C2897" t="s">
        <v>404</v>
      </c>
      <c r="D2897">
        <v>48</v>
      </c>
      <c r="E2897">
        <v>100</v>
      </c>
      <c r="F2897">
        <v>0</v>
      </c>
      <c r="G2897">
        <v>0</v>
      </c>
      <c r="H2897">
        <v>0</v>
      </c>
      <c r="I2897">
        <v>0</v>
      </c>
      <c r="J2897">
        <v>0</v>
      </c>
      <c r="K2897">
        <v>0</v>
      </c>
      <c r="L2897">
        <v>0</v>
      </c>
      <c r="M2897">
        <v>0</v>
      </c>
      <c r="N2897">
        <v>0</v>
      </c>
      <c r="O2897">
        <v>0</v>
      </c>
    </row>
    <row r="2898" spans="1:15">
      <c r="A2898" t="s">
        <v>3216</v>
      </c>
      <c r="B2898" t="s">
        <v>3081</v>
      </c>
      <c r="C2898" t="s">
        <v>404</v>
      </c>
      <c r="D2898">
        <v>49</v>
      </c>
      <c r="E2898">
        <v>100</v>
      </c>
      <c r="F2898">
        <v>0</v>
      </c>
      <c r="G2898">
        <v>0</v>
      </c>
      <c r="H2898">
        <v>0</v>
      </c>
      <c r="I2898">
        <v>0</v>
      </c>
      <c r="J2898">
        <v>0</v>
      </c>
      <c r="K2898">
        <v>0</v>
      </c>
      <c r="L2898">
        <v>0</v>
      </c>
      <c r="M2898">
        <v>0</v>
      </c>
      <c r="N2898">
        <v>0</v>
      </c>
      <c r="O2898">
        <v>0</v>
      </c>
    </row>
    <row r="2899" spans="1:15">
      <c r="A2899" t="s">
        <v>3217</v>
      </c>
      <c r="B2899" t="s">
        <v>3081</v>
      </c>
      <c r="C2899" t="s">
        <v>404</v>
      </c>
      <c r="D2899">
        <v>50</v>
      </c>
      <c r="E2899">
        <v>100</v>
      </c>
      <c r="F2899">
        <v>0</v>
      </c>
      <c r="G2899">
        <v>0</v>
      </c>
      <c r="H2899">
        <v>0</v>
      </c>
      <c r="I2899">
        <v>0</v>
      </c>
      <c r="J2899">
        <v>0</v>
      </c>
      <c r="K2899">
        <v>0</v>
      </c>
      <c r="L2899">
        <v>0</v>
      </c>
      <c r="M2899">
        <v>0</v>
      </c>
      <c r="N2899">
        <v>0</v>
      </c>
      <c r="O2899">
        <v>0</v>
      </c>
    </row>
    <row r="2900" spans="1:15">
      <c r="A2900" t="s">
        <v>3218</v>
      </c>
      <c r="B2900" t="s">
        <v>3081</v>
      </c>
      <c r="C2900" t="s">
        <v>404</v>
      </c>
      <c r="D2900">
        <v>51</v>
      </c>
      <c r="E2900">
        <v>100</v>
      </c>
      <c r="F2900">
        <v>0</v>
      </c>
      <c r="G2900">
        <v>0</v>
      </c>
      <c r="H2900">
        <v>0</v>
      </c>
      <c r="I2900">
        <v>0</v>
      </c>
      <c r="J2900">
        <v>0</v>
      </c>
      <c r="K2900">
        <v>0</v>
      </c>
      <c r="L2900">
        <v>0</v>
      </c>
      <c r="M2900">
        <v>0</v>
      </c>
      <c r="N2900">
        <v>0</v>
      </c>
      <c r="O2900">
        <v>0</v>
      </c>
    </row>
    <row r="2901" spans="1:15">
      <c r="A2901" t="s">
        <v>3219</v>
      </c>
      <c r="B2901" t="s">
        <v>3081</v>
      </c>
      <c r="C2901" t="s">
        <v>404</v>
      </c>
      <c r="D2901">
        <v>52</v>
      </c>
      <c r="E2901">
        <v>100</v>
      </c>
      <c r="F2901">
        <v>0</v>
      </c>
      <c r="G2901">
        <v>0</v>
      </c>
      <c r="H2901">
        <v>0</v>
      </c>
      <c r="I2901">
        <v>0</v>
      </c>
      <c r="J2901">
        <v>0</v>
      </c>
      <c r="K2901">
        <v>0</v>
      </c>
      <c r="L2901">
        <v>0</v>
      </c>
      <c r="M2901">
        <v>0</v>
      </c>
      <c r="N2901">
        <v>0</v>
      </c>
      <c r="O2901">
        <v>0</v>
      </c>
    </row>
    <row r="2902" spans="1:15">
      <c r="A2902" t="s">
        <v>3220</v>
      </c>
      <c r="B2902" t="s">
        <v>3081</v>
      </c>
      <c r="C2902" t="s">
        <v>404</v>
      </c>
      <c r="D2902">
        <v>53</v>
      </c>
      <c r="E2902">
        <v>100</v>
      </c>
      <c r="F2902">
        <v>0</v>
      </c>
      <c r="G2902">
        <v>0</v>
      </c>
      <c r="H2902">
        <v>0</v>
      </c>
      <c r="I2902">
        <v>0</v>
      </c>
      <c r="J2902">
        <v>0</v>
      </c>
      <c r="K2902">
        <v>0</v>
      </c>
      <c r="L2902">
        <v>0</v>
      </c>
      <c r="M2902">
        <v>0</v>
      </c>
      <c r="N2902">
        <v>0</v>
      </c>
      <c r="O2902">
        <v>0</v>
      </c>
    </row>
    <row r="2903" spans="1:15">
      <c r="A2903" t="s">
        <v>3221</v>
      </c>
      <c r="B2903" t="s">
        <v>3081</v>
      </c>
      <c r="C2903" t="s">
        <v>404</v>
      </c>
      <c r="D2903">
        <v>54</v>
      </c>
      <c r="E2903">
        <v>100</v>
      </c>
      <c r="F2903">
        <v>0</v>
      </c>
      <c r="G2903">
        <v>0</v>
      </c>
      <c r="H2903">
        <v>0</v>
      </c>
      <c r="I2903">
        <v>0</v>
      </c>
      <c r="J2903">
        <v>0</v>
      </c>
      <c r="K2903">
        <v>0</v>
      </c>
      <c r="L2903">
        <v>0</v>
      </c>
      <c r="M2903">
        <v>0</v>
      </c>
      <c r="N2903">
        <v>0</v>
      </c>
      <c r="O2903">
        <v>0</v>
      </c>
    </row>
    <row r="2904" spans="1:15">
      <c r="A2904" t="s">
        <v>3222</v>
      </c>
      <c r="B2904" t="s">
        <v>3081</v>
      </c>
      <c r="C2904" t="s">
        <v>404</v>
      </c>
      <c r="D2904">
        <v>55</v>
      </c>
      <c r="E2904">
        <v>100</v>
      </c>
      <c r="F2904">
        <v>0</v>
      </c>
      <c r="G2904">
        <v>0</v>
      </c>
      <c r="H2904">
        <v>0</v>
      </c>
      <c r="I2904">
        <v>0</v>
      </c>
      <c r="J2904">
        <v>0</v>
      </c>
      <c r="K2904">
        <v>0</v>
      </c>
      <c r="L2904">
        <v>0</v>
      </c>
      <c r="M2904">
        <v>0</v>
      </c>
      <c r="N2904">
        <v>0</v>
      </c>
      <c r="O2904">
        <v>0</v>
      </c>
    </row>
    <row r="2905" spans="1:15">
      <c r="A2905" t="s">
        <v>3223</v>
      </c>
      <c r="B2905" t="s">
        <v>3081</v>
      </c>
      <c r="C2905" t="s">
        <v>404</v>
      </c>
      <c r="D2905">
        <v>56</v>
      </c>
      <c r="E2905">
        <v>100</v>
      </c>
      <c r="F2905">
        <v>0</v>
      </c>
      <c r="G2905">
        <v>0</v>
      </c>
      <c r="H2905">
        <v>0</v>
      </c>
      <c r="I2905">
        <v>0</v>
      </c>
      <c r="J2905">
        <v>0</v>
      </c>
      <c r="K2905">
        <v>0</v>
      </c>
      <c r="L2905">
        <v>0</v>
      </c>
      <c r="M2905">
        <v>0</v>
      </c>
      <c r="N2905">
        <v>0</v>
      </c>
      <c r="O2905">
        <v>0</v>
      </c>
    </row>
    <row r="2906" spans="1:15">
      <c r="A2906" t="s">
        <v>3224</v>
      </c>
      <c r="B2906" t="s">
        <v>3081</v>
      </c>
      <c r="C2906" t="s">
        <v>404</v>
      </c>
      <c r="D2906">
        <v>57</v>
      </c>
      <c r="E2906">
        <v>100</v>
      </c>
      <c r="F2906">
        <v>0</v>
      </c>
      <c r="G2906">
        <v>0</v>
      </c>
      <c r="H2906">
        <v>0</v>
      </c>
      <c r="I2906">
        <v>0</v>
      </c>
      <c r="J2906">
        <v>0</v>
      </c>
      <c r="K2906">
        <v>0</v>
      </c>
      <c r="L2906">
        <v>0</v>
      </c>
      <c r="M2906">
        <v>0</v>
      </c>
      <c r="N2906">
        <v>0</v>
      </c>
      <c r="O2906">
        <v>0</v>
      </c>
    </row>
    <row r="2907" spans="1:15">
      <c r="A2907" t="s">
        <v>3225</v>
      </c>
      <c r="B2907" t="s">
        <v>3081</v>
      </c>
      <c r="C2907" t="s">
        <v>404</v>
      </c>
      <c r="D2907">
        <v>58</v>
      </c>
      <c r="E2907">
        <v>100</v>
      </c>
      <c r="F2907">
        <v>0</v>
      </c>
      <c r="G2907">
        <v>0</v>
      </c>
      <c r="H2907">
        <v>0</v>
      </c>
      <c r="I2907">
        <v>0</v>
      </c>
      <c r="J2907">
        <v>0</v>
      </c>
      <c r="K2907">
        <v>0</v>
      </c>
      <c r="L2907">
        <v>0</v>
      </c>
      <c r="M2907">
        <v>0</v>
      </c>
      <c r="N2907">
        <v>0</v>
      </c>
      <c r="O2907">
        <v>0</v>
      </c>
    </row>
    <row r="2908" spans="1:15">
      <c r="A2908" t="s">
        <v>3226</v>
      </c>
      <c r="B2908" t="s">
        <v>3081</v>
      </c>
      <c r="C2908" t="s">
        <v>404</v>
      </c>
      <c r="D2908">
        <v>59</v>
      </c>
      <c r="E2908">
        <v>100</v>
      </c>
      <c r="F2908">
        <v>0</v>
      </c>
      <c r="G2908">
        <v>0</v>
      </c>
      <c r="H2908">
        <v>0</v>
      </c>
      <c r="I2908">
        <v>0</v>
      </c>
      <c r="J2908">
        <v>0</v>
      </c>
      <c r="K2908">
        <v>0</v>
      </c>
      <c r="L2908">
        <v>0</v>
      </c>
      <c r="M2908">
        <v>0</v>
      </c>
      <c r="N2908">
        <v>0</v>
      </c>
      <c r="O2908">
        <v>0</v>
      </c>
    </row>
    <row r="2909" spans="1:15">
      <c r="A2909" t="s">
        <v>3227</v>
      </c>
      <c r="B2909" t="s">
        <v>3081</v>
      </c>
      <c r="C2909" t="s">
        <v>404</v>
      </c>
      <c r="D2909">
        <v>60</v>
      </c>
      <c r="E2909">
        <v>100</v>
      </c>
      <c r="F2909">
        <v>0</v>
      </c>
      <c r="G2909">
        <v>0</v>
      </c>
      <c r="H2909">
        <v>0</v>
      </c>
      <c r="I2909">
        <v>0</v>
      </c>
      <c r="J2909">
        <v>0</v>
      </c>
      <c r="K2909">
        <v>0</v>
      </c>
      <c r="L2909">
        <v>0</v>
      </c>
      <c r="M2909">
        <v>0</v>
      </c>
      <c r="N2909">
        <v>0</v>
      </c>
      <c r="O2909">
        <v>0</v>
      </c>
    </row>
    <row r="2910" spans="1:15">
      <c r="A2910" t="s">
        <v>3228</v>
      </c>
      <c r="B2910" t="s">
        <v>3081</v>
      </c>
      <c r="C2910" t="s">
        <v>404</v>
      </c>
      <c r="D2910">
        <v>61</v>
      </c>
      <c r="E2910">
        <v>100</v>
      </c>
      <c r="F2910">
        <v>0</v>
      </c>
      <c r="G2910">
        <v>0</v>
      </c>
      <c r="H2910">
        <v>0</v>
      </c>
      <c r="I2910">
        <v>0</v>
      </c>
      <c r="J2910">
        <v>0</v>
      </c>
      <c r="K2910">
        <v>0</v>
      </c>
      <c r="L2910">
        <v>0</v>
      </c>
      <c r="M2910">
        <v>0</v>
      </c>
      <c r="N2910">
        <v>0</v>
      </c>
      <c r="O2910">
        <v>0</v>
      </c>
    </row>
    <row r="2911" spans="1:15">
      <c r="A2911" t="s">
        <v>3229</v>
      </c>
      <c r="B2911" t="s">
        <v>3081</v>
      </c>
      <c r="C2911" t="s">
        <v>404</v>
      </c>
      <c r="D2911">
        <v>62</v>
      </c>
      <c r="E2911">
        <v>100</v>
      </c>
      <c r="F2911">
        <v>0</v>
      </c>
      <c r="G2911">
        <v>0</v>
      </c>
      <c r="H2911">
        <v>0</v>
      </c>
      <c r="I2911">
        <v>0</v>
      </c>
      <c r="J2911">
        <v>0</v>
      </c>
      <c r="K2911">
        <v>0</v>
      </c>
      <c r="L2911">
        <v>0</v>
      </c>
      <c r="M2911">
        <v>0</v>
      </c>
      <c r="N2911">
        <v>0</v>
      </c>
      <c r="O2911">
        <v>0</v>
      </c>
    </row>
    <row r="2912" spans="1:15">
      <c r="A2912" t="s">
        <v>3230</v>
      </c>
      <c r="B2912" t="s">
        <v>3081</v>
      </c>
      <c r="C2912" t="s">
        <v>404</v>
      </c>
      <c r="D2912">
        <v>63</v>
      </c>
      <c r="E2912">
        <v>100</v>
      </c>
      <c r="F2912">
        <v>0</v>
      </c>
      <c r="G2912">
        <v>0</v>
      </c>
      <c r="H2912">
        <v>0</v>
      </c>
      <c r="I2912">
        <v>0</v>
      </c>
      <c r="J2912">
        <v>0</v>
      </c>
      <c r="K2912">
        <v>0</v>
      </c>
      <c r="L2912">
        <v>0</v>
      </c>
      <c r="M2912">
        <v>0</v>
      </c>
      <c r="N2912">
        <v>0</v>
      </c>
      <c r="O2912">
        <v>0</v>
      </c>
    </row>
    <row r="2913" spans="1:15">
      <c r="A2913" t="s">
        <v>3231</v>
      </c>
      <c r="B2913" t="s">
        <v>3081</v>
      </c>
      <c r="C2913" t="s">
        <v>404</v>
      </c>
      <c r="D2913">
        <v>64</v>
      </c>
      <c r="E2913">
        <v>100</v>
      </c>
      <c r="F2913">
        <v>0</v>
      </c>
      <c r="G2913">
        <v>0</v>
      </c>
      <c r="H2913">
        <v>0</v>
      </c>
      <c r="I2913">
        <v>0</v>
      </c>
      <c r="J2913">
        <v>0</v>
      </c>
      <c r="K2913">
        <v>0</v>
      </c>
      <c r="L2913">
        <v>0</v>
      </c>
      <c r="M2913">
        <v>0</v>
      </c>
      <c r="N2913">
        <v>0</v>
      </c>
      <c r="O2913">
        <v>0</v>
      </c>
    </row>
    <row r="2914" spans="1:15">
      <c r="A2914" t="s">
        <v>3232</v>
      </c>
      <c r="B2914" t="s">
        <v>3081</v>
      </c>
      <c r="C2914" t="s">
        <v>404</v>
      </c>
      <c r="D2914">
        <v>65</v>
      </c>
      <c r="E2914">
        <v>100</v>
      </c>
      <c r="F2914">
        <v>0</v>
      </c>
      <c r="G2914">
        <v>0</v>
      </c>
      <c r="H2914">
        <v>0</v>
      </c>
      <c r="I2914">
        <v>0</v>
      </c>
      <c r="J2914">
        <v>0</v>
      </c>
      <c r="K2914">
        <v>0</v>
      </c>
      <c r="L2914">
        <v>0</v>
      </c>
      <c r="M2914">
        <v>0</v>
      </c>
      <c r="N2914">
        <v>0</v>
      </c>
      <c r="O2914">
        <v>0</v>
      </c>
    </row>
    <row r="2915" spans="1:15">
      <c r="A2915" t="s">
        <v>3233</v>
      </c>
      <c r="B2915" t="s">
        <v>3081</v>
      </c>
      <c r="C2915" t="s">
        <v>404</v>
      </c>
      <c r="D2915">
        <v>66</v>
      </c>
      <c r="E2915">
        <v>100</v>
      </c>
      <c r="F2915">
        <v>0</v>
      </c>
      <c r="G2915">
        <v>0</v>
      </c>
      <c r="H2915">
        <v>0</v>
      </c>
      <c r="I2915">
        <v>0</v>
      </c>
      <c r="J2915">
        <v>0</v>
      </c>
      <c r="K2915">
        <v>0</v>
      </c>
      <c r="L2915">
        <v>0</v>
      </c>
      <c r="M2915">
        <v>0</v>
      </c>
      <c r="N2915">
        <v>0</v>
      </c>
      <c r="O2915">
        <v>0</v>
      </c>
    </row>
    <row r="2916" spans="1:15">
      <c r="A2916" t="s">
        <v>3234</v>
      </c>
      <c r="B2916" t="s">
        <v>3081</v>
      </c>
      <c r="C2916" t="s">
        <v>404</v>
      </c>
      <c r="D2916">
        <v>67</v>
      </c>
      <c r="E2916">
        <v>100</v>
      </c>
      <c r="F2916">
        <v>0</v>
      </c>
      <c r="G2916">
        <v>0</v>
      </c>
      <c r="H2916">
        <v>0</v>
      </c>
      <c r="I2916">
        <v>0</v>
      </c>
      <c r="J2916">
        <v>0</v>
      </c>
      <c r="K2916">
        <v>0</v>
      </c>
      <c r="L2916">
        <v>0</v>
      </c>
      <c r="M2916">
        <v>0</v>
      </c>
      <c r="N2916">
        <v>0</v>
      </c>
      <c r="O2916">
        <v>0</v>
      </c>
    </row>
    <row r="2917" spans="1:15">
      <c r="A2917" t="s">
        <v>3235</v>
      </c>
      <c r="B2917" t="s">
        <v>3081</v>
      </c>
      <c r="C2917" t="s">
        <v>404</v>
      </c>
      <c r="D2917">
        <v>68</v>
      </c>
      <c r="E2917">
        <v>100</v>
      </c>
      <c r="F2917">
        <v>0</v>
      </c>
      <c r="G2917">
        <v>0</v>
      </c>
      <c r="H2917">
        <v>0</v>
      </c>
      <c r="I2917">
        <v>0</v>
      </c>
      <c r="J2917">
        <v>0</v>
      </c>
      <c r="K2917">
        <v>0</v>
      </c>
      <c r="L2917">
        <v>0</v>
      </c>
      <c r="M2917">
        <v>0</v>
      </c>
      <c r="N2917">
        <v>0</v>
      </c>
      <c r="O2917">
        <v>0</v>
      </c>
    </row>
    <row r="2918" spans="1:15">
      <c r="A2918" t="s">
        <v>3236</v>
      </c>
      <c r="B2918" t="s">
        <v>3081</v>
      </c>
      <c r="C2918" t="s">
        <v>404</v>
      </c>
      <c r="D2918">
        <v>69</v>
      </c>
      <c r="E2918">
        <v>100</v>
      </c>
      <c r="F2918">
        <v>0</v>
      </c>
      <c r="G2918">
        <v>0</v>
      </c>
      <c r="H2918">
        <v>0</v>
      </c>
      <c r="I2918">
        <v>0</v>
      </c>
      <c r="J2918">
        <v>0</v>
      </c>
      <c r="K2918">
        <v>0</v>
      </c>
      <c r="L2918">
        <v>0</v>
      </c>
      <c r="M2918">
        <v>0</v>
      </c>
      <c r="N2918">
        <v>0</v>
      </c>
      <c r="O2918">
        <v>0</v>
      </c>
    </row>
    <row r="2919" spans="1:15">
      <c r="A2919" t="s">
        <v>3237</v>
      </c>
      <c r="B2919" t="s">
        <v>3081</v>
      </c>
      <c r="C2919" t="s">
        <v>404</v>
      </c>
      <c r="D2919">
        <v>70</v>
      </c>
      <c r="E2919">
        <v>100</v>
      </c>
      <c r="F2919">
        <v>0</v>
      </c>
      <c r="G2919">
        <v>0</v>
      </c>
      <c r="H2919">
        <v>0</v>
      </c>
      <c r="I2919">
        <v>0</v>
      </c>
      <c r="J2919">
        <v>0</v>
      </c>
      <c r="K2919">
        <v>0</v>
      </c>
      <c r="L2919">
        <v>0</v>
      </c>
      <c r="M2919">
        <v>0</v>
      </c>
      <c r="N2919">
        <v>0</v>
      </c>
      <c r="O2919">
        <v>0</v>
      </c>
    </row>
    <row r="2920" spans="1:15">
      <c r="A2920" t="s">
        <v>3238</v>
      </c>
      <c r="B2920" t="s">
        <v>3081</v>
      </c>
      <c r="C2920" t="s">
        <v>404</v>
      </c>
      <c r="D2920">
        <v>71</v>
      </c>
      <c r="E2920">
        <v>100</v>
      </c>
      <c r="F2920">
        <v>0</v>
      </c>
      <c r="G2920">
        <v>0</v>
      </c>
      <c r="H2920">
        <v>0</v>
      </c>
      <c r="I2920">
        <v>0</v>
      </c>
      <c r="J2920">
        <v>0</v>
      </c>
      <c r="K2920">
        <v>0</v>
      </c>
      <c r="L2920">
        <v>0</v>
      </c>
      <c r="M2920">
        <v>0</v>
      </c>
      <c r="N2920">
        <v>0</v>
      </c>
      <c r="O2920">
        <v>0</v>
      </c>
    </row>
    <row r="2921" spans="1:15">
      <c r="A2921" t="s">
        <v>3239</v>
      </c>
      <c r="B2921" t="s">
        <v>3081</v>
      </c>
      <c r="C2921" t="s">
        <v>404</v>
      </c>
      <c r="D2921">
        <v>72</v>
      </c>
      <c r="E2921">
        <v>100</v>
      </c>
      <c r="F2921">
        <v>0</v>
      </c>
      <c r="G2921">
        <v>0</v>
      </c>
      <c r="H2921">
        <v>0</v>
      </c>
      <c r="I2921">
        <v>0</v>
      </c>
      <c r="J2921">
        <v>0</v>
      </c>
      <c r="K2921">
        <v>0</v>
      </c>
      <c r="L2921">
        <v>0</v>
      </c>
      <c r="M2921">
        <v>0</v>
      </c>
      <c r="N2921">
        <v>0</v>
      </c>
      <c r="O2921">
        <v>0</v>
      </c>
    </row>
    <row r="2922" spans="1:15">
      <c r="A2922" t="s">
        <v>3240</v>
      </c>
      <c r="B2922" t="s">
        <v>3081</v>
      </c>
      <c r="C2922" t="s">
        <v>404</v>
      </c>
      <c r="D2922">
        <v>73</v>
      </c>
      <c r="E2922">
        <v>100</v>
      </c>
      <c r="F2922">
        <v>0</v>
      </c>
      <c r="G2922">
        <v>0</v>
      </c>
      <c r="H2922">
        <v>0</v>
      </c>
      <c r="I2922">
        <v>0</v>
      </c>
      <c r="J2922">
        <v>0</v>
      </c>
      <c r="K2922">
        <v>0</v>
      </c>
      <c r="L2922">
        <v>0</v>
      </c>
      <c r="M2922">
        <v>0</v>
      </c>
      <c r="N2922">
        <v>0</v>
      </c>
      <c r="O2922">
        <v>0</v>
      </c>
    </row>
    <row r="2923" spans="1:15">
      <c r="A2923" t="s">
        <v>3241</v>
      </c>
      <c r="B2923" t="s">
        <v>3081</v>
      </c>
      <c r="C2923" t="s">
        <v>404</v>
      </c>
      <c r="D2923">
        <v>74</v>
      </c>
      <c r="E2923">
        <v>100</v>
      </c>
      <c r="F2923">
        <v>0</v>
      </c>
      <c r="G2923">
        <v>0</v>
      </c>
      <c r="H2923">
        <v>0</v>
      </c>
      <c r="I2923">
        <v>0</v>
      </c>
      <c r="J2923">
        <v>0</v>
      </c>
      <c r="K2923">
        <v>0</v>
      </c>
      <c r="L2923">
        <v>0</v>
      </c>
      <c r="M2923">
        <v>0</v>
      </c>
      <c r="N2923">
        <v>0</v>
      </c>
      <c r="O2923">
        <v>0</v>
      </c>
    </row>
    <row r="2924" spans="1:15">
      <c r="A2924" t="s">
        <v>3242</v>
      </c>
      <c r="B2924" t="s">
        <v>3081</v>
      </c>
      <c r="C2924" t="s">
        <v>404</v>
      </c>
      <c r="D2924">
        <v>75</v>
      </c>
      <c r="E2924">
        <v>100</v>
      </c>
      <c r="F2924">
        <v>0</v>
      </c>
      <c r="G2924">
        <v>0</v>
      </c>
      <c r="H2924">
        <v>0</v>
      </c>
      <c r="I2924">
        <v>0</v>
      </c>
      <c r="J2924">
        <v>0</v>
      </c>
      <c r="K2924">
        <v>0</v>
      </c>
      <c r="L2924">
        <v>0</v>
      </c>
      <c r="M2924">
        <v>0</v>
      </c>
      <c r="N2924">
        <v>0</v>
      </c>
      <c r="O2924">
        <v>0</v>
      </c>
    </row>
    <row r="2925" spans="1:15">
      <c r="A2925" t="s">
        <v>3243</v>
      </c>
      <c r="B2925" t="s">
        <v>3081</v>
      </c>
      <c r="C2925" t="s">
        <v>404</v>
      </c>
      <c r="D2925">
        <v>76</v>
      </c>
      <c r="E2925">
        <v>100</v>
      </c>
      <c r="F2925">
        <v>0</v>
      </c>
      <c r="G2925">
        <v>0</v>
      </c>
      <c r="H2925">
        <v>0</v>
      </c>
      <c r="I2925">
        <v>0</v>
      </c>
      <c r="J2925">
        <v>0</v>
      </c>
      <c r="K2925">
        <v>0</v>
      </c>
      <c r="L2925">
        <v>0</v>
      </c>
      <c r="M2925">
        <v>0</v>
      </c>
      <c r="N2925">
        <v>0</v>
      </c>
      <c r="O2925">
        <v>0</v>
      </c>
    </row>
    <row r="2926" spans="1:15">
      <c r="A2926" t="s">
        <v>3244</v>
      </c>
      <c r="B2926" t="s">
        <v>3081</v>
      </c>
      <c r="C2926" t="s">
        <v>404</v>
      </c>
      <c r="D2926">
        <v>77</v>
      </c>
      <c r="E2926">
        <v>100</v>
      </c>
      <c r="F2926">
        <v>0</v>
      </c>
      <c r="G2926">
        <v>0</v>
      </c>
      <c r="H2926">
        <v>0</v>
      </c>
      <c r="I2926">
        <v>0</v>
      </c>
      <c r="J2926">
        <v>0</v>
      </c>
      <c r="K2926">
        <v>0</v>
      </c>
      <c r="L2926">
        <v>0</v>
      </c>
      <c r="M2926">
        <v>0</v>
      </c>
      <c r="N2926">
        <v>0</v>
      </c>
      <c r="O2926">
        <v>0</v>
      </c>
    </row>
    <row r="2927" spans="1:15">
      <c r="A2927" t="s">
        <v>3245</v>
      </c>
      <c r="B2927" t="s">
        <v>3081</v>
      </c>
      <c r="C2927" t="s">
        <v>404</v>
      </c>
      <c r="D2927">
        <v>78</v>
      </c>
      <c r="E2927">
        <v>100</v>
      </c>
      <c r="F2927">
        <v>0</v>
      </c>
      <c r="G2927">
        <v>0</v>
      </c>
      <c r="H2927">
        <v>0</v>
      </c>
      <c r="I2927">
        <v>0</v>
      </c>
      <c r="J2927">
        <v>0</v>
      </c>
      <c r="K2927">
        <v>0</v>
      </c>
      <c r="L2927">
        <v>0</v>
      </c>
      <c r="M2927">
        <v>0</v>
      </c>
      <c r="N2927">
        <v>0</v>
      </c>
      <c r="O2927">
        <v>0</v>
      </c>
    </row>
    <row r="2928" spans="1:15">
      <c r="A2928" t="s">
        <v>3246</v>
      </c>
      <c r="B2928" t="s">
        <v>3081</v>
      </c>
      <c r="C2928" t="s">
        <v>404</v>
      </c>
      <c r="D2928">
        <v>79</v>
      </c>
      <c r="E2928">
        <v>100</v>
      </c>
      <c r="F2928">
        <v>0</v>
      </c>
      <c r="G2928">
        <v>0</v>
      </c>
      <c r="H2928">
        <v>0</v>
      </c>
      <c r="I2928">
        <v>0</v>
      </c>
      <c r="J2928">
        <v>0</v>
      </c>
      <c r="K2928">
        <v>0</v>
      </c>
      <c r="L2928">
        <v>0</v>
      </c>
      <c r="M2928">
        <v>0</v>
      </c>
      <c r="N2928">
        <v>0</v>
      </c>
      <c r="O2928">
        <v>0</v>
      </c>
    </row>
    <row r="2929" spans="1:15">
      <c r="A2929" t="s">
        <v>3247</v>
      </c>
      <c r="B2929" t="s">
        <v>3081</v>
      </c>
      <c r="C2929" t="s">
        <v>404</v>
      </c>
      <c r="D2929">
        <v>80</v>
      </c>
      <c r="E2929">
        <v>100</v>
      </c>
      <c r="F2929">
        <v>0</v>
      </c>
      <c r="G2929">
        <v>0</v>
      </c>
      <c r="H2929">
        <v>0</v>
      </c>
      <c r="I2929">
        <v>0</v>
      </c>
      <c r="J2929">
        <v>0</v>
      </c>
      <c r="K2929">
        <v>0</v>
      </c>
      <c r="L2929">
        <v>0</v>
      </c>
      <c r="M2929">
        <v>0</v>
      </c>
      <c r="N2929">
        <v>0</v>
      </c>
      <c r="O2929">
        <v>0</v>
      </c>
    </row>
    <row r="2930" spans="1:15">
      <c r="A2930" t="s">
        <v>3248</v>
      </c>
      <c r="B2930" t="s">
        <v>3081</v>
      </c>
      <c r="C2930" t="s">
        <v>404</v>
      </c>
      <c r="D2930">
        <v>81</v>
      </c>
      <c r="E2930">
        <v>100</v>
      </c>
      <c r="F2930">
        <v>0</v>
      </c>
      <c r="G2930">
        <v>0</v>
      </c>
      <c r="H2930">
        <v>0</v>
      </c>
      <c r="I2930">
        <v>0</v>
      </c>
      <c r="J2930">
        <v>0</v>
      </c>
      <c r="K2930">
        <v>0</v>
      </c>
      <c r="L2930">
        <v>0</v>
      </c>
      <c r="M2930">
        <v>0</v>
      </c>
      <c r="N2930">
        <v>0</v>
      </c>
      <c r="O2930">
        <v>0</v>
      </c>
    </row>
    <row r="2931" spans="1:15">
      <c r="A2931" t="s">
        <v>3249</v>
      </c>
      <c r="B2931" t="s">
        <v>3081</v>
      </c>
      <c r="C2931" t="s">
        <v>404</v>
      </c>
      <c r="D2931">
        <v>82</v>
      </c>
      <c r="E2931">
        <v>100</v>
      </c>
      <c r="F2931">
        <v>0</v>
      </c>
      <c r="G2931">
        <v>0</v>
      </c>
      <c r="H2931">
        <v>0</v>
      </c>
      <c r="I2931">
        <v>0</v>
      </c>
      <c r="J2931">
        <v>0</v>
      </c>
      <c r="K2931">
        <v>0</v>
      </c>
      <c r="L2931">
        <v>0</v>
      </c>
      <c r="M2931">
        <v>0</v>
      </c>
      <c r="N2931">
        <v>0</v>
      </c>
      <c r="O2931">
        <v>0</v>
      </c>
    </row>
    <row r="2932" spans="1:15">
      <c r="A2932" t="s">
        <v>3250</v>
      </c>
      <c r="B2932" t="s">
        <v>3081</v>
      </c>
      <c r="C2932" t="s">
        <v>404</v>
      </c>
      <c r="D2932">
        <v>83</v>
      </c>
      <c r="E2932">
        <v>100</v>
      </c>
      <c r="F2932">
        <v>0</v>
      </c>
      <c r="G2932">
        <v>0</v>
      </c>
      <c r="H2932">
        <v>0</v>
      </c>
      <c r="I2932">
        <v>0</v>
      </c>
      <c r="J2932">
        <v>0</v>
      </c>
      <c r="K2932">
        <v>0</v>
      </c>
      <c r="L2932">
        <v>0</v>
      </c>
      <c r="M2932">
        <v>0</v>
      </c>
      <c r="N2932">
        <v>0</v>
      </c>
      <c r="O2932">
        <v>0</v>
      </c>
    </row>
    <row r="2933" spans="1:15">
      <c r="A2933" t="s">
        <v>3251</v>
      </c>
      <c r="B2933" t="s">
        <v>3081</v>
      </c>
      <c r="C2933" t="s">
        <v>404</v>
      </c>
      <c r="D2933">
        <v>84</v>
      </c>
      <c r="E2933">
        <v>100</v>
      </c>
      <c r="F2933">
        <v>0</v>
      </c>
      <c r="G2933">
        <v>0</v>
      </c>
      <c r="H2933">
        <v>0</v>
      </c>
      <c r="I2933">
        <v>0</v>
      </c>
      <c r="J2933">
        <v>0</v>
      </c>
      <c r="K2933">
        <v>0</v>
      </c>
      <c r="L2933">
        <v>0</v>
      </c>
      <c r="M2933">
        <v>0</v>
      </c>
      <c r="N2933">
        <v>0</v>
      </c>
      <c r="O2933">
        <v>0</v>
      </c>
    </row>
    <row r="2934" spans="1:15">
      <c r="A2934" t="s">
        <v>3252</v>
      </c>
      <c r="B2934" t="s">
        <v>3081</v>
      </c>
      <c r="C2934" t="s">
        <v>404</v>
      </c>
      <c r="D2934">
        <v>85</v>
      </c>
      <c r="E2934">
        <v>100</v>
      </c>
      <c r="F2934">
        <v>0</v>
      </c>
      <c r="G2934">
        <v>0</v>
      </c>
      <c r="H2934">
        <v>0</v>
      </c>
      <c r="I2934">
        <v>0</v>
      </c>
      <c r="J2934">
        <v>0</v>
      </c>
      <c r="K2934">
        <v>0</v>
      </c>
      <c r="L2934">
        <v>0</v>
      </c>
      <c r="M2934">
        <v>0</v>
      </c>
      <c r="N2934">
        <v>0</v>
      </c>
      <c r="O2934">
        <v>0</v>
      </c>
    </row>
    <row r="2935" spans="1:15">
      <c r="A2935" t="s">
        <v>3253</v>
      </c>
      <c r="B2935" t="s">
        <v>3254</v>
      </c>
      <c r="C2935" t="s">
        <v>317</v>
      </c>
      <c r="D2935">
        <v>0</v>
      </c>
      <c r="E2935">
        <v>100</v>
      </c>
      <c r="F2935">
        <v>0</v>
      </c>
      <c r="G2935">
        <v>0</v>
      </c>
      <c r="H2935">
        <v>0</v>
      </c>
      <c r="I2935">
        <v>0</v>
      </c>
      <c r="J2935">
        <v>0</v>
      </c>
      <c r="K2935">
        <v>0</v>
      </c>
      <c r="L2935">
        <v>0</v>
      </c>
      <c r="M2935">
        <v>0</v>
      </c>
      <c r="N2935">
        <v>0</v>
      </c>
      <c r="O2935">
        <v>0</v>
      </c>
    </row>
    <row r="2936" spans="1:15">
      <c r="A2936" t="s">
        <v>3255</v>
      </c>
      <c r="B2936" t="s">
        <v>3254</v>
      </c>
      <c r="C2936" t="s">
        <v>317</v>
      </c>
      <c r="D2936">
        <v>1</v>
      </c>
      <c r="E2936">
        <v>100</v>
      </c>
      <c r="F2936">
        <v>0</v>
      </c>
      <c r="G2936">
        <v>0</v>
      </c>
      <c r="H2936">
        <v>0</v>
      </c>
      <c r="I2936">
        <v>0</v>
      </c>
      <c r="J2936">
        <v>0</v>
      </c>
      <c r="K2936">
        <v>0</v>
      </c>
      <c r="L2936">
        <v>0</v>
      </c>
      <c r="M2936">
        <v>0</v>
      </c>
      <c r="N2936">
        <v>0</v>
      </c>
      <c r="O2936">
        <v>0</v>
      </c>
    </row>
    <row r="2937" spans="1:15">
      <c r="A2937" t="s">
        <v>3256</v>
      </c>
      <c r="B2937" t="s">
        <v>3254</v>
      </c>
      <c r="C2937" t="s">
        <v>317</v>
      </c>
      <c r="D2937">
        <v>2</v>
      </c>
      <c r="E2937">
        <v>100</v>
      </c>
      <c r="F2937">
        <v>0</v>
      </c>
      <c r="G2937">
        <v>0</v>
      </c>
      <c r="H2937">
        <v>0</v>
      </c>
      <c r="I2937">
        <v>0</v>
      </c>
      <c r="J2937">
        <v>0</v>
      </c>
      <c r="K2937">
        <v>0</v>
      </c>
      <c r="L2937">
        <v>0</v>
      </c>
      <c r="M2937">
        <v>0</v>
      </c>
      <c r="N2937">
        <v>0</v>
      </c>
      <c r="O2937">
        <v>0</v>
      </c>
    </row>
    <row r="2938" spans="1:15">
      <c r="A2938" t="s">
        <v>3257</v>
      </c>
      <c r="B2938" t="s">
        <v>3254</v>
      </c>
      <c r="C2938" t="s">
        <v>317</v>
      </c>
      <c r="D2938">
        <v>3</v>
      </c>
      <c r="E2938">
        <v>100</v>
      </c>
      <c r="F2938">
        <v>0</v>
      </c>
      <c r="G2938">
        <v>0</v>
      </c>
      <c r="H2938">
        <v>0</v>
      </c>
      <c r="I2938">
        <v>0</v>
      </c>
      <c r="J2938">
        <v>0</v>
      </c>
      <c r="K2938">
        <v>0</v>
      </c>
      <c r="L2938">
        <v>0</v>
      </c>
      <c r="M2938">
        <v>0</v>
      </c>
      <c r="N2938">
        <v>0</v>
      </c>
      <c r="O2938">
        <v>0</v>
      </c>
    </row>
    <row r="2939" spans="1:15">
      <c r="A2939" t="s">
        <v>3258</v>
      </c>
      <c r="B2939" t="s">
        <v>3254</v>
      </c>
      <c r="C2939" t="s">
        <v>317</v>
      </c>
      <c r="D2939">
        <v>4</v>
      </c>
      <c r="E2939">
        <v>100</v>
      </c>
      <c r="F2939">
        <v>0</v>
      </c>
      <c r="G2939">
        <v>0</v>
      </c>
      <c r="H2939">
        <v>0</v>
      </c>
      <c r="I2939">
        <v>0</v>
      </c>
      <c r="J2939">
        <v>0</v>
      </c>
      <c r="K2939">
        <v>0</v>
      </c>
      <c r="L2939">
        <v>0</v>
      </c>
      <c r="M2939">
        <v>0</v>
      </c>
      <c r="N2939">
        <v>0</v>
      </c>
      <c r="O2939">
        <v>0</v>
      </c>
    </row>
    <row r="2940" spans="1:15">
      <c r="A2940" t="s">
        <v>3259</v>
      </c>
      <c r="B2940" t="s">
        <v>3254</v>
      </c>
      <c r="C2940" t="s">
        <v>317</v>
      </c>
      <c r="D2940">
        <v>5</v>
      </c>
      <c r="E2940">
        <v>100</v>
      </c>
      <c r="F2940">
        <v>0</v>
      </c>
      <c r="G2940">
        <v>0</v>
      </c>
      <c r="H2940">
        <v>0</v>
      </c>
      <c r="I2940">
        <v>0</v>
      </c>
      <c r="J2940">
        <v>0</v>
      </c>
      <c r="K2940">
        <v>0</v>
      </c>
      <c r="L2940">
        <v>0</v>
      </c>
      <c r="M2940">
        <v>0</v>
      </c>
      <c r="N2940">
        <v>0</v>
      </c>
      <c r="O2940">
        <v>0</v>
      </c>
    </row>
    <row r="2941" spans="1:15">
      <c r="A2941" t="s">
        <v>3260</v>
      </c>
      <c r="B2941" t="s">
        <v>3254</v>
      </c>
      <c r="C2941" t="s">
        <v>317</v>
      </c>
      <c r="D2941">
        <v>6</v>
      </c>
      <c r="E2941">
        <v>100</v>
      </c>
      <c r="F2941">
        <v>0</v>
      </c>
      <c r="G2941">
        <v>0</v>
      </c>
      <c r="H2941">
        <v>0</v>
      </c>
      <c r="I2941">
        <v>0</v>
      </c>
      <c r="J2941">
        <v>0</v>
      </c>
      <c r="K2941">
        <v>0</v>
      </c>
      <c r="L2941">
        <v>0</v>
      </c>
      <c r="M2941">
        <v>0</v>
      </c>
      <c r="N2941">
        <v>0</v>
      </c>
      <c r="O2941">
        <v>0</v>
      </c>
    </row>
    <row r="2942" spans="1:15">
      <c r="A2942" t="s">
        <v>3261</v>
      </c>
      <c r="B2942" t="s">
        <v>3254</v>
      </c>
      <c r="C2942" t="s">
        <v>317</v>
      </c>
      <c r="D2942">
        <v>7</v>
      </c>
      <c r="E2942">
        <v>100</v>
      </c>
      <c r="F2942">
        <v>0</v>
      </c>
      <c r="G2942">
        <v>0</v>
      </c>
      <c r="H2942">
        <v>0</v>
      </c>
      <c r="I2942">
        <v>0</v>
      </c>
      <c r="J2942">
        <v>0</v>
      </c>
      <c r="K2942">
        <v>0</v>
      </c>
      <c r="L2942">
        <v>0</v>
      </c>
      <c r="M2942">
        <v>0</v>
      </c>
      <c r="N2942">
        <v>0</v>
      </c>
      <c r="O2942">
        <v>0</v>
      </c>
    </row>
    <row r="2943" spans="1:15">
      <c r="A2943" t="s">
        <v>3262</v>
      </c>
      <c r="B2943" t="s">
        <v>3254</v>
      </c>
      <c r="C2943" t="s">
        <v>317</v>
      </c>
      <c r="D2943">
        <v>8</v>
      </c>
      <c r="E2943">
        <v>100</v>
      </c>
      <c r="F2943">
        <v>0</v>
      </c>
      <c r="G2943">
        <v>0</v>
      </c>
      <c r="H2943">
        <v>0</v>
      </c>
      <c r="I2943">
        <v>0</v>
      </c>
      <c r="J2943">
        <v>0</v>
      </c>
      <c r="K2943">
        <v>0</v>
      </c>
      <c r="L2943">
        <v>0</v>
      </c>
      <c r="M2943">
        <v>0</v>
      </c>
      <c r="N2943">
        <v>0</v>
      </c>
      <c r="O2943">
        <v>0</v>
      </c>
    </row>
    <row r="2944" spans="1:15">
      <c r="A2944" t="s">
        <v>3263</v>
      </c>
      <c r="B2944" t="s">
        <v>3254</v>
      </c>
      <c r="C2944" t="s">
        <v>317</v>
      </c>
      <c r="D2944">
        <v>9</v>
      </c>
      <c r="E2944">
        <v>100</v>
      </c>
      <c r="F2944">
        <v>0</v>
      </c>
      <c r="G2944">
        <v>0</v>
      </c>
      <c r="H2944">
        <v>0</v>
      </c>
      <c r="I2944">
        <v>0</v>
      </c>
      <c r="J2944">
        <v>0</v>
      </c>
      <c r="K2944">
        <v>0</v>
      </c>
      <c r="L2944">
        <v>0</v>
      </c>
      <c r="M2944">
        <v>0</v>
      </c>
      <c r="N2944">
        <v>0</v>
      </c>
      <c r="O2944">
        <v>0</v>
      </c>
    </row>
    <row r="2945" spans="1:15">
      <c r="A2945" t="s">
        <v>3264</v>
      </c>
      <c r="B2945" t="s">
        <v>3254</v>
      </c>
      <c r="C2945" t="s">
        <v>317</v>
      </c>
      <c r="D2945">
        <v>10</v>
      </c>
      <c r="E2945">
        <v>100</v>
      </c>
      <c r="F2945">
        <v>0</v>
      </c>
      <c r="G2945">
        <v>0</v>
      </c>
      <c r="H2945">
        <v>0</v>
      </c>
      <c r="I2945">
        <v>0</v>
      </c>
      <c r="J2945">
        <v>0</v>
      </c>
      <c r="K2945">
        <v>0</v>
      </c>
      <c r="L2945">
        <v>0</v>
      </c>
      <c r="M2945">
        <v>0</v>
      </c>
      <c r="N2945">
        <v>0</v>
      </c>
      <c r="O2945">
        <v>0</v>
      </c>
    </row>
    <row r="2946" spans="1:15">
      <c r="A2946" t="s">
        <v>3265</v>
      </c>
      <c r="B2946" t="s">
        <v>3254</v>
      </c>
      <c r="C2946" t="s">
        <v>317</v>
      </c>
      <c r="D2946">
        <v>11</v>
      </c>
      <c r="E2946">
        <v>100</v>
      </c>
      <c r="F2946">
        <v>0</v>
      </c>
      <c r="G2946">
        <v>0</v>
      </c>
      <c r="H2946">
        <v>0</v>
      </c>
      <c r="I2946">
        <v>0</v>
      </c>
      <c r="J2946">
        <v>0</v>
      </c>
      <c r="K2946">
        <v>0</v>
      </c>
      <c r="L2946">
        <v>0</v>
      </c>
      <c r="M2946">
        <v>0</v>
      </c>
      <c r="N2946">
        <v>0</v>
      </c>
      <c r="O2946">
        <v>0</v>
      </c>
    </row>
    <row r="2947" spans="1:15">
      <c r="A2947" t="s">
        <v>3266</v>
      </c>
      <c r="B2947" t="s">
        <v>3254</v>
      </c>
      <c r="C2947" t="s">
        <v>317</v>
      </c>
      <c r="D2947">
        <v>12</v>
      </c>
      <c r="E2947">
        <v>100</v>
      </c>
      <c r="F2947">
        <v>0</v>
      </c>
      <c r="G2947">
        <v>0</v>
      </c>
      <c r="H2947">
        <v>0</v>
      </c>
      <c r="I2947">
        <v>0</v>
      </c>
      <c r="J2947">
        <v>0</v>
      </c>
      <c r="K2947">
        <v>0</v>
      </c>
      <c r="L2947">
        <v>0</v>
      </c>
      <c r="M2947">
        <v>0</v>
      </c>
      <c r="N2947">
        <v>0</v>
      </c>
      <c r="O2947">
        <v>0</v>
      </c>
    </row>
    <row r="2948" spans="1:15">
      <c r="A2948" t="s">
        <v>3267</v>
      </c>
      <c r="B2948" t="s">
        <v>3254</v>
      </c>
      <c r="C2948" t="s">
        <v>317</v>
      </c>
      <c r="D2948">
        <v>13</v>
      </c>
      <c r="E2948">
        <v>100</v>
      </c>
      <c r="F2948">
        <v>0</v>
      </c>
      <c r="G2948">
        <v>0</v>
      </c>
      <c r="H2948">
        <v>0</v>
      </c>
      <c r="I2948">
        <v>0</v>
      </c>
      <c r="J2948">
        <v>0</v>
      </c>
      <c r="K2948">
        <v>0</v>
      </c>
      <c r="L2948">
        <v>0</v>
      </c>
      <c r="M2948">
        <v>0</v>
      </c>
      <c r="N2948">
        <v>0</v>
      </c>
      <c r="O2948">
        <v>0</v>
      </c>
    </row>
    <row r="2949" spans="1:15">
      <c r="A2949" t="s">
        <v>3268</v>
      </c>
      <c r="B2949" t="s">
        <v>3254</v>
      </c>
      <c r="C2949" t="s">
        <v>317</v>
      </c>
      <c r="D2949">
        <v>14</v>
      </c>
      <c r="E2949">
        <v>100</v>
      </c>
      <c r="F2949">
        <v>0</v>
      </c>
      <c r="G2949">
        <v>0</v>
      </c>
      <c r="H2949">
        <v>0</v>
      </c>
      <c r="I2949">
        <v>0</v>
      </c>
      <c r="J2949">
        <v>0</v>
      </c>
      <c r="K2949">
        <v>0</v>
      </c>
      <c r="L2949">
        <v>0</v>
      </c>
      <c r="M2949">
        <v>0</v>
      </c>
      <c r="N2949">
        <v>0</v>
      </c>
      <c r="O2949">
        <v>0</v>
      </c>
    </row>
    <row r="2950" spans="1:15">
      <c r="A2950" t="s">
        <v>3269</v>
      </c>
      <c r="B2950" t="s">
        <v>3254</v>
      </c>
      <c r="C2950" t="s">
        <v>317</v>
      </c>
      <c r="D2950">
        <v>15</v>
      </c>
      <c r="E2950">
        <v>100</v>
      </c>
      <c r="F2950">
        <v>0</v>
      </c>
      <c r="G2950">
        <v>0</v>
      </c>
      <c r="H2950">
        <v>0</v>
      </c>
      <c r="I2950">
        <v>0</v>
      </c>
      <c r="J2950">
        <v>0</v>
      </c>
      <c r="K2950">
        <v>0</v>
      </c>
      <c r="L2950">
        <v>0</v>
      </c>
      <c r="M2950">
        <v>0</v>
      </c>
      <c r="N2950">
        <v>0</v>
      </c>
      <c r="O2950">
        <v>0</v>
      </c>
    </row>
    <row r="2951" spans="1:15">
      <c r="A2951" t="s">
        <v>3270</v>
      </c>
      <c r="B2951" t="s">
        <v>3254</v>
      </c>
      <c r="C2951" t="s">
        <v>317</v>
      </c>
      <c r="D2951">
        <v>16</v>
      </c>
      <c r="E2951">
        <v>100</v>
      </c>
      <c r="F2951">
        <v>0</v>
      </c>
      <c r="G2951">
        <v>0</v>
      </c>
      <c r="H2951">
        <v>0</v>
      </c>
      <c r="I2951">
        <v>0</v>
      </c>
      <c r="J2951">
        <v>0</v>
      </c>
      <c r="K2951">
        <v>0</v>
      </c>
      <c r="L2951">
        <v>0</v>
      </c>
      <c r="M2951">
        <v>0</v>
      </c>
      <c r="N2951">
        <v>0</v>
      </c>
      <c r="O2951">
        <v>0</v>
      </c>
    </row>
    <row r="2952" spans="1:15">
      <c r="A2952" t="s">
        <v>3271</v>
      </c>
      <c r="B2952" t="s">
        <v>3254</v>
      </c>
      <c r="C2952" t="s">
        <v>317</v>
      </c>
      <c r="D2952">
        <v>17</v>
      </c>
      <c r="E2952">
        <v>100</v>
      </c>
      <c r="F2952">
        <v>0</v>
      </c>
      <c r="G2952">
        <v>0</v>
      </c>
      <c r="H2952">
        <v>0</v>
      </c>
      <c r="I2952">
        <v>0</v>
      </c>
      <c r="J2952">
        <v>0</v>
      </c>
      <c r="K2952">
        <v>0</v>
      </c>
      <c r="L2952">
        <v>0</v>
      </c>
      <c r="M2952">
        <v>0</v>
      </c>
      <c r="N2952">
        <v>0</v>
      </c>
      <c r="O2952">
        <v>0</v>
      </c>
    </row>
    <row r="2953" spans="1:15">
      <c r="A2953" t="s">
        <v>3272</v>
      </c>
      <c r="B2953" t="s">
        <v>3254</v>
      </c>
      <c r="C2953" t="s">
        <v>317</v>
      </c>
      <c r="D2953">
        <v>18</v>
      </c>
      <c r="E2953">
        <v>100</v>
      </c>
      <c r="F2953">
        <v>0</v>
      </c>
      <c r="G2953">
        <v>0</v>
      </c>
      <c r="H2953">
        <v>0</v>
      </c>
      <c r="I2953">
        <v>0</v>
      </c>
      <c r="J2953">
        <v>0</v>
      </c>
      <c r="K2953">
        <v>0</v>
      </c>
      <c r="L2953">
        <v>0</v>
      </c>
      <c r="M2953">
        <v>0</v>
      </c>
      <c r="N2953">
        <v>0</v>
      </c>
      <c r="O2953">
        <v>0</v>
      </c>
    </row>
    <row r="2954" spans="1:15">
      <c r="A2954" t="s">
        <v>3273</v>
      </c>
      <c r="B2954" t="s">
        <v>3254</v>
      </c>
      <c r="C2954" t="s">
        <v>317</v>
      </c>
      <c r="D2954">
        <v>19</v>
      </c>
      <c r="E2954">
        <v>100</v>
      </c>
      <c r="F2954">
        <v>0</v>
      </c>
      <c r="G2954">
        <v>0</v>
      </c>
      <c r="H2954">
        <v>0</v>
      </c>
      <c r="I2954">
        <v>0</v>
      </c>
      <c r="J2954">
        <v>0</v>
      </c>
      <c r="K2954">
        <v>0</v>
      </c>
      <c r="L2954">
        <v>0</v>
      </c>
      <c r="M2954">
        <v>0</v>
      </c>
      <c r="N2954">
        <v>0</v>
      </c>
      <c r="O2954">
        <v>0</v>
      </c>
    </row>
    <row r="2955" spans="1:15">
      <c r="A2955" t="s">
        <v>3274</v>
      </c>
      <c r="B2955" t="s">
        <v>3254</v>
      </c>
      <c r="C2955" t="s">
        <v>317</v>
      </c>
      <c r="D2955">
        <v>20</v>
      </c>
      <c r="E2955">
        <v>100</v>
      </c>
      <c r="F2955">
        <v>0</v>
      </c>
      <c r="G2955">
        <v>0</v>
      </c>
      <c r="H2955">
        <v>0</v>
      </c>
      <c r="I2955">
        <v>0</v>
      </c>
      <c r="J2955">
        <v>0</v>
      </c>
      <c r="K2955">
        <v>0</v>
      </c>
      <c r="L2955">
        <v>0</v>
      </c>
      <c r="M2955">
        <v>0</v>
      </c>
      <c r="N2955">
        <v>0</v>
      </c>
      <c r="O2955">
        <v>0</v>
      </c>
    </row>
    <row r="2956" spans="1:15">
      <c r="A2956" t="s">
        <v>3275</v>
      </c>
      <c r="B2956" t="s">
        <v>3254</v>
      </c>
      <c r="C2956" t="s">
        <v>317</v>
      </c>
      <c r="D2956">
        <v>21</v>
      </c>
      <c r="E2956">
        <v>100</v>
      </c>
      <c r="F2956">
        <v>0</v>
      </c>
      <c r="G2956">
        <v>0</v>
      </c>
      <c r="H2956">
        <v>0</v>
      </c>
      <c r="I2956">
        <v>0</v>
      </c>
      <c r="J2956">
        <v>0</v>
      </c>
      <c r="K2956">
        <v>0</v>
      </c>
      <c r="L2956">
        <v>0</v>
      </c>
      <c r="M2956">
        <v>0</v>
      </c>
      <c r="N2956">
        <v>0</v>
      </c>
      <c r="O2956">
        <v>0</v>
      </c>
    </row>
    <row r="2957" spans="1:15">
      <c r="A2957" t="s">
        <v>3276</v>
      </c>
      <c r="B2957" t="s">
        <v>3254</v>
      </c>
      <c r="C2957" t="s">
        <v>317</v>
      </c>
      <c r="D2957">
        <v>22</v>
      </c>
      <c r="E2957">
        <v>100</v>
      </c>
      <c r="F2957">
        <v>0</v>
      </c>
      <c r="G2957">
        <v>0</v>
      </c>
      <c r="H2957">
        <v>0</v>
      </c>
      <c r="I2957">
        <v>0</v>
      </c>
      <c r="J2957">
        <v>0</v>
      </c>
      <c r="K2957">
        <v>0</v>
      </c>
      <c r="L2957">
        <v>0</v>
      </c>
      <c r="M2957">
        <v>0</v>
      </c>
      <c r="N2957">
        <v>0</v>
      </c>
      <c r="O2957">
        <v>0</v>
      </c>
    </row>
    <row r="2958" spans="1:15">
      <c r="A2958" t="s">
        <v>3277</v>
      </c>
      <c r="B2958" t="s">
        <v>3254</v>
      </c>
      <c r="C2958" t="s">
        <v>317</v>
      </c>
      <c r="D2958">
        <v>23</v>
      </c>
      <c r="E2958">
        <v>100</v>
      </c>
      <c r="F2958">
        <v>0</v>
      </c>
      <c r="G2958">
        <v>0</v>
      </c>
      <c r="H2958">
        <v>0</v>
      </c>
      <c r="I2958">
        <v>0</v>
      </c>
      <c r="J2958">
        <v>0</v>
      </c>
      <c r="K2958">
        <v>0</v>
      </c>
      <c r="L2958">
        <v>0</v>
      </c>
      <c r="M2958">
        <v>0</v>
      </c>
      <c r="N2958">
        <v>0</v>
      </c>
      <c r="O2958">
        <v>0</v>
      </c>
    </row>
    <row r="2959" spans="1:15">
      <c r="A2959" t="s">
        <v>3278</v>
      </c>
      <c r="B2959" t="s">
        <v>3254</v>
      </c>
      <c r="C2959" t="s">
        <v>317</v>
      </c>
      <c r="D2959">
        <v>24</v>
      </c>
      <c r="E2959">
        <v>100</v>
      </c>
      <c r="F2959">
        <v>0</v>
      </c>
      <c r="G2959">
        <v>0</v>
      </c>
      <c r="H2959">
        <v>0</v>
      </c>
      <c r="I2959">
        <v>0</v>
      </c>
      <c r="J2959">
        <v>0</v>
      </c>
      <c r="K2959">
        <v>0</v>
      </c>
      <c r="L2959">
        <v>0</v>
      </c>
      <c r="M2959">
        <v>0</v>
      </c>
      <c r="N2959">
        <v>0</v>
      </c>
      <c r="O2959">
        <v>0</v>
      </c>
    </row>
    <row r="2960" spans="1:15">
      <c r="A2960" t="s">
        <v>3279</v>
      </c>
      <c r="B2960" t="s">
        <v>3254</v>
      </c>
      <c r="C2960" t="s">
        <v>317</v>
      </c>
      <c r="D2960">
        <v>25</v>
      </c>
      <c r="E2960">
        <v>100</v>
      </c>
      <c r="F2960">
        <v>0</v>
      </c>
      <c r="G2960">
        <v>0</v>
      </c>
      <c r="H2960">
        <v>0</v>
      </c>
      <c r="I2960">
        <v>0</v>
      </c>
      <c r="J2960">
        <v>0</v>
      </c>
      <c r="K2960">
        <v>0</v>
      </c>
      <c r="L2960">
        <v>0</v>
      </c>
      <c r="M2960">
        <v>0</v>
      </c>
      <c r="N2960">
        <v>0</v>
      </c>
      <c r="O2960">
        <v>0</v>
      </c>
    </row>
    <row r="2961" spans="1:15">
      <c r="A2961" t="s">
        <v>3280</v>
      </c>
      <c r="B2961" t="s">
        <v>3254</v>
      </c>
      <c r="C2961" t="s">
        <v>317</v>
      </c>
      <c r="D2961">
        <v>26</v>
      </c>
      <c r="E2961">
        <v>100</v>
      </c>
      <c r="F2961">
        <v>0</v>
      </c>
      <c r="G2961">
        <v>0</v>
      </c>
      <c r="H2961">
        <v>0</v>
      </c>
      <c r="I2961">
        <v>0</v>
      </c>
      <c r="J2961">
        <v>0</v>
      </c>
      <c r="K2961">
        <v>0</v>
      </c>
      <c r="L2961">
        <v>0</v>
      </c>
      <c r="M2961">
        <v>0</v>
      </c>
      <c r="N2961">
        <v>0</v>
      </c>
      <c r="O2961">
        <v>0</v>
      </c>
    </row>
    <row r="2962" spans="1:15">
      <c r="A2962" t="s">
        <v>3281</v>
      </c>
      <c r="B2962" t="s">
        <v>3254</v>
      </c>
      <c r="C2962" t="s">
        <v>317</v>
      </c>
      <c r="D2962">
        <v>27</v>
      </c>
      <c r="E2962">
        <v>100</v>
      </c>
      <c r="F2962">
        <v>0</v>
      </c>
      <c r="G2962">
        <v>0</v>
      </c>
      <c r="H2962">
        <v>0</v>
      </c>
      <c r="I2962">
        <v>0</v>
      </c>
      <c r="J2962">
        <v>0</v>
      </c>
      <c r="K2962">
        <v>0</v>
      </c>
      <c r="L2962">
        <v>0</v>
      </c>
      <c r="M2962">
        <v>0</v>
      </c>
      <c r="N2962">
        <v>0</v>
      </c>
      <c r="O2962">
        <v>0</v>
      </c>
    </row>
    <row r="2963" spans="1:15">
      <c r="A2963" t="s">
        <v>3282</v>
      </c>
      <c r="B2963" t="s">
        <v>3254</v>
      </c>
      <c r="C2963" t="s">
        <v>317</v>
      </c>
      <c r="D2963">
        <v>28</v>
      </c>
      <c r="E2963">
        <v>100</v>
      </c>
      <c r="F2963">
        <v>0</v>
      </c>
      <c r="G2963">
        <v>0</v>
      </c>
      <c r="H2963">
        <v>0</v>
      </c>
      <c r="I2963">
        <v>0</v>
      </c>
      <c r="J2963">
        <v>0</v>
      </c>
      <c r="K2963">
        <v>0</v>
      </c>
      <c r="L2963">
        <v>0</v>
      </c>
      <c r="M2963">
        <v>0</v>
      </c>
      <c r="N2963">
        <v>0</v>
      </c>
      <c r="O2963">
        <v>0</v>
      </c>
    </row>
    <row r="2964" spans="1:15">
      <c r="A2964" t="s">
        <v>3283</v>
      </c>
      <c r="B2964" t="s">
        <v>3254</v>
      </c>
      <c r="C2964" t="s">
        <v>317</v>
      </c>
      <c r="D2964">
        <v>29</v>
      </c>
      <c r="E2964">
        <v>100</v>
      </c>
      <c r="F2964">
        <v>0</v>
      </c>
      <c r="G2964">
        <v>0</v>
      </c>
      <c r="H2964">
        <v>0</v>
      </c>
      <c r="I2964">
        <v>0</v>
      </c>
      <c r="J2964">
        <v>0</v>
      </c>
      <c r="K2964">
        <v>0</v>
      </c>
      <c r="L2964">
        <v>0</v>
      </c>
      <c r="M2964">
        <v>0</v>
      </c>
      <c r="N2964">
        <v>0</v>
      </c>
      <c r="O2964">
        <v>0</v>
      </c>
    </row>
    <row r="2965" spans="1:15">
      <c r="A2965" t="s">
        <v>3284</v>
      </c>
      <c r="B2965" t="s">
        <v>3254</v>
      </c>
      <c r="C2965" t="s">
        <v>317</v>
      </c>
      <c r="D2965">
        <v>30</v>
      </c>
      <c r="E2965">
        <v>100</v>
      </c>
      <c r="F2965">
        <v>0</v>
      </c>
      <c r="G2965">
        <v>0</v>
      </c>
      <c r="H2965">
        <v>0</v>
      </c>
      <c r="I2965">
        <v>0</v>
      </c>
      <c r="J2965">
        <v>0</v>
      </c>
      <c r="K2965">
        <v>0</v>
      </c>
      <c r="L2965">
        <v>0</v>
      </c>
      <c r="M2965">
        <v>0</v>
      </c>
      <c r="N2965">
        <v>0</v>
      </c>
      <c r="O2965">
        <v>0</v>
      </c>
    </row>
    <row r="2966" spans="1:15">
      <c r="A2966" t="s">
        <v>3285</v>
      </c>
      <c r="B2966" t="s">
        <v>3254</v>
      </c>
      <c r="C2966" t="s">
        <v>317</v>
      </c>
      <c r="D2966">
        <v>31</v>
      </c>
      <c r="E2966">
        <v>100</v>
      </c>
      <c r="F2966">
        <v>0</v>
      </c>
      <c r="G2966">
        <v>0</v>
      </c>
      <c r="H2966">
        <v>0</v>
      </c>
      <c r="I2966">
        <v>0</v>
      </c>
      <c r="J2966">
        <v>0</v>
      </c>
      <c r="K2966">
        <v>0</v>
      </c>
      <c r="L2966">
        <v>0</v>
      </c>
      <c r="M2966">
        <v>0</v>
      </c>
      <c r="N2966">
        <v>0</v>
      </c>
      <c r="O2966">
        <v>0</v>
      </c>
    </row>
    <row r="2967" spans="1:15">
      <c r="A2967" t="s">
        <v>3286</v>
      </c>
      <c r="B2967" t="s">
        <v>3254</v>
      </c>
      <c r="C2967" t="s">
        <v>317</v>
      </c>
      <c r="D2967">
        <v>32</v>
      </c>
      <c r="E2967">
        <v>100</v>
      </c>
      <c r="F2967">
        <v>0</v>
      </c>
      <c r="G2967">
        <v>0</v>
      </c>
      <c r="H2967">
        <v>0</v>
      </c>
      <c r="I2967">
        <v>0</v>
      </c>
      <c r="J2967">
        <v>0</v>
      </c>
      <c r="K2967">
        <v>0</v>
      </c>
      <c r="L2967">
        <v>0</v>
      </c>
      <c r="M2967">
        <v>0</v>
      </c>
      <c r="N2967">
        <v>0</v>
      </c>
      <c r="O2967">
        <v>0</v>
      </c>
    </row>
    <row r="2968" spans="1:15">
      <c r="A2968" t="s">
        <v>3287</v>
      </c>
      <c r="B2968" t="s">
        <v>3254</v>
      </c>
      <c r="C2968" t="s">
        <v>317</v>
      </c>
      <c r="D2968">
        <v>33</v>
      </c>
      <c r="E2968">
        <v>100</v>
      </c>
      <c r="F2968">
        <v>0</v>
      </c>
      <c r="G2968">
        <v>0</v>
      </c>
      <c r="H2968">
        <v>0</v>
      </c>
      <c r="I2968">
        <v>0</v>
      </c>
      <c r="J2968">
        <v>0</v>
      </c>
      <c r="K2968">
        <v>0</v>
      </c>
      <c r="L2968">
        <v>0</v>
      </c>
      <c r="M2968">
        <v>0</v>
      </c>
      <c r="N2968">
        <v>0</v>
      </c>
      <c r="O2968">
        <v>0</v>
      </c>
    </row>
    <row r="2969" spans="1:15">
      <c r="A2969" t="s">
        <v>3288</v>
      </c>
      <c r="B2969" t="s">
        <v>3254</v>
      </c>
      <c r="C2969" t="s">
        <v>317</v>
      </c>
      <c r="D2969">
        <v>34</v>
      </c>
      <c r="E2969">
        <v>100</v>
      </c>
      <c r="F2969">
        <v>0</v>
      </c>
      <c r="G2969">
        <v>0</v>
      </c>
      <c r="H2969">
        <v>0</v>
      </c>
      <c r="I2969">
        <v>0</v>
      </c>
      <c r="J2969">
        <v>0</v>
      </c>
      <c r="K2969">
        <v>0</v>
      </c>
      <c r="L2969">
        <v>0</v>
      </c>
      <c r="M2969">
        <v>0</v>
      </c>
      <c r="N2969">
        <v>0</v>
      </c>
      <c r="O2969">
        <v>0</v>
      </c>
    </row>
    <row r="2970" spans="1:15">
      <c r="A2970" t="s">
        <v>3289</v>
      </c>
      <c r="B2970" t="s">
        <v>3254</v>
      </c>
      <c r="C2970" t="s">
        <v>317</v>
      </c>
      <c r="D2970">
        <v>35</v>
      </c>
      <c r="E2970">
        <v>100</v>
      </c>
      <c r="F2970">
        <v>0</v>
      </c>
      <c r="G2970">
        <v>0</v>
      </c>
      <c r="H2970">
        <v>0</v>
      </c>
      <c r="I2970">
        <v>0</v>
      </c>
      <c r="J2970">
        <v>0</v>
      </c>
      <c r="K2970">
        <v>0</v>
      </c>
      <c r="L2970">
        <v>0</v>
      </c>
      <c r="M2970">
        <v>0</v>
      </c>
      <c r="N2970">
        <v>0</v>
      </c>
      <c r="O2970">
        <v>0</v>
      </c>
    </row>
    <row r="2971" spans="1:15">
      <c r="A2971" t="s">
        <v>3290</v>
      </c>
      <c r="B2971" t="s">
        <v>3254</v>
      </c>
      <c r="C2971" t="s">
        <v>317</v>
      </c>
      <c r="D2971">
        <v>36</v>
      </c>
      <c r="E2971">
        <v>100</v>
      </c>
      <c r="F2971">
        <v>0</v>
      </c>
      <c r="G2971">
        <v>0</v>
      </c>
      <c r="H2971">
        <v>0</v>
      </c>
      <c r="I2971">
        <v>0</v>
      </c>
      <c r="J2971">
        <v>0</v>
      </c>
      <c r="K2971">
        <v>0</v>
      </c>
      <c r="L2971">
        <v>0</v>
      </c>
      <c r="M2971">
        <v>0</v>
      </c>
      <c r="N2971">
        <v>0</v>
      </c>
      <c r="O2971">
        <v>0</v>
      </c>
    </row>
    <row r="2972" spans="1:15">
      <c r="A2972" t="s">
        <v>3291</v>
      </c>
      <c r="B2972" t="s">
        <v>3254</v>
      </c>
      <c r="C2972" t="s">
        <v>317</v>
      </c>
      <c r="D2972">
        <v>37</v>
      </c>
      <c r="E2972">
        <v>100</v>
      </c>
      <c r="F2972">
        <v>0</v>
      </c>
      <c r="G2972">
        <v>0</v>
      </c>
      <c r="H2972">
        <v>0</v>
      </c>
      <c r="I2972">
        <v>0</v>
      </c>
      <c r="J2972">
        <v>0</v>
      </c>
      <c r="K2972">
        <v>0</v>
      </c>
      <c r="L2972">
        <v>0</v>
      </c>
      <c r="M2972">
        <v>0</v>
      </c>
      <c r="N2972">
        <v>0</v>
      </c>
      <c r="O2972">
        <v>0</v>
      </c>
    </row>
    <row r="2973" spans="1:15">
      <c r="A2973" t="s">
        <v>3292</v>
      </c>
      <c r="B2973" t="s">
        <v>3254</v>
      </c>
      <c r="C2973" t="s">
        <v>317</v>
      </c>
      <c r="D2973">
        <v>38</v>
      </c>
      <c r="E2973">
        <v>100</v>
      </c>
      <c r="F2973">
        <v>0</v>
      </c>
      <c r="G2973">
        <v>0</v>
      </c>
      <c r="H2973">
        <v>0</v>
      </c>
      <c r="I2973">
        <v>0</v>
      </c>
      <c r="J2973">
        <v>0</v>
      </c>
      <c r="K2973">
        <v>0</v>
      </c>
      <c r="L2973">
        <v>0</v>
      </c>
      <c r="M2973">
        <v>0</v>
      </c>
      <c r="N2973">
        <v>0</v>
      </c>
      <c r="O2973">
        <v>0</v>
      </c>
    </row>
    <row r="2974" spans="1:15">
      <c r="A2974" t="s">
        <v>3293</v>
      </c>
      <c r="B2974" t="s">
        <v>3254</v>
      </c>
      <c r="C2974" t="s">
        <v>317</v>
      </c>
      <c r="D2974">
        <v>39</v>
      </c>
      <c r="E2974">
        <v>100</v>
      </c>
      <c r="F2974">
        <v>0</v>
      </c>
      <c r="G2974">
        <v>0</v>
      </c>
      <c r="H2974">
        <v>0</v>
      </c>
      <c r="I2974">
        <v>0</v>
      </c>
      <c r="J2974">
        <v>0</v>
      </c>
      <c r="K2974">
        <v>0</v>
      </c>
      <c r="L2974">
        <v>0</v>
      </c>
      <c r="M2974">
        <v>0</v>
      </c>
      <c r="N2974">
        <v>0</v>
      </c>
      <c r="O2974">
        <v>0</v>
      </c>
    </row>
    <row r="2975" spans="1:15">
      <c r="A2975" t="s">
        <v>3294</v>
      </c>
      <c r="B2975" t="s">
        <v>3254</v>
      </c>
      <c r="C2975" t="s">
        <v>317</v>
      </c>
      <c r="D2975">
        <v>40</v>
      </c>
      <c r="E2975">
        <v>100</v>
      </c>
      <c r="F2975">
        <v>0</v>
      </c>
      <c r="G2975">
        <v>0</v>
      </c>
      <c r="H2975">
        <v>0</v>
      </c>
      <c r="I2975">
        <v>0</v>
      </c>
      <c r="J2975">
        <v>0</v>
      </c>
      <c r="K2975">
        <v>0</v>
      </c>
      <c r="L2975">
        <v>0</v>
      </c>
      <c r="M2975">
        <v>0</v>
      </c>
      <c r="N2975">
        <v>0</v>
      </c>
      <c r="O2975">
        <v>0</v>
      </c>
    </row>
    <row r="2976" spans="1:15">
      <c r="A2976" t="s">
        <v>3295</v>
      </c>
      <c r="B2976" t="s">
        <v>3254</v>
      </c>
      <c r="C2976" t="s">
        <v>317</v>
      </c>
      <c r="D2976">
        <v>41</v>
      </c>
      <c r="E2976">
        <v>100</v>
      </c>
      <c r="F2976">
        <v>0</v>
      </c>
      <c r="G2976">
        <v>0</v>
      </c>
      <c r="H2976">
        <v>0</v>
      </c>
      <c r="I2976">
        <v>0</v>
      </c>
      <c r="J2976">
        <v>0</v>
      </c>
      <c r="K2976">
        <v>0</v>
      </c>
      <c r="L2976">
        <v>0</v>
      </c>
      <c r="M2976">
        <v>0</v>
      </c>
      <c r="N2976">
        <v>0</v>
      </c>
      <c r="O2976">
        <v>0</v>
      </c>
    </row>
    <row r="2977" spans="1:15">
      <c r="A2977" t="s">
        <v>3296</v>
      </c>
      <c r="B2977" t="s">
        <v>3254</v>
      </c>
      <c r="C2977" t="s">
        <v>317</v>
      </c>
      <c r="D2977">
        <v>42</v>
      </c>
      <c r="E2977">
        <v>100</v>
      </c>
      <c r="F2977">
        <v>0</v>
      </c>
      <c r="G2977">
        <v>0</v>
      </c>
      <c r="H2977">
        <v>0</v>
      </c>
      <c r="I2977">
        <v>0</v>
      </c>
      <c r="J2977">
        <v>0</v>
      </c>
      <c r="K2977">
        <v>0</v>
      </c>
      <c r="L2977">
        <v>0</v>
      </c>
      <c r="M2977">
        <v>0</v>
      </c>
      <c r="N2977">
        <v>0</v>
      </c>
      <c r="O2977">
        <v>0</v>
      </c>
    </row>
    <row r="2978" spans="1:15">
      <c r="A2978" t="s">
        <v>3297</v>
      </c>
      <c r="B2978" t="s">
        <v>3254</v>
      </c>
      <c r="C2978" t="s">
        <v>317</v>
      </c>
      <c r="D2978">
        <v>43</v>
      </c>
      <c r="E2978">
        <v>100</v>
      </c>
      <c r="F2978">
        <v>0</v>
      </c>
      <c r="G2978">
        <v>0</v>
      </c>
      <c r="H2978">
        <v>0</v>
      </c>
      <c r="I2978">
        <v>0</v>
      </c>
      <c r="J2978">
        <v>0</v>
      </c>
      <c r="K2978">
        <v>0</v>
      </c>
      <c r="L2978">
        <v>0</v>
      </c>
      <c r="M2978">
        <v>0</v>
      </c>
      <c r="N2978">
        <v>0</v>
      </c>
      <c r="O2978">
        <v>0</v>
      </c>
    </row>
    <row r="2979" spans="1:15">
      <c r="A2979" t="s">
        <v>3298</v>
      </c>
      <c r="B2979" t="s">
        <v>3254</v>
      </c>
      <c r="C2979" t="s">
        <v>317</v>
      </c>
      <c r="D2979">
        <v>44</v>
      </c>
      <c r="E2979">
        <v>100</v>
      </c>
      <c r="F2979">
        <v>0</v>
      </c>
      <c r="G2979">
        <v>0</v>
      </c>
      <c r="H2979">
        <v>0</v>
      </c>
      <c r="I2979">
        <v>0</v>
      </c>
      <c r="J2979">
        <v>0</v>
      </c>
      <c r="K2979">
        <v>0</v>
      </c>
      <c r="L2979">
        <v>0</v>
      </c>
      <c r="M2979">
        <v>0</v>
      </c>
      <c r="N2979">
        <v>0</v>
      </c>
      <c r="O2979">
        <v>0</v>
      </c>
    </row>
    <row r="2980" spans="1:15">
      <c r="A2980" t="s">
        <v>3299</v>
      </c>
      <c r="B2980" t="s">
        <v>3254</v>
      </c>
      <c r="C2980" t="s">
        <v>317</v>
      </c>
      <c r="D2980">
        <v>45</v>
      </c>
      <c r="E2980">
        <v>100</v>
      </c>
      <c r="F2980">
        <v>0</v>
      </c>
      <c r="G2980">
        <v>0</v>
      </c>
      <c r="H2980">
        <v>0</v>
      </c>
      <c r="I2980">
        <v>0</v>
      </c>
      <c r="J2980">
        <v>0</v>
      </c>
      <c r="K2980">
        <v>0</v>
      </c>
      <c r="L2980">
        <v>0</v>
      </c>
      <c r="M2980">
        <v>0</v>
      </c>
      <c r="N2980">
        <v>0</v>
      </c>
      <c r="O2980">
        <v>0</v>
      </c>
    </row>
    <row r="2981" spans="1:15">
      <c r="A2981" t="s">
        <v>3300</v>
      </c>
      <c r="B2981" t="s">
        <v>3254</v>
      </c>
      <c r="C2981" t="s">
        <v>317</v>
      </c>
      <c r="D2981">
        <v>46</v>
      </c>
      <c r="E2981">
        <v>100</v>
      </c>
      <c r="F2981">
        <v>0</v>
      </c>
      <c r="G2981">
        <v>0</v>
      </c>
      <c r="H2981">
        <v>0</v>
      </c>
      <c r="I2981">
        <v>0</v>
      </c>
      <c r="J2981">
        <v>0</v>
      </c>
      <c r="K2981">
        <v>0</v>
      </c>
      <c r="L2981">
        <v>0</v>
      </c>
      <c r="M2981">
        <v>0</v>
      </c>
      <c r="N2981">
        <v>0</v>
      </c>
      <c r="O2981">
        <v>0</v>
      </c>
    </row>
    <row r="2982" spans="1:15">
      <c r="A2982" t="s">
        <v>3301</v>
      </c>
      <c r="B2982" t="s">
        <v>3254</v>
      </c>
      <c r="C2982" t="s">
        <v>317</v>
      </c>
      <c r="D2982">
        <v>47</v>
      </c>
      <c r="E2982">
        <v>100</v>
      </c>
      <c r="F2982">
        <v>0</v>
      </c>
      <c r="G2982">
        <v>0</v>
      </c>
      <c r="H2982">
        <v>0</v>
      </c>
      <c r="I2982">
        <v>0</v>
      </c>
      <c r="J2982">
        <v>0</v>
      </c>
      <c r="K2982">
        <v>0</v>
      </c>
      <c r="L2982">
        <v>0</v>
      </c>
      <c r="M2982">
        <v>0</v>
      </c>
      <c r="N2982">
        <v>0</v>
      </c>
      <c r="O2982">
        <v>0</v>
      </c>
    </row>
    <row r="2983" spans="1:15">
      <c r="A2983" t="s">
        <v>3302</v>
      </c>
      <c r="B2983" t="s">
        <v>3254</v>
      </c>
      <c r="C2983" t="s">
        <v>317</v>
      </c>
      <c r="D2983">
        <v>48</v>
      </c>
      <c r="E2983">
        <v>100</v>
      </c>
      <c r="F2983">
        <v>0</v>
      </c>
      <c r="G2983">
        <v>0</v>
      </c>
      <c r="H2983">
        <v>0</v>
      </c>
      <c r="I2983">
        <v>0</v>
      </c>
      <c r="J2983">
        <v>0</v>
      </c>
      <c r="K2983">
        <v>0</v>
      </c>
      <c r="L2983">
        <v>0</v>
      </c>
      <c r="M2983">
        <v>0</v>
      </c>
      <c r="N2983">
        <v>0</v>
      </c>
      <c r="O2983">
        <v>0</v>
      </c>
    </row>
    <row r="2984" spans="1:15">
      <c r="A2984" t="s">
        <v>3303</v>
      </c>
      <c r="B2984" t="s">
        <v>3254</v>
      </c>
      <c r="C2984" t="s">
        <v>317</v>
      </c>
      <c r="D2984">
        <v>49</v>
      </c>
      <c r="E2984">
        <v>100</v>
      </c>
      <c r="F2984">
        <v>0</v>
      </c>
      <c r="G2984">
        <v>0</v>
      </c>
      <c r="H2984">
        <v>0</v>
      </c>
      <c r="I2984">
        <v>0</v>
      </c>
      <c r="J2984">
        <v>0</v>
      </c>
      <c r="K2984">
        <v>0</v>
      </c>
      <c r="L2984">
        <v>0</v>
      </c>
      <c r="M2984">
        <v>0</v>
      </c>
      <c r="N2984">
        <v>0</v>
      </c>
      <c r="O2984">
        <v>0</v>
      </c>
    </row>
    <row r="2985" spans="1:15">
      <c r="A2985" t="s">
        <v>3304</v>
      </c>
      <c r="B2985" t="s">
        <v>3254</v>
      </c>
      <c r="C2985" t="s">
        <v>317</v>
      </c>
      <c r="D2985">
        <v>50</v>
      </c>
      <c r="E2985">
        <v>100</v>
      </c>
      <c r="F2985">
        <v>0</v>
      </c>
      <c r="G2985">
        <v>0</v>
      </c>
      <c r="H2985">
        <v>0</v>
      </c>
      <c r="I2985">
        <v>0</v>
      </c>
      <c r="J2985">
        <v>0</v>
      </c>
      <c r="K2985">
        <v>0</v>
      </c>
      <c r="L2985">
        <v>0</v>
      </c>
      <c r="M2985">
        <v>0</v>
      </c>
      <c r="N2985">
        <v>0</v>
      </c>
      <c r="O2985">
        <v>0</v>
      </c>
    </row>
    <row r="2986" spans="1:15">
      <c r="A2986" t="s">
        <v>3305</v>
      </c>
      <c r="B2986" t="s">
        <v>3254</v>
      </c>
      <c r="C2986" t="s">
        <v>317</v>
      </c>
      <c r="D2986">
        <v>51</v>
      </c>
      <c r="E2986">
        <v>100</v>
      </c>
      <c r="F2986">
        <v>0</v>
      </c>
      <c r="G2986">
        <v>0</v>
      </c>
      <c r="H2986">
        <v>0</v>
      </c>
      <c r="I2986">
        <v>0</v>
      </c>
      <c r="J2986">
        <v>0</v>
      </c>
      <c r="K2986">
        <v>0</v>
      </c>
      <c r="L2986">
        <v>0</v>
      </c>
      <c r="M2986">
        <v>0</v>
      </c>
      <c r="N2986">
        <v>0</v>
      </c>
      <c r="O2986">
        <v>0</v>
      </c>
    </row>
    <row r="2987" spans="1:15">
      <c r="A2987" t="s">
        <v>3306</v>
      </c>
      <c r="B2987" t="s">
        <v>3254</v>
      </c>
      <c r="C2987" t="s">
        <v>317</v>
      </c>
      <c r="D2987">
        <v>52</v>
      </c>
      <c r="E2987">
        <v>100</v>
      </c>
      <c r="F2987">
        <v>0</v>
      </c>
      <c r="G2987">
        <v>0</v>
      </c>
      <c r="H2987">
        <v>0</v>
      </c>
      <c r="I2987">
        <v>0</v>
      </c>
      <c r="J2987">
        <v>0</v>
      </c>
      <c r="K2987">
        <v>0</v>
      </c>
      <c r="L2987">
        <v>0</v>
      </c>
      <c r="M2987">
        <v>0</v>
      </c>
      <c r="N2987">
        <v>0</v>
      </c>
      <c r="O2987">
        <v>0</v>
      </c>
    </row>
    <row r="2988" spans="1:15">
      <c r="A2988" t="s">
        <v>3307</v>
      </c>
      <c r="B2988" t="s">
        <v>3254</v>
      </c>
      <c r="C2988" t="s">
        <v>317</v>
      </c>
      <c r="D2988">
        <v>53</v>
      </c>
      <c r="E2988">
        <v>100</v>
      </c>
      <c r="F2988">
        <v>0</v>
      </c>
      <c r="G2988">
        <v>0</v>
      </c>
      <c r="H2988">
        <v>0</v>
      </c>
      <c r="I2988">
        <v>0</v>
      </c>
      <c r="J2988">
        <v>0</v>
      </c>
      <c r="K2988">
        <v>0</v>
      </c>
      <c r="L2988">
        <v>0</v>
      </c>
      <c r="M2988">
        <v>0</v>
      </c>
      <c r="N2988">
        <v>0</v>
      </c>
      <c r="O2988">
        <v>0</v>
      </c>
    </row>
    <row r="2989" spans="1:15">
      <c r="A2989" t="s">
        <v>3308</v>
      </c>
      <c r="B2989" t="s">
        <v>3254</v>
      </c>
      <c r="C2989" t="s">
        <v>317</v>
      </c>
      <c r="D2989">
        <v>54</v>
      </c>
      <c r="E2989">
        <v>100</v>
      </c>
      <c r="F2989">
        <v>0</v>
      </c>
      <c r="G2989">
        <v>0</v>
      </c>
      <c r="H2989">
        <v>0</v>
      </c>
      <c r="I2989">
        <v>0</v>
      </c>
      <c r="J2989">
        <v>0</v>
      </c>
      <c r="K2989">
        <v>0</v>
      </c>
      <c r="L2989">
        <v>0</v>
      </c>
      <c r="M2989">
        <v>0</v>
      </c>
      <c r="N2989">
        <v>0</v>
      </c>
      <c r="O2989">
        <v>0</v>
      </c>
    </row>
    <row r="2990" spans="1:15">
      <c r="A2990" t="s">
        <v>3309</v>
      </c>
      <c r="B2990" t="s">
        <v>3254</v>
      </c>
      <c r="C2990" t="s">
        <v>317</v>
      </c>
      <c r="D2990">
        <v>55</v>
      </c>
      <c r="E2990">
        <v>100</v>
      </c>
      <c r="F2990">
        <v>0</v>
      </c>
      <c r="G2990">
        <v>0</v>
      </c>
      <c r="H2990">
        <v>0</v>
      </c>
      <c r="I2990">
        <v>0</v>
      </c>
      <c r="J2990">
        <v>0</v>
      </c>
      <c r="K2990">
        <v>0</v>
      </c>
      <c r="L2990">
        <v>0</v>
      </c>
      <c r="M2990">
        <v>0</v>
      </c>
      <c r="N2990">
        <v>0</v>
      </c>
      <c r="O2990">
        <v>0</v>
      </c>
    </row>
    <row r="2991" spans="1:15">
      <c r="A2991" t="s">
        <v>3310</v>
      </c>
      <c r="B2991" t="s">
        <v>3254</v>
      </c>
      <c r="C2991" t="s">
        <v>317</v>
      </c>
      <c r="D2991">
        <v>56</v>
      </c>
      <c r="E2991">
        <v>100</v>
      </c>
      <c r="F2991">
        <v>0</v>
      </c>
      <c r="G2991">
        <v>0</v>
      </c>
      <c r="H2991">
        <v>0</v>
      </c>
      <c r="I2991">
        <v>0</v>
      </c>
      <c r="J2991">
        <v>0</v>
      </c>
      <c r="K2991">
        <v>0</v>
      </c>
      <c r="L2991">
        <v>0</v>
      </c>
      <c r="M2991">
        <v>0</v>
      </c>
      <c r="N2991">
        <v>0</v>
      </c>
      <c r="O2991">
        <v>0</v>
      </c>
    </row>
    <row r="2992" spans="1:15">
      <c r="A2992" t="s">
        <v>3311</v>
      </c>
      <c r="B2992" t="s">
        <v>3254</v>
      </c>
      <c r="C2992" t="s">
        <v>317</v>
      </c>
      <c r="D2992">
        <v>57</v>
      </c>
      <c r="E2992">
        <v>100</v>
      </c>
      <c r="F2992">
        <v>0</v>
      </c>
      <c r="G2992">
        <v>0</v>
      </c>
      <c r="H2992">
        <v>0</v>
      </c>
      <c r="I2992">
        <v>0</v>
      </c>
      <c r="J2992">
        <v>0</v>
      </c>
      <c r="K2992">
        <v>0</v>
      </c>
      <c r="L2992">
        <v>0</v>
      </c>
      <c r="M2992">
        <v>0</v>
      </c>
      <c r="N2992">
        <v>0</v>
      </c>
      <c r="O2992">
        <v>0</v>
      </c>
    </row>
    <row r="2993" spans="1:15">
      <c r="A2993" t="s">
        <v>3312</v>
      </c>
      <c r="B2993" t="s">
        <v>3254</v>
      </c>
      <c r="C2993" t="s">
        <v>317</v>
      </c>
      <c r="D2993">
        <v>58</v>
      </c>
      <c r="E2993">
        <v>100</v>
      </c>
      <c r="F2993">
        <v>0</v>
      </c>
      <c r="G2993">
        <v>0</v>
      </c>
      <c r="H2993">
        <v>0</v>
      </c>
      <c r="I2993">
        <v>0</v>
      </c>
      <c r="J2993">
        <v>0</v>
      </c>
      <c r="K2993">
        <v>0</v>
      </c>
      <c r="L2993">
        <v>0</v>
      </c>
      <c r="M2993">
        <v>0</v>
      </c>
      <c r="N2993">
        <v>0</v>
      </c>
      <c r="O2993">
        <v>0</v>
      </c>
    </row>
    <row r="2994" spans="1:15">
      <c r="A2994" t="s">
        <v>3313</v>
      </c>
      <c r="B2994" t="s">
        <v>3254</v>
      </c>
      <c r="C2994" t="s">
        <v>317</v>
      </c>
      <c r="D2994">
        <v>59</v>
      </c>
      <c r="E2994">
        <v>100</v>
      </c>
      <c r="F2994">
        <v>0</v>
      </c>
      <c r="G2994">
        <v>0</v>
      </c>
      <c r="H2994">
        <v>0</v>
      </c>
      <c r="I2994">
        <v>0</v>
      </c>
      <c r="J2994">
        <v>0</v>
      </c>
      <c r="K2994">
        <v>0</v>
      </c>
      <c r="L2994">
        <v>0</v>
      </c>
      <c r="M2994">
        <v>0</v>
      </c>
      <c r="N2994">
        <v>0</v>
      </c>
      <c r="O2994">
        <v>0</v>
      </c>
    </row>
    <row r="2995" spans="1:15">
      <c r="A2995" t="s">
        <v>3314</v>
      </c>
      <c r="B2995" t="s">
        <v>3254</v>
      </c>
      <c r="C2995" t="s">
        <v>317</v>
      </c>
      <c r="D2995">
        <v>60</v>
      </c>
      <c r="E2995">
        <v>100</v>
      </c>
      <c r="F2995">
        <v>0</v>
      </c>
      <c r="G2995">
        <v>0</v>
      </c>
      <c r="H2995">
        <v>0</v>
      </c>
      <c r="I2995">
        <v>0</v>
      </c>
      <c r="J2995">
        <v>0</v>
      </c>
      <c r="K2995">
        <v>0</v>
      </c>
      <c r="L2995">
        <v>0</v>
      </c>
      <c r="M2995">
        <v>0</v>
      </c>
      <c r="N2995">
        <v>0</v>
      </c>
      <c r="O2995">
        <v>0</v>
      </c>
    </row>
    <row r="2996" spans="1:15">
      <c r="A2996" t="s">
        <v>3315</v>
      </c>
      <c r="B2996" t="s">
        <v>3254</v>
      </c>
      <c r="C2996" t="s">
        <v>317</v>
      </c>
      <c r="D2996">
        <v>61</v>
      </c>
      <c r="E2996">
        <v>100</v>
      </c>
      <c r="F2996">
        <v>0</v>
      </c>
      <c r="G2996">
        <v>0</v>
      </c>
      <c r="H2996">
        <v>0</v>
      </c>
      <c r="I2996">
        <v>0</v>
      </c>
      <c r="J2996">
        <v>0</v>
      </c>
      <c r="K2996">
        <v>0</v>
      </c>
      <c r="L2996">
        <v>0</v>
      </c>
      <c r="M2996">
        <v>0</v>
      </c>
      <c r="N2996">
        <v>0</v>
      </c>
      <c r="O2996">
        <v>0</v>
      </c>
    </row>
    <row r="2997" spans="1:15">
      <c r="A2997" t="s">
        <v>3316</v>
      </c>
      <c r="B2997" t="s">
        <v>3254</v>
      </c>
      <c r="C2997" t="s">
        <v>317</v>
      </c>
      <c r="D2997">
        <v>62</v>
      </c>
      <c r="E2997">
        <v>100</v>
      </c>
      <c r="F2997">
        <v>0</v>
      </c>
      <c r="G2997">
        <v>0</v>
      </c>
      <c r="H2997">
        <v>0</v>
      </c>
      <c r="I2997">
        <v>0</v>
      </c>
      <c r="J2997">
        <v>0</v>
      </c>
      <c r="K2997">
        <v>0</v>
      </c>
      <c r="L2997">
        <v>0</v>
      </c>
      <c r="M2997">
        <v>0</v>
      </c>
      <c r="N2997">
        <v>0</v>
      </c>
      <c r="O2997">
        <v>0</v>
      </c>
    </row>
    <row r="2998" spans="1:15">
      <c r="A2998" t="s">
        <v>3317</v>
      </c>
      <c r="B2998" t="s">
        <v>3254</v>
      </c>
      <c r="C2998" t="s">
        <v>317</v>
      </c>
      <c r="D2998">
        <v>63</v>
      </c>
      <c r="E2998">
        <v>100</v>
      </c>
      <c r="F2998">
        <v>0</v>
      </c>
      <c r="G2998">
        <v>0</v>
      </c>
      <c r="H2998">
        <v>0</v>
      </c>
      <c r="I2998">
        <v>0</v>
      </c>
      <c r="J2998">
        <v>0</v>
      </c>
      <c r="K2998">
        <v>0</v>
      </c>
      <c r="L2998">
        <v>0</v>
      </c>
      <c r="M2998">
        <v>0</v>
      </c>
      <c r="N2998">
        <v>0</v>
      </c>
      <c r="O2998">
        <v>0</v>
      </c>
    </row>
    <row r="2999" spans="1:15">
      <c r="A2999" t="s">
        <v>3318</v>
      </c>
      <c r="B2999" t="s">
        <v>3254</v>
      </c>
      <c r="C2999" t="s">
        <v>317</v>
      </c>
      <c r="D2999">
        <v>64</v>
      </c>
      <c r="E2999">
        <v>100</v>
      </c>
      <c r="F2999">
        <v>0</v>
      </c>
      <c r="G2999">
        <v>0</v>
      </c>
      <c r="H2999">
        <v>0</v>
      </c>
      <c r="I2999">
        <v>0</v>
      </c>
      <c r="J2999">
        <v>0</v>
      </c>
      <c r="K2999">
        <v>0</v>
      </c>
      <c r="L2999">
        <v>0</v>
      </c>
      <c r="M2999">
        <v>0</v>
      </c>
      <c r="N2999">
        <v>0</v>
      </c>
      <c r="O2999">
        <v>0</v>
      </c>
    </row>
    <row r="3000" spans="1:15">
      <c r="A3000" t="s">
        <v>3319</v>
      </c>
      <c r="B3000" t="s">
        <v>3254</v>
      </c>
      <c r="C3000" t="s">
        <v>317</v>
      </c>
      <c r="D3000">
        <v>65</v>
      </c>
      <c r="E3000">
        <v>100</v>
      </c>
      <c r="F3000">
        <v>0</v>
      </c>
      <c r="G3000">
        <v>0</v>
      </c>
      <c r="H3000">
        <v>0</v>
      </c>
      <c r="I3000">
        <v>0</v>
      </c>
      <c r="J3000">
        <v>0</v>
      </c>
      <c r="K3000">
        <v>0</v>
      </c>
      <c r="L3000">
        <v>0</v>
      </c>
      <c r="M3000">
        <v>0</v>
      </c>
      <c r="N3000">
        <v>0</v>
      </c>
      <c r="O3000">
        <v>0</v>
      </c>
    </row>
    <row r="3001" spans="1:15">
      <c r="A3001" t="s">
        <v>3320</v>
      </c>
      <c r="B3001" t="s">
        <v>3254</v>
      </c>
      <c r="C3001" t="s">
        <v>317</v>
      </c>
      <c r="D3001">
        <v>66</v>
      </c>
      <c r="E3001">
        <v>100</v>
      </c>
      <c r="F3001">
        <v>0</v>
      </c>
      <c r="G3001">
        <v>0</v>
      </c>
      <c r="H3001">
        <v>0</v>
      </c>
      <c r="I3001">
        <v>0</v>
      </c>
      <c r="J3001">
        <v>0</v>
      </c>
      <c r="K3001">
        <v>0</v>
      </c>
      <c r="L3001">
        <v>0</v>
      </c>
      <c r="M3001">
        <v>0</v>
      </c>
      <c r="N3001">
        <v>0</v>
      </c>
      <c r="O3001">
        <v>0</v>
      </c>
    </row>
    <row r="3002" spans="1:15">
      <c r="A3002" t="s">
        <v>3321</v>
      </c>
      <c r="B3002" t="s">
        <v>3254</v>
      </c>
      <c r="C3002" t="s">
        <v>317</v>
      </c>
      <c r="D3002">
        <v>67</v>
      </c>
      <c r="E3002">
        <v>100</v>
      </c>
      <c r="F3002">
        <v>0</v>
      </c>
      <c r="G3002">
        <v>0</v>
      </c>
      <c r="H3002">
        <v>0</v>
      </c>
      <c r="I3002">
        <v>0</v>
      </c>
      <c r="J3002">
        <v>0</v>
      </c>
      <c r="K3002">
        <v>0</v>
      </c>
      <c r="L3002">
        <v>0</v>
      </c>
      <c r="M3002">
        <v>0</v>
      </c>
      <c r="N3002">
        <v>0</v>
      </c>
      <c r="O3002">
        <v>0</v>
      </c>
    </row>
    <row r="3003" spans="1:15">
      <c r="A3003" t="s">
        <v>3322</v>
      </c>
      <c r="B3003" t="s">
        <v>3254</v>
      </c>
      <c r="C3003" t="s">
        <v>317</v>
      </c>
      <c r="D3003">
        <v>68</v>
      </c>
      <c r="E3003">
        <v>100</v>
      </c>
      <c r="F3003">
        <v>0</v>
      </c>
      <c r="G3003">
        <v>0</v>
      </c>
      <c r="H3003">
        <v>0</v>
      </c>
      <c r="I3003">
        <v>0</v>
      </c>
      <c r="J3003">
        <v>0</v>
      </c>
      <c r="K3003">
        <v>0</v>
      </c>
      <c r="L3003">
        <v>0</v>
      </c>
      <c r="M3003">
        <v>0</v>
      </c>
      <c r="N3003">
        <v>0</v>
      </c>
      <c r="O3003">
        <v>0</v>
      </c>
    </row>
    <row r="3004" spans="1:15">
      <c r="A3004" t="s">
        <v>3323</v>
      </c>
      <c r="B3004" t="s">
        <v>3254</v>
      </c>
      <c r="C3004" t="s">
        <v>317</v>
      </c>
      <c r="D3004">
        <v>69</v>
      </c>
      <c r="E3004">
        <v>100</v>
      </c>
      <c r="F3004">
        <v>0</v>
      </c>
      <c r="G3004">
        <v>0</v>
      </c>
      <c r="H3004">
        <v>0</v>
      </c>
      <c r="I3004">
        <v>0</v>
      </c>
      <c r="J3004">
        <v>0</v>
      </c>
      <c r="K3004">
        <v>0</v>
      </c>
      <c r="L3004">
        <v>0</v>
      </c>
      <c r="M3004">
        <v>0</v>
      </c>
      <c r="N3004">
        <v>0</v>
      </c>
      <c r="O3004">
        <v>0</v>
      </c>
    </row>
    <row r="3005" spans="1:15">
      <c r="A3005" t="s">
        <v>3324</v>
      </c>
      <c r="B3005" t="s">
        <v>3254</v>
      </c>
      <c r="C3005" t="s">
        <v>317</v>
      </c>
      <c r="D3005">
        <v>70</v>
      </c>
      <c r="E3005">
        <v>100</v>
      </c>
      <c r="F3005">
        <v>0</v>
      </c>
      <c r="G3005">
        <v>0</v>
      </c>
      <c r="H3005">
        <v>0</v>
      </c>
      <c r="I3005">
        <v>0</v>
      </c>
      <c r="J3005">
        <v>0</v>
      </c>
      <c r="K3005">
        <v>0</v>
      </c>
      <c r="L3005">
        <v>0</v>
      </c>
      <c r="M3005">
        <v>0</v>
      </c>
      <c r="N3005">
        <v>0</v>
      </c>
      <c r="O3005">
        <v>0</v>
      </c>
    </row>
    <row r="3006" spans="1:15">
      <c r="A3006" t="s">
        <v>3325</v>
      </c>
      <c r="B3006" t="s">
        <v>3254</v>
      </c>
      <c r="C3006" t="s">
        <v>317</v>
      </c>
      <c r="D3006">
        <v>71</v>
      </c>
      <c r="E3006">
        <v>100</v>
      </c>
      <c r="F3006">
        <v>0</v>
      </c>
      <c r="G3006">
        <v>0</v>
      </c>
      <c r="H3006">
        <v>0</v>
      </c>
      <c r="I3006">
        <v>0</v>
      </c>
      <c r="J3006">
        <v>0</v>
      </c>
      <c r="K3006">
        <v>0</v>
      </c>
      <c r="L3006">
        <v>0</v>
      </c>
      <c r="M3006">
        <v>0</v>
      </c>
      <c r="N3006">
        <v>0</v>
      </c>
      <c r="O3006">
        <v>0</v>
      </c>
    </row>
    <row r="3007" spans="1:15">
      <c r="A3007" t="s">
        <v>3326</v>
      </c>
      <c r="B3007" t="s">
        <v>3254</v>
      </c>
      <c r="C3007" t="s">
        <v>317</v>
      </c>
      <c r="D3007">
        <v>72</v>
      </c>
      <c r="E3007">
        <v>100</v>
      </c>
      <c r="F3007">
        <v>0</v>
      </c>
      <c r="G3007">
        <v>0</v>
      </c>
      <c r="H3007">
        <v>0</v>
      </c>
      <c r="I3007">
        <v>0</v>
      </c>
      <c r="J3007">
        <v>0</v>
      </c>
      <c r="K3007">
        <v>0</v>
      </c>
      <c r="L3007">
        <v>0</v>
      </c>
      <c r="M3007">
        <v>0</v>
      </c>
      <c r="N3007">
        <v>0</v>
      </c>
      <c r="O3007">
        <v>0</v>
      </c>
    </row>
    <row r="3008" spans="1:15">
      <c r="A3008" t="s">
        <v>3327</v>
      </c>
      <c r="B3008" t="s">
        <v>3254</v>
      </c>
      <c r="C3008" t="s">
        <v>317</v>
      </c>
      <c r="D3008">
        <v>73</v>
      </c>
      <c r="E3008">
        <v>100</v>
      </c>
      <c r="F3008">
        <v>0</v>
      </c>
      <c r="G3008">
        <v>0</v>
      </c>
      <c r="H3008">
        <v>0</v>
      </c>
      <c r="I3008">
        <v>0</v>
      </c>
      <c r="J3008">
        <v>0</v>
      </c>
      <c r="K3008">
        <v>0</v>
      </c>
      <c r="L3008">
        <v>0</v>
      </c>
      <c r="M3008">
        <v>0</v>
      </c>
      <c r="N3008">
        <v>0</v>
      </c>
      <c r="O3008">
        <v>0</v>
      </c>
    </row>
    <row r="3009" spans="1:15">
      <c r="A3009" t="s">
        <v>3328</v>
      </c>
      <c r="B3009" t="s">
        <v>3254</v>
      </c>
      <c r="C3009" t="s">
        <v>317</v>
      </c>
      <c r="D3009">
        <v>74</v>
      </c>
      <c r="E3009">
        <v>100</v>
      </c>
      <c r="F3009">
        <v>0</v>
      </c>
      <c r="G3009">
        <v>0</v>
      </c>
      <c r="H3009">
        <v>0</v>
      </c>
      <c r="I3009">
        <v>0</v>
      </c>
      <c r="J3009">
        <v>0</v>
      </c>
      <c r="K3009">
        <v>0</v>
      </c>
      <c r="L3009">
        <v>0</v>
      </c>
      <c r="M3009">
        <v>0</v>
      </c>
      <c r="N3009">
        <v>0</v>
      </c>
      <c r="O3009">
        <v>0</v>
      </c>
    </row>
    <row r="3010" spans="1:15">
      <c r="A3010" t="s">
        <v>3329</v>
      </c>
      <c r="B3010" t="s">
        <v>3254</v>
      </c>
      <c r="C3010" t="s">
        <v>317</v>
      </c>
      <c r="D3010">
        <v>75</v>
      </c>
      <c r="E3010">
        <v>100</v>
      </c>
      <c r="F3010">
        <v>0</v>
      </c>
      <c r="G3010">
        <v>0</v>
      </c>
      <c r="H3010">
        <v>0</v>
      </c>
      <c r="I3010">
        <v>0</v>
      </c>
      <c r="J3010">
        <v>0</v>
      </c>
      <c r="K3010">
        <v>0</v>
      </c>
      <c r="L3010">
        <v>0</v>
      </c>
      <c r="M3010">
        <v>0</v>
      </c>
      <c r="N3010">
        <v>0</v>
      </c>
      <c r="O3010">
        <v>0</v>
      </c>
    </row>
    <row r="3011" spans="1:15">
      <c r="A3011" t="s">
        <v>3330</v>
      </c>
      <c r="B3011" t="s">
        <v>3254</v>
      </c>
      <c r="C3011" t="s">
        <v>317</v>
      </c>
      <c r="D3011">
        <v>76</v>
      </c>
      <c r="E3011">
        <v>100</v>
      </c>
      <c r="F3011">
        <v>0</v>
      </c>
      <c r="G3011">
        <v>0</v>
      </c>
      <c r="H3011">
        <v>0</v>
      </c>
      <c r="I3011">
        <v>0</v>
      </c>
      <c r="J3011">
        <v>0</v>
      </c>
      <c r="K3011">
        <v>0</v>
      </c>
      <c r="L3011">
        <v>0</v>
      </c>
      <c r="M3011">
        <v>0</v>
      </c>
      <c r="N3011">
        <v>0</v>
      </c>
      <c r="O3011">
        <v>0</v>
      </c>
    </row>
    <row r="3012" spans="1:15">
      <c r="A3012" t="s">
        <v>3331</v>
      </c>
      <c r="B3012" t="s">
        <v>3254</v>
      </c>
      <c r="C3012" t="s">
        <v>317</v>
      </c>
      <c r="D3012">
        <v>77</v>
      </c>
      <c r="E3012">
        <v>100</v>
      </c>
      <c r="F3012">
        <v>0</v>
      </c>
      <c r="G3012">
        <v>0</v>
      </c>
      <c r="H3012">
        <v>0</v>
      </c>
      <c r="I3012">
        <v>0</v>
      </c>
      <c r="J3012">
        <v>0</v>
      </c>
      <c r="K3012">
        <v>0</v>
      </c>
      <c r="L3012">
        <v>0</v>
      </c>
      <c r="M3012">
        <v>0</v>
      </c>
      <c r="N3012">
        <v>0</v>
      </c>
      <c r="O3012">
        <v>0</v>
      </c>
    </row>
    <row r="3013" spans="1:15">
      <c r="A3013" t="s">
        <v>3332</v>
      </c>
      <c r="B3013" t="s">
        <v>3254</v>
      </c>
      <c r="C3013" t="s">
        <v>317</v>
      </c>
      <c r="D3013">
        <v>78</v>
      </c>
      <c r="E3013">
        <v>100</v>
      </c>
      <c r="F3013">
        <v>0</v>
      </c>
      <c r="G3013">
        <v>0</v>
      </c>
      <c r="H3013">
        <v>0</v>
      </c>
      <c r="I3013">
        <v>0</v>
      </c>
      <c r="J3013">
        <v>0</v>
      </c>
      <c r="K3013">
        <v>0</v>
      </c>
      <c r="L3013">
        <v>0</v>
      </c>
      <c r="M3013">
        <v>0</v>
      </c>
      <c r="N3013">
        <v>0</v>
      </c>
      <c r="O3013">
        <v>0</v>
      </c>
    </row>
    <row r="3014" spans="1:15">
      <c r="A3014" t="s">
        <v>3333</v>
      </c>
      <c r="B3014" t="s">
        <v>3254</v>
      </c>
      <c r="C3014" t="s">
        <v>317</v>
      </c>
      <c r="D3014">
        <v>79</v>
      </c>
      <c r="E3014">
        <v>100</v>
      </c>
      <c r="F3014">
        <v>0</v>
      </c>
      <c r="G3014">
        <v>0</v>
      </c>
      <c r="H3014">
        <v>0</v>
      </c>
      <c r="I3014">
        <v>0</v>
      </c>
      <c r="J3014">
        <v>0</v>
      </c>
      <c r="K3014">
        <v>0</v>
      </c>
      <c r="L3014">
        <v>0</v>
      </c>
      <c r="M3014">
        <v>0</v>
      </c>
      <c r="N3014">
        <v>0</v>
      </c>
      <c r="O3014">
        <v>0</v>
      </c>
    </row>
    <row r="3015" spans="1:15">
      <c r="A3015" t="s">
        <v>3334</v>
      </c>
      <c r="B3015" t="s">
        <v>3254</v>
      </c>
      <c r="C3015" t="s">
        <v>317</v>
      </c>
      <c r="D3015">
        <v>80</v>
      </c>
      <c r="E3015">
        <v>100</v>
      </c>
      <c r="F3015">
        <v>0</v>
      </c>
      <c r="G3015">
        <v>0</v>
      </c>
      <c r="H3015">
        <v>0</v>
      </c>
      <c r="I3015">
        <v>0</v>
      </c>
      <c r="J3015">
        <v>0</v>
      </c>
      <c r="K3015">
        <v>0</v>
      </c>
      <c r="L3015">
        <v>0</v>
      </c>
      <c r="M3015">
        <v>0</v>
      </c>
      <c r="N3015">
        <v>0</v>
      </c>
      <c r="O3015">
        <v>0</v>
      </c>
    </row>
    <row r="3016" spans="1:15">
      <c r="A3016" t="s">
        <v>3335</v>
      </c>
      <c r="B3016" t="s">
        <v>3254</v>
      </c>
      <c r="C3016" t="s">
        <v>317</v>
      </c>
      <c r="D3016">
        <v>81</v>
      </c>
      <c r="E3016">
        <v>100</v>
      </c>
      <c r="F3016">
        <v>0</v>
      </c>
      <c r="G3016">
        <v>0</v>
      </c>
      <c r="H3016">
        <v>0</v>
      </c>
      <c r="I3016">
        <v>0</v>
      </c>
      <c r="J3016">
        <v>0</v>
      </c>
      <c r="K3016">
        <v>0</v>
      </c>
      <c r="L3016">
        <v>0</v>
      </c>
      <c r="M3016">
        <v>0</v>
      </c>
      <c r="N3016">
        <v>0</v>
      </c>
      <c r="O3016">
        <v>0</v>
      </c>
    </row>
    <row r="3017" spans="1:15">
      <c r="A3017" t="s">
        <v>3336</v>
      </c>
      <c r="B3017" t="s">
        <v>3254</v>
      </c>
      <c r="C3017" t="s">
        <v>317</v>
      </c>
      <c r="D3017">
        <v>82</v>
      </c>
      <c r="E3017">
        <v>100</v>
      </c>
      <c r="F3017">
        <v>0</v>
      </c>
      <c r="G3017">
        <v>0</v>
      </c>
      <c r="H3017">
        <v>0</v>
      </c>
      <c r="I3017">
        <v>0</v>
      </c>
      <c r="J3017">
        <v>0</v>
      </c>
      <c r="K3017">
        <v>0</v>
      </c>
      <c r="L3017">
        <v>0</v>
      </c>
      <c r="M3017">
        <v>0</v>
      </c>
      <c r="N3017">
        <v>0</v>
      </c>
      <c r="O3017">
        <v>0</v>
      </c>
    </row>
    <row r="3018" spans="1:15">
      <c r="A3018" t="s">
        <v>3337</v>
      </c>
      <c r="B3018" t="s">
        <v>3254</v>
      </c>
      <c r="C3018" t="s">
        <v>317</v>
      </c>
      <c r="D3018">
        <v>83</v>
      </c>
      <c r="E3018">
        <v>100</v>
      </c>
      <c r="F3018">
        <v>0</v>
      </c>
      <c r="G3018">
        <v>0</v>
      </c>
      <c r="H3018">
        <v>0</v>
      </c>
      <c r="I3018">
        <v>0</v>
      </c>
      <c r="J3018">
        <v>0</v>
      </c>
      <c r="K3018">
        <v>0</v>
      </c>
      <c r="L3018">
        <v>0</v>
      </c>
      <c r="M3018">
        <v>0</v>
      </c>
      <c r="N3018">
        <v>0</v>
      </c>
      <c r="O3018">
        <v>0</v>
      </c>
    </row>
    <row r="3019" spans="1:15">
      <c r="A3019" t="s">
        <v>3338</v>
      </c>
      <c r="B3019" t="s">
        <v>3254</v>
      </c>
      <c r="C3019" t="s">
        <v>317</v>
      </c>
      <c r="D3019">
        <v>84</v>
      </c>
      <c r="E3019">
        <v>100</v>
      </c>
      <c r="F3019">
        <v>0</v>
      </c>
      <c r="G3019">
        <v>0</v>
      </c>
      <c r="H3019">
        <v>0</v>
      </c>
      <c r="I3019">
        <v>0</v>
      </c>
      <c r="J3019">
        <v>0</v>
      </c>
      <c r="K3019">
        <v>0</v>
      </c>
      <c r="L3019">
        <v>0</v>
      </c>
      <c r="M3019">
        <v>0</v>
      </c>
      <c r="N3019">
        <v>0</v>
      </c>
      <c r="O3019">
        <v>0</v>
      </c>
    </row>
    <row r="3020" spans="1:15">
      <c r="A3020" t="s">
        <v>3339</v>
      </c>
      <c r="B3020" t="s">
        <v>3254</v>
      </c>
      <c r="C3020" t="s">
        <v>317</v>
      </c>
      <c r="D3020">
        <v>85</v>
      </c>
      <c r="E3020">
        <v>100</v>
      </c>
      <c r="F3020">
        <v>0</v>
      </c>
      <c r="G3020">
        <v>0</v>
      </c>
      <c r="H3020">
        <v>0</v>
      </c>
      <c r="I3020">
        <v>0</v>
      </c>
      <c r="J3020">
        <v>0</v>
      </c>
      <c r="K3020">
        <v>0</v>
      </c>
      <c r="L3020">
        <v>0</v>
      </c>
      <c r="M3020">
        <v>0</v>
      </c>
      <c r="N3020">
        <v>0</v>
      </c>
      <c r="O3020">
        <v>0</v>
      </c>
    </row>
    <row r="3021" spans="1:15">
      <c r="A3021" t="s">
        <v>3340</v>
      </c>
      <c r="B3021" t="s">
        <v>3254</v>
      </c>
      <c r="C3021" t="s">
        <v>404</v>
      </c>
      <c r="D3021">
        <v>0</v>
      </c>
      <c r="E3021">
        <v>100</v>
      </c>
      <c r="F3021">
        <v>0</v>
      </c>
      <c r="G3021">
        <v>0</v>
      </c>
      <c r="H3021">
        <v>0</v>
      </c>
      <c r="I3021">
        <v>0</v>
      </c>
      <c r="J3021">
        <v>0</v>
      </c>
      <c r="K3021">
        <v>0</v>
      </c>
      <c r="L3021">
        <v>0</v>
      </c>
      <c r="M3021">
        <v>0</v>
      </c>
      <c r="N3021">
        <v>0</v>
      </c>
      <c r="O3021">
        <v>0</v>
      </c>
    </row>
    <row r="3022" spans="1:15">
      <c r="A3022" t="s">
        <v>3341</v>
      </c>
      <c r="B3022" t="s">
        <v>3254</v>
      </c>
      <c r="C3022" t="s">
        <v>404</v>
      </c>
      <c r="D3022">
        <v>1</v>
      </c>
      <c r="E3022">
        <v>100</v>
      </c>
      <c r="F3022">
        <v>0</v>
      </c>
      <c r="G3022">
        <v>0</v>
      </c>
      <c r="H3022">
        <v>0</v>
      </c>
      <c r="I3022">
        <v>0</v>
      </c>
      <c r="J3022">
        <v>0</v>
      </c>
      <c r="K3022">
        <v>0</v>
      </c>
      <c r="L3022">
        <v>0</v>
      </c>
      <c r="M3022">
        <v>0</v>
      </c>
      <c r="N3022">
        <v>0</v>
      </c>
      <c r="O3022">
        <v>0</v>
      </c>
    </row>
    <row r="3023" spans="1:15">
      <c r="A3023" t="s">
        <v>3342</v>
      </c>
      <c r="B3023" t="s">
        <v>3254</v>
      </c>
      <c r="C3023" t="s">
        <v>404</v>
      </c>
      <c r="D3023">
        <v>2</v>
      </c>
      <c r="E3023">
        <v>100</v>
      </c>
      <c r="F3023">
        <v>0</v>
      </c>
      <c r="G3023">
        <v>0</v>
      </c>
      <c r="H3023">
        <v>0</v>
      </c>
      <c r="I3023">
        <v>0</v>
      </c>
      <c r="J3023">
        <v>0</v>
      </c>
      <c r="K3023">
        <v>0</v>
      </c>
      <c r="L3023">
        <v>0</v>
      </c>
      <c r="M3023">
        <v>0</v>
      </c>
      <c r="N3023">
        <v>0</v>
      </c>
      <c r="O3023">
        <v>0</v>
      </c>
    </row>
    <row r="3024" spans="1:15">
      <c r="A3024" t="s">
        <v>3343</v>
      </c>
      <c r="B3024" t="s">
        <v>3254</v>
      </c>
      <c r="C3024" t="s">
        <v>404</v>
      </c>
      <c r="D3024">
        <v>3</v>
      </c>
      <c r="E3024">
        <v>100</v>
      </c>
      <c r="F3024">
        <v>0</v>
      </c>
      <c r="G3024">
        <v>0</v>
      </c>
      <c r="H3024">
        <v>0</v>
      </c>
      <c r="I3024">
        <v>0</v>
      </c>
      <c r="J3024">
        <v>0</v>
      </c>
      <c r="K3024">
        <v>0</v>
      </c>
      <c r="L3024">
        <v>0</v>
      </c>
      <c r="M3024">
        <v>0</v>
      </c>
      <c r="N3024">
        <v>0</v>
      </c>
      <c r="O3024">
        <v>0</v>
      </c>
    </row>
    <row r="3025" spans="1:15">
      <c r="A3025" t="s">
        <v>3344</v>
      </c>
      <c r="B3025" t="s">
        <v>3254</v>
      </c>
      <c r="C3025" t="s">
        <v>404</v>
      </c>
      <c r="D3025">
        <v>4</v>
      </c>
      <c r="E3025">
        <v>100</v>
      </c>
      <c r="F3025">
        <v>0</v>
      </c>
      <c r="G3025">
        <v>0</v>
      </c>
      <c r="H3025">
        <v>0</v>
      </c>
      <c r="I3025">
        <v>0</v>
      </c>
      <c r="J3025">
        <v>0</v>
      </c>
      <c r="K3025">
        <v>0</v>
      </c>
      <c r="L3025">
        <v>0</v>
      </c>
      <c r="M3025">
        <v>0</v>
      </c>
      <c r="N3025">
        <v>0</v>
      </c>
      <c r="O3025">
        <v>0</v>
      </c>
    </row>
    <row r="3026" spans="1:15">
      <c r="A3026" t="s">
        <v>3345</v>
      </c>
      <c r="B3026" t="s">
        <v>3254</v>
      </c>
      <c r="C3026" t="s">
        <v>404</v>
      </c>
      <c r="D3026">
        <v>5</v>
      </c>
      <c r="E3026">
        <v>100</v>
      </c>
      <c r="F3026">
        <v>0</v>
      </c>
      <c r="G3026">
        <v>0</v>
      </c>
      <c r="H3026">
        <v>0</v>
      </c>
      <c r="I3026">
        <v>0</v>
      </c>
      <c r="J3026">
        <v>0</v>
      </c>
      <c r="K3026">
        <v>0</v>
      </c>
      <c r="L3026">
        <v>0</v>
      </c>
      <c r="M3026">
        <v>0</v>
      </c>
      <c r="N3026">
        <v>0</v>
      </c>
      <c r="O3026">
        <v>0</v>
      </c>
    </row>
    <row r="3027" spans="1:15">
      <c r="A3027" t="s">
        <v>3346</v>
      </c>
      <c r="B3027" t="s">
        <v>3254</v>
      </c>
      <c r="C3027" t="s">
        <v>404</v>
      </c>
      <c r="D3027">
        <v>6</v>
      </c>
      <c r="E3027">
        <v>100</v>
      </c>
      <c r="F3027">
        <v>0</v>
      </c>
      <c r="G3027">
        <v>0</v>
      </c>
      <c r="H3027">
        <v>0</v>
      </c>
      <c r="I3027">
        <v>0</v>
      </c>
      <c r="J3027">
        <v>0</v>
      </c>
      <c r="K3027">
        <v>0</v>
      </c>
      <c r="L3027">
        <v>0</v>
      </c>
      <c r="M3027">
        <v>0</v>
      </c>
      <c r="N3027">
        <v>0</v>
      </c>
      <c r="O3027">
        <v>0</v>
      </c>
    </row>
    <row r="3028" spans="1:15">
      <c r="A3028" t="s">
        <v>3347</v>
      </c>
      <c r="B3028" t="s">
        <v>3254</v>
      </c>
      <c r="C3028" t="s">
        <v>404</v>
      </c>
      <c r="D3028">
        <v>7</v>
      </c>
      <c r="E3028">
        <v>100</v>
      </c>
      <c r="F3028">
        <v>0</v>
      </c>
      <c r="G3028">
        <v>0</v>
      </c>
      <c r="H3028">
        <v>0</v>
      </c>
      <c r="I3028">
        <v>0</v>
      </c>
      <c r="J3028">
        <v>0</v>
      </c>
      <c r="K3028">
        <v>0</v>
      </c>
      <c r="L3028">
        <v>0</v>
      </c>
      <c r="M3028">
        <v>0</v>
      </c>
      <c r="N3028">
        <v>0</v>
      </c>
      <c r="O3028">
        <v>0</v>
      </c>
    </row>
    <row r="3029" spans="1:15">
      <c r="A3029" t="s">
        <v>3348</v>
      </c>
      <c r="B3029" t="s">
        <v>3254</v>
      </c>
      <c r="C3029" t="s">
        <v>404</v>
      </c>
      <c r="D3029">
        <v>8</v>
      </c>
      <c r="E3029">
        <v>100</v>
      </c>
      <c r="F3029">
        <v>0</v>
      </c>
      <c r="G3029">
        <v>0</v>
      </c>
      <c r="H3029">
        <v>0</v>
      </c>
      <c r="I3029">
        <v>0</v>
      </c>
      <c r="J3029">
        <v>0</v>
      </c>
      <c r="K3029">
        <v>0</v>
      </c>
      <c r="L3029">
        <v>0</v>
      </c>
      <c r="M3029">
        <v>0</v>
      </c>
      <c r="N3029">
        <v>0</v>
      </c>
      <c r="O3029">
        <v>0</v>
      </c>
    </row>
    <row r="3030" spans="1:15">
      <c r="A3030" t="s">
        <v>3349</v>
      </c>
      <c r="B3030" t="s">
        <v>3254</v>
      </c>
      <c r="C3030" t="s">
        <v>404</v>
      </c>
      <c r="D3030">
        <v>9</v>
      </c>
      <c r="E3030">
        <v>100</v>
      </c>
      <c r="F3030">
        <v>0</v>
      </c>
      <c r="G3030">
        <v>0</v>
      </c>
      <c r="H3030">
        <v>0</v>
      </c>
      <c r="I3030">
        <v>0</v>
      </c>
      <c r="J3030">
        <v>0</v>
      </c>
      <c r="K3030">
        <v>0</v>
      </c>
      <c r="L3030">
        <v>0</v>
      </c>
      <c r="M3030">
        <v>0</v>
      </c>
      <c r="N3030">
        <v>0</v>
      </c>
      <c r="O3030">
        <v>0</v>
      </c>
    </row>
    <row r="3031" spans="1:15">
      <c r="A3031" t="s">
        <v>3350</v>
      </c>
      <c r="B3031" t="s">
        <v>3254</v>
      </c>
      <c r="C3031" t="s">
        <v>404</v>
      </c>
      <c r="D3031">
        <v>10</v>
      </c>
      <c r="E3031">
        <v>100</v>
      </c>
      <c r="F3031">
        <v>0</v>
      </c>
      <c r="G3031">
        <v>0</v>
      </c>
      <c r="H3031">
        <v>0</v>
      </c>
      <c r="I3031">
        <v>0</v>
      </c>
      <c r="J3031">
        <v>0</v>
      </c>
      <c r="K3031">
        <v>0</v>
      </c>
      <c r="L3031">
        <v>0</v>
      </c>
      <c r="M3031">
        <v>0</v>
      </c>
      <c r="N3031">
        <v>0</v>
      </c>
      <c r="O3031">
        <v>0</v>
      </c>
    </row>
    <row r="3032" spans="1:15">
      <c r="A3032" t="s">
        <v>3351</v>
      </c>
      <c r="B3032" t="s">
        <v>3254</v>
      </c>
      <c r="C3032" t="s">
        <v>404</v>
      </c>
      <c r="D3032">
        <v>11</v>
      </c>
      <c r="E3032">
        <v>100</v>
      </c>
      <c r="F3032">
        <v>0</v>
      </c>
      <c r="G3032">
        <v>0</v>
      </c>
      <c r="H3032">
        <v>0</v>
      </c>
      <c r="I3032">
        <v>0</v>
      </c>
      <c r="J3032">
        <v>0</v>
      </c>
      <c r="K3032">
        <v>0</v>
      </c>
      <c r="L3032">
        <v>0</v>
      </c>
      <c r="M3032">
        <v>0</v>
      </c>
      <c r="N3032">
        <v>0</v>
      </c>
      <c r="O3032">
        <v>0</v>
      </c>
    </row>
    <row r="3033" spans="1:15">
      <c r="A3033" t="s">
        <v>3352</v>
      </c>
      <c r="B3033" t="s">
        <v>3254</v>
      </c>
      <c r="C3033" t="s">
        <v>404</v>
      </c>
      <c r="D3033">
        <v>12</v>
      </c>
      <c r="E3033">
        <v>100</v>
      </c>
      <c r="F3033">
        <v>0</v>
      </c>
      <c r="G3033">
        <v>0</v>
      </c>
      <c r="H3033">
        <v>0</v>
      </c>
      <c r="I3033">
        <v>0</v>
      </c>
      <c r="J3033">
        <v>0</v>
      </c>
      <c r="K3033">
        <v>0</v>
      </c>
      <c r="L3033">
        <v>0</v>
      </c>
      <c r="M3033">
        <v>0</v>
      </c>
      <c r="N3033">
        <v>0</v>
      </c>
      <c r="O3033">
        <v>0</v>
      </c>
    </row>
    <row r="3034" spans="1:15">
      <c r="A3034" t="s">
        <v>3353</v>
      </c>
      <c r="B3034" t="s">
        <v>3254</v>
      </c>
      <c r="C3034" t="s">
        <v>404</v>
      </c>
      <c r="D3034">
        <v>13</v>
      </c>
      <c r="E3034">
        <v>100</v>
      </c>
      <c r="F3034">
        <v>0</v>
      </c>
      <c r="G3034">
        <v>0</v>
      </c>
      <c r="H3034">
        <v>0</v>
      </c>
      <c r="I3034">
        <v>0</v>
      </c>
      <c r="J3034">
        <v>0</v>
      </c>
      <c r="K3034">
        <v>0</v>
      </c>
      <c r="L3034">
        <v>0</v>
      </c>
      <c r="M3034">
        <v>0</v>
      </c>
      <c r="N3034">
        <v>0</v>
      </c>
      <c r="O3034">
        <v>0</v>
      </c>
    </row>
    <row r="3035" spans="1:15">
      <c r="A3035" t="s">
        <v>3354</v>
      </c>
      <c r="B3035" t="s">
        <v>3254</v>
      </c>
      <c r="C3035" t="s">
        <v>404</v>
      </c>
      <c r="D3035">
        <v>14</v>
      </c>
      <c r="E3035">
        <v>100</v>
      </c>
      <c r="F3035">
        <v>0</v>
      </c>
      <c r="G3035">
        <v>0</v>
      </c>
      <c r="H3035">
        <v>0</v>
      </c>
      <c r="I3035">
        <v>0</v>
      </c>
      <c r="J3035">
        <v>0</v>
      </c>
      <c r="K3035">
        <v>0</v>
      </c>
      <c r="L3035">
        <v>0</v>
      </c>
      <c r="M3035">
        <v>0</v>
      </c>
      <c r="N3035">
        <v>0</v>
      </c>
      <c r="O3035">
        <v>0</v>
      </c>
    </row>
    <row r="3036" spans="1:15">
      <c r="A3036" t="s">
        <v>3355</v>
      </c>
      <c r="B3036" t="s">
        <v>3254</v>
      </c>
      <c r="C3036" t="s">
        <v>404</v>
      </c>
      <c r="D3036">
        <v>15</v>
      </c>
      <c r="E3036">
        <v>100</v>
      </c>
      <c r="F3036">
        <v>0</v>
      </c>
      <c r="G3036">
        <v>0</v>
      </c>
      <c r="H3036">
        <v>0</v>
      </c>
      <c r="I3036">
        <v>0</v>
      </c>
      <c r="J3036">
        <v>0</v>
      </c>
      <c r="K3036">
        <v>0</v>
      </c>
      <c r="L3036">
        <v>0</v>
      </c>
      <c r="M3036">
        <v>0</v>
      </c>
      <c r="N3036">
        <v>0</v>
      </c>
      <c r="O3036">
        <v>0</v>
      </c>
    </row>
    <row r="3037" spans="1:15">
      <c r="A3037" t="s">
        <v>3356</v>
      </c>
      <c r="B3037" t="s">
        <v>3254</v>
      </c>
      <c r="C3037" t="s">
        <v>404</v>
      </c>
      <c r="D3037">
        <v>16</v>
      </c>
      <c r="E3037">
        <v>100</v>
      </c>
      <c r="F3037">
        <v>0</v>
      </c>
      <c r="G3037">
        <v>0</v>
      </c>
      <c r="H3037">
        <v>0</v>
      </c>
      <c r="I3037">
        <v>0</v>
      </c>
      <c r="J3037">
        <v>0</v>
      </c>
      <c r="K3037">
        <v>0</v>
      </c>
      <c r="L3037">
        <v>0</v>
      </c>
      <c r="M3037">
        <v>0</v>
      </c>
      <c r="N3037">
        <v>0</v>
      </c>
      <c r="O3037">
        <v>0</v>
      </c>
    </row>
    <row r="3038" spans="1:15">
      <c r="A3038" t="s">
        <v>3357</v>
      </c>
      <c r="B3038" t="s">
        <v>3254</v>
      </c>
      <c r="C3038" t="s">
        <v>404</v>
      </c>
      <c r="D3038">
        <v>17</v>
      </c>
      <c r="E3038">
        <v>100</v>
      </c>
      <c r="F3038">
        <v>0</v>
      </c>
      <c r="G3038">
        <v>0</v>
      </c>
      <c r="H3038">
        <v>0</v>
      </c>
      <c r="I3038">
        <v>0</v>
      </c>
      <c r="J3038">
        <v>0</v>
      </c>
      <c r="K3038">
        <v>0</v>
      </c>
      <c r="L3038">
        <v>0</v>
      </c>
      <c r="M3038">
        <v>0</v>
      </c>
      <c r="N3038">
        <v>0</v>
      </c>
      <c r="O3038">
        <v>0</v>
      </c>
    </row>
    <row r="3039" spans="1:15">
      <c r="A3039" t="s">
        <v>3358</v>
      </c>
      <c r="B3039" t="s">
        <v>3254</v>
      </c>
      <c r="C3039" t="s">
        <v>404</v>
      </c>
      <c r="D3039">
        <v>18</v>
      </c>
      <c r="E3039">
        <v>100</v>
      </c>
      <c r="F3039">
        <v>0</v>
      </c>
      <c r="G3039">
        <v>0</v>
      </c>
      <c r="H3039">
        <v>0</v>
      </c>
      <c r="I3039">
        <v>0</v>
      </c>
      <c r="J3039">
        <v>0</v>
      </c>
      <c r="K3039">
        <v>0</v>
      </c>
      <c r="L3039">
        <v>0</v>
      </c>
      <c r="M3039">
        <v>0</v>
      </c>
      <c r="N3039">
        <v>0</v>
      </c>
      <c r="O3039">
        <v>0</v>
      </c>
    </row>
    <row r="3040" spans="1:15">
      <c r="A3040" t="s">
        <v>3359</v>
      </c>
      <c r="B3040" t="s">
        <v>3254</v>
      </c>
      <c r="C3040" t="s">
        <v>404</v>
      </c>
      <c r="D3040">
        <v>19</v>
      </c>
      <c r="E3040">
        <v>100</v>
      </c>
      <c r="F3040">
        <v>0</v>
      </c>
      <c r="G3040">
        <v>0</v>
      </c>
      <c r="H3040">
        <v>0</v>
      </c>
      <c r="I3040">
        <v>0</v>
      </c>
      <c r="J3040">
        <v>0</v>
      </c>
      <c r="K3040">
        <v>0</v>
      </c>
      <c r="L3040">
        <v>0</v>
      </c>
      <c r="M3040">
        <v>0</v>
      </c>
      <c r="N3040">
        <v>0</v>
      </c>
      <c r="O3040">
        <v>0</v>
      </c>
    </row>
    <row r="3041" spans="1:15">
      <c r="A3041" t="s">
        <v>3360</v>
      </c>
      <c r="B3041" t="s">
        <v>3254</v>
      </c>
      <c r="C3041" t="s">
        <v>404</v>
      </c>
      <c r="D3041">
        <v>20</v>
      </c>
      <c r="E3041">
        <v>100</v>
      </c>
      <c r="F3041">
        <v>0</v>
      </c>
      <c r="G3041">
        <v>0</v>
      </c>
      <c r="H3041">
        <v>0</v>
      </c>
      <c r="I3041">
        <v>0</v>
      </c>
      <c r="J3041">
        <v>0</v>
      </c>
      <c r="K3041">
        <v>0</v>
      </c>
      <c r="L3041">
        <v>0</v>
      </c>
      <c r="M3041">
        <v>0</v>
      </c>
      <c r="N3041">
        <v>0</v>
      </c>
      <c r="O3041">
        <v>0</v>
      </c>
    </row>
    <row r="3042" spans="1:15">
      <c r="A3042" t="s">
        <v>3361</v>
      </c>
      <c r="B3042" t="s">
        <v>3254</v>
      </c>
      <c r="C3042" t="s">
        <v>404</v>
      </c>
      <c r="D3042">
        <v>21</v>
      </c>
      <c r="E3042">
        <v>100</v>
      </c>
      <c r="F3042">
        <v>0</v>
      </c>
      <c r="G3042">
        <v>0</v>
      </c>
      <c r="H3042">
        <v>0</v>
      </c>
      <c r="I3042">
        <v>0</v>
      </c>
      <c r="J3042">
        <v>0</v>
      </c>
      <c r="K3042">
        <v>0</v>
      </c>
      <c r="L3042">
        <v>0</v>
      </c>
      <c r="M3042">
        <v>0</v>
      </c>
      <c r="N3042">
        <v>0</v>
      </c>
      <c r="O3042">
        <v>0</v>
      </c>
    </row>
    <row r="3043" spans="1:15">
      <c r="A3043" t="s">
        <v>3362</v>
      </c>
      <c r="B3043" t="s">
        <v>3254</v>
      </c>
      <c r="C3043" t="s">
        <v>404</v>
      </c>
      <c r="D3043">
        <v>22</v>
      </c>
      <c r="E3043">
        <v>100</v>
      </c>
      <c r="F3043">
        <v>0</v>
      </c>
      <c r="G3043">
        <v>0</v>
      </c>
      <c r="H3043">
        <v>0</v>
      </c>
      <c r="I3043">
        <v>0</v>
      </c>
      <c r="J3043">
        <v>0</v>
      </c>
      <c r="K3043">
        <v>0</v>
      </c>
      <c r="L3043">
        <v>0</v>
      </c>
      <c r="M3043">
        <v>0</v>
      </c>
      <c r="N3043">
        <v>0</v>
      </c>
      <c r="O3043">
        <v>0</v>
      </c>
    </row>
    <row r="3044" spans="1:15">
      <c r="A3044" t="s">
        <v>3363</v>
      </c>
      <c r="B3044" t="s">
        <v>3254</v>
      </c>
      <c r="C3044" t="s">
        <v>404</v>
      </c>
      <c r="D3044">
        <v>23</v>
      </c>
      <c r="E3044">
        <v>100</v>
      </c>
      <c r="F3044">
        <v>0</v>
      </c>
      <c r="G3044">
        <v>0</v>
      </c>
      <c r="H3044">
        <v>0</v>
      </c>
      <c r="I3044">
        <v>0</v>
      </c>
      <c r="J3044">
        <v>0</v>
      </c>
      <c r="K3044">
        <v>0</v>
      </c>
      <c r="L3044">
        <v>0</v>
      </c>
      <c r="M3044">
        <v>0</v>
      </c>
      <c r="N3044">
        <v>0</v>
      </c>
      <c r="O3044">
        <v>0</v>
      </c>
    </row>
    <row r="3045" spans="1:15">
      <c r="A3045" t="s">
        <v>3364</v>
      </c>
      <c r="B3045" t="s">
        <v>3254</v>
      </c>
      <c r="C3045" t="s">
        <v>404</v>
      </c>
      <c r="D3045">
        <v>24</v>
      </c>
      <c r="E3045">
        <v>100</v>
      </c>
      <c r="F3045">
        <v>0</v>
      </c>
      <c r="G3045">
        <v>0</v>
      </c>
      <c r="H3045">
        <v>0</v>
      </c>
      <c r="I3045">
        <v>0</v>
      </c>
      <c r="J3045">
        <v>0</v>
      </c>
      <c r="K3045">
        <v>0</v>
      </c>
      <c r="L3045">
        <v>0</v>
      </c>
      <c r="M3045">
        <v>0</v>
      </c>
      <c r="N3045">
        <v>0</v>
      </c>
      <c r="O3045">
        <v>0</v>
      </c>
    </row>
    <row r="3046" spans="1:15">
      <c r="A3046" t="s">
        <v>3365</v>
      </c>
      <c r="B3046" t="s">
        <v>3254</v>
      </c>
      <c r="C3046" t="s">
        <v>404</v>
      </c>
      <c r="D3046">
        <v>25</v>
      </c>
      <c r="E3046">
        <v>100</v>
      </c>
      <c r="F3046">
        <v>0</v>
      </c>
      <c r="G3046">
        <v>0</v>
      </c>
      <c r="H3046">
        <v>0</v>
      </c>
      <c r="I3046">
        <v>0</v>
      </c>
      <c r="J3046">
        <v>0</v>
      </c>
      <c r="K3046">
        <v>0</v>
      </c>
      <c r="L3046">
        <v>0</v>
      </c>
      <c r="M3046">
        <v>0</v>
      </c>
      <c r="N3046">
        <v>0</v>
      </c>
      <c r="O3046">
        <v>0</v>
      </c>
    </row>
    <row r="3047" spans="1:15">
      <c r="A3047" t="s">
        <v>3366</v>
      </c>
      <c r="B3047" t="s">
        <v>3254</v>
      </c>
      <c r="C3047" t="s">
        <v>404</v>
      </c>
      <c r="D3047">
        <v>26</v>
      </c>
      <c r="E3047">
        <v>100</v>
      </c>
      <c r="F3047">
        <v>0</v>
      </c>
      <c r="G3047">
        <v>0</v>
      </c>
      <c r="H3047">
        <v>0</v>
      </c>
      <c r="I3047">
        <v>0</v>
      </c>
      <c r="J3047">
        <v>0</v>
      </c>
      <c r="K3047">
        <v>0</v>
      </c>
      <c r="L3047">
        <v>0</v>
      </c>
      <c r="M3047">
        <v>0</v>
      </c>
      <c r="N3047">
        <v>0</v>
      </c>
      <c r="O3047">
        <v>0</v>
      </c>
    </row>
    <row r="3048" spans="1:15">
      <c r="A3048" t="s">
        <v>3367</v>
      </c>
      <c r="B3048" t="s">
        <v>3254</v>
      </c>
      <c r="C3048" t="s">
        <v>404</v>
      </c>
      <c r="D3048">
        <v>27</v>
      </c>
      <c r="E3048">
        <v>100</v>
      </c>
      <c r="F3048">
        <v>0</v>
      </c>
      <c r="G3048">
        <v>0</v>
      </c>
      <c r="H3048">
        <v>0</v>
      </c>
      <c r="I3048">
        <v>0</v>
      </c>
      <c r="J3048">
        <v>0</v>
      </c>
      <c r="K3048">
        <v>0</v>
      </c>
      <c r="L3048">
        <v>0</v>
      </c>
      <c r="M3048">
        <v>0</v>
      </c>
      <c r="N3048">
        <v>0</v>
      </c>
      <c r="O3048">
        <v>0</v>
      </c>
    </row>
    <row r="3049" spans="1:15">
      <c r="A3049" t="s">
        <v>3368</v>
      </c>
      <c r="B3049" t="s">
        <v>3254</v>
      </c>
      <c r="C3049" t="s">
        <v>404</v>
      </c>
      <c r="D3049">
        <v>28</v>
      </c>
      <c r="E3049">
        <v>100</v>
      </c>
      <c r="F3049">
        <v>0</v>
      </c>
      <c r="G3049">
        <v>0</v>
      </c>
      <c r="H3049">
        <v>0</v>
      </c>
      <c r="I3049">
        <v>0</v>
      </c>
      <c r="J3049">
        <v>0</v>
      </c>
      <c r="K3049">
        <v>0</v>
      </c>
      <c r="L3049">
        <v>0</v>
      </c>
      <c r="M3049">
        <v>0</v>
      </c>
      <c r="N3049">
        <v>0</v>
      </c>
      <c r="O3049">
        <v>0</v>
      </c>
    </row>
    <row r="3050" spans="1:15">
      <c r="A3050" t="s">
        <v>3369</v>
      </c>
      <c r="B3050" t="s">
        <v>3254</v>
      </c>
      <c r="C3050" t="s">
        <v>404</v>
      </c>
      <c r="D3050">
        <v>29</v>
      </c>
      <c r="E3050">
        <v>100</v>
      </c>
      <c r="F3050">
        <v>0</v>
      </c>
      <c r="G3050">
        <v>0</v>
      </c>
      <c r="H3050">
        <v>0</v>
      </c>
      <c r="I3050">
        <v>0</v>
      </c>
      <c r="J3050">
        <v>0</v>
      </c>
      <c r="K3050">
        <v>0</v>
      </c>
      <c r="L3050">
        <v>0</v>
      </c>
      <c r="M3050">
        <v>0</v>
      </c>
      <c r="N3050">
        <v>0</v>
      </c>
      <c r="O3050">
        <v>0</v>
      </c>
    </row>
    <row r="3051" spans="1:15">
      <c r="A3051" t="s">
        <v>3370</v>
      </c>
      <c r="B3051" t="s">
        <v>3254</v>
      </c>
      <c r="C3051" t="s">
        <v>404</v>
      </c>
      <c r="D3051">
        <v>30</v>
      </c>
      <c r="E3051">
        <v>100</v>
      </c>
      <c r="F3051">
        <v>0</v>
      </c>
      <c r="G3051">
        <v>0</v>
      </c>
      <c r="H3051">
        <v>0</v>
      </c>
      <c r="I3051">
        <v>0</v>
      </c>
      <c r="J3051">
        <v>0</v>
      </c>
      <c r="K3051">
        <v>0</v>
      </c>
      <c r="L3051">
        <v>0</v>
      </c>
      <c r="M3051">
        <v>0</v>
      </c>
      <c r="N3051">
        <v>0</v>
      </c>
      <c r="O3051">
        <v>0</v>
      </c>
    </row>
    <row r="3052" spans="1:15">
      <c r="A3052" t="s">
        <v>3371</v>
      </c>
      <c r="B3052" t="s">
        <v>3254</v>
      </c>
      <c r="C3052" t="s">
        <v>404</v>
      </c>
      <c r="D3052">
        <v>31</v>
      </c>
      <c r="E3052">
        <v>100</v>
      </c>
      <c r="F3052">
        <v>0</v>
      </c>
      <c r="G3052">
        <v>0</v>
      </c>
      <c r="H3052">
        <v>0</v>
      </c>
      <c r="I3052">
        <v>0</v>
      </c>
      <c r="J3052">
        <v>0</v>
      </c>
      <c r="K3052">
        <v>0</v>
      </c>
      <c r="L3052">
        <v>0</v>
      </c>
      <c r="M3052">
        <v>0</v>
      </c>
      <c r="N3052">
        <v>0</v>
      </c>
      <c r="O3052">
        <v>0</v>
      </c>
    </row>
    <row r="3053" spans="1:15">
      <c r="A3053" t="s">
        <v>3372</v>
      </c>
      <c r="B3053" t="s">
        <v>3254</v>
      </c>
      <c r="C3053" t="s">
        <v>404</v>
      </c>
      <c r="D3053">
        <v>32</v>
      </c>
      <c r="E3053">
        <v>100</v>
      </c>
      <c r="F3053">
        <v>0</v>
      </c>
      <c r="G3053">
        <v>0</v>
      </c>
      <c r="H3053">
        <v>0</v>
      </c>
      <c r="I3053">
        <v>0</v>
      </c>
      <c r="J3053">
        <v>0</v>
      </c>
      <c r="K3053">
        <v>0</v>
      </c>
      <c r="L3053">
        <v>0</v>
      </c>
      <c r="M3053">
        <v>0</v>
      </c>
      <c r="N3053">
        <v>0</v>
      </c>
      <c r="O3053">
        <v>0</v>
      </c>
    </row>
    <row r="3054" spans="1:15">
      <c r="A3054" t="s">
        <v>3373</v>
      </c>
      <c r="B3054" t="s">
        <v>3254</v>
      </c>
      <c r="C3054" t="s">
        <v>404</v>
      </c>
      <c r="D3054">
        <v>33</v>
      </c>
      <c r="E3054">
        <v>100</v>
      </c>
      <c r="F3054">
        <v>0</v>
      </c>
      <c r="G3054">
        <v>0</v>
      </c>
      <c r="H3054">
        <v>0</v>
      </c>
      <c r="I3054">
        <v>0</v>
      </c>
      <c r="J3054">
        <v>0</v>
      </c>
      <c r="K3054">
        <v>0</v>
      </c>
      <c r="L3054">
        <v>0</v>
      </c>
      <c r="M3054">
        <v>0</v>
      </c>
      <c r="N3054">
        <v>0</v>
      </c>
      <c r="O3054">
        <v>0</v>
      </c>
    </row>
    <row r="3055" spans="1:15">
      <c r="A3055" t="s">
        <v>3374</v>
      </c>
      <c r="B3055" t="s">
        <v>3254</v>
      </c>
      <c r="C3055" t="s">
        <v>404</v>
      </c>
      <c r="D3055">
        <v>34</v>
      </c>
      <c r="E3055">
        <v>100</v>
      </c>
      <c r="F3055">
        <v>0</v>
      </c>
      <c r="G3055">
        <v>0</v>
      </c>
      <c r="H3055">
        <v>0</v>
      </c>
      <c r="I3055">
        <v>0</v>
      </c>
      <c r="J3055">
        <v>0</v>
      </c>
      <c r="K3055">
        <v>0</v>
      </c>
      <c r="L3055">
        <v>0</v>
      </c>
      <c r="M3055">
        <v>0</v>
      </c>
      <c r="N3055">
        <v>0</v>
      </c>
      <c r="O3055">
        <v>0</v>
      </c>
    </row>
    <row r="3056" spans="1:15">
      <c r="A3056" t="s">
        <v>3375</v>
      </c>
      <c r="B3056" t="s">
        <v>3254</v>
      </c>
      <c r="C3056" t="s">
        <v>404</v>
      </c>
      <c r="D3056">
        <v>35</v>
      </c>
      <c r="E3056">
        <v>100</v>
      </c>
      <c r="F3056">
        <v>0</v>
      </c>
      <c r="G3056">
        <v>0</v>
      </c>
      <c r="H3056">
        <v>0</v>
      </c>
      <c r="I3056">
        <v>0</v>
      </c>
      <c r="J3056">
        <v>0</v>
      </c>
      <c r="K3056">
        <v>0</v>
      </c>
      <c r="L3056">
        <v>0</v>
      </c>
      <c r="M3056">
        <v>0</v>
      </c>
      <c r="N3056">
        <v>0</v>
      </c>
      <c r="O3056">
        <v>0</v>
      </c>
    </row>
    <row r="3057" spans="1:15">
      <c r="A3057" t="s">
        <v>3376</v>
      </c>
      <c r="B3057" t="s">
        <v>3254</v>
      </c>
      <c r="C3057" t="s">
        <v>404</v>
      </c>
      <c r="D3057">
        <v>36</v>
      </c>
      <c r="E3057">
        <v>100</v>
      </c>
      <c r="F3057">
        <v>0</v>
      </c>
      <c r="G3057">
        <v>0</v>
      </c>
      <c r="H3057">
        <v>0</v>
      </c>
      <c r="I3057">
        <v>0</v>
      </c>
      <c r="J3057">
        <v>0</v>
      </c>
      <c r="K3057">
        <v>0</v>
      </c>
      <c r="L3057">
        <v>0</v>
      </c>
      <c r="M3057">
        <v>0</v>
      </c>
      <c r="N3057">
        <v>0</v>
      </c>
      <c r="O3057">
        <v>0</v>
      </c>
    </row>
    <row r="3058" spans="1:15">
      <c r="A3058" t="s">
        <v>3377</v>
      </c>
      <c r="B3058" t="s">
        <v>3254</v>
      </c>
      <c r="C3058" t="s">
        <v>404</v>
      </c>
      <c r="D3058">
        <v>37</v>
      </c>
      <c r="E3058">
        <v>100</v>
      </c>
      <c r="F3058">
        <v>0</v>
      </c>
      <c r="G3058">
        <v>0</v>
      </c>
      <c r="H3058">
        <v>0</v>
      </c>
      <c r="I3058">
        <v>0</v>
      </c>
      <c r="J3058">
        <v>0</v>
      </c>
      <c r="K3058">
        <v>0</v>
      </c>
      <c r="L3058">
        <v>0</v>
      </c>
      <c r="M3058">
        <v>0</v>
      </c>
      <c r="N3058">
        <v>0</v>
      </c>
      <c r="O3058">
        <v>0</v>
      </c>
    </row>
    <row r="3059" spans="1:15">
      <c r="A3059" t="s">
        <v>3378</v>
      </c>
      <c r="B3059" t="s">
        <v>3254</v>
      </c>
      <c r="C3059" t="s">
        <v>404</v>
      </c>
      <c r="D3059">
        <v>38</v>
      </c>
      <c r="E3059">
        <v>100</v>
      </c>
      <c r="F3059">
        <v>0</v>
      </c>
      <c r="G3059">
        <v>0</v>
      </c>
      <c r="H3059">
        <v>0</v>
      </c>
      <c r="I3059">
        <v>0</v>
      </c>
      <c r="J3059">
        <v>0</v>
      </c>
      <c r="K3059">
        <v>0</v>
      </c>
      <c r="L3059">
        <v>0</v>
      </c>
      <c r="M3059">
        <v>0</v>
      </c>
      <c r="N3059">
        <v>0</v>
      </c>
      <c r="O3059">
        <v>0</v>
      </c>
    </row>
    <row r="3060" spans="1:15">
      <c r="A3060" t="s">
        <v>3379</v>
      </c>
      <c r="B3060" t="s">
        <v>3254</v>
      </c>
      <c r="C3060" t="s">
        <v>404</v>
      </c>
      <c r="D3060">
        <v>39</v>
      </c>
      <c r="E3060">
        <v>100</v>
      </c>
      <c r="F3060">
        <v>0</v>
      </c>
      <c r="G3060">
        <v>0</v>
      </c>
      <c r="H3060">
        <v>0</v>
      </c>
      <c r="I3060">
        <v>0</v>
      </c>
      <c r="J3060">
        <v>0</v>
      </c>
      <c r="K3060">
        <v>0</v>
      </c>
      <c r="L3060">
        <v>0</v>
      </c>
      <c r="M3060">
        <v>0</v>
      </c>
      <c r="N3060">
        <v>0</v>
      </c>
      <c r="O3060">
        <v>0</v>
      </c>
    </row>
    <row r="3061" spans="1:15">
      <c r="A3061" t="s">
        <v>3380</v>
      </c>
      <c r="B3061" t="s">
        <v>3254</v>
      </c>
      <c r="C3061" t="s">
        <v>404</v>
      </c>
      <c r="D3061">
        <v>40</v>
      </c>
      <c r="E3061">
        <v>100</v>
      </c>
      <c r="F3061">
        <v>0</v>
      </c>
      <c r="G3061">
        <v>0</v>
      </c>
      <c r="H3061">
        <v>0</v>
      </c>
      <c r="I3061">
        <v>0</v>
      </c>
      <c r="J3061">
        <v>0</v>
      </c>
      <c r="K3061">
        <v>0</v>
      </c>
      <c r="L3061">
        <v>0</v>
      </c>
      <c r="M3061">
        <v>0</v>
      </c>
      <c r="N3061">
        <v>0</v>
      </c>
      <c r="O3061">
        <v>0</v>
      </c>
    </row>
    <row r="3062" spans="1:15">
      <c r="A3062" t="s">
        <v>3381</v>
      </c>
      <c r="B3062" t="s">
        <v>3254</v>
      </c>
      <c r="C3062" t="s">
        <v>404</v>
      </c>
      <c r="D3062">
        <v>41</v>
      </c>
      <c r="E3062">
        <v>100</v>
      </c>
      <c r="F3062">
        <v>0</v>
      </c>
      <c r="G3062">
        <v>0</v>
      </c>
      <c r="H3062">
        <v>0</v>
      </c>
      <c r="I3062">
        <v>0</v>
      </c>
      <c r="J3062">
        <v>0</v>
      </c>
      <c r="K3062">
        <v>0</v>
      </c>
      <c r="L3062">
        <v>0</v>
      </c>
      <c r="M3062">
        <v>0</v>
      </c>
      <c r="N3062">
        <v>0</v>
      </c>
      <c r="O3062">
        <v>0</v>
      </c>
    </row>
    <row r="3063" spans="1:15">
      <c r="A3063" t="s">
        <v>3382</v>
      </c>
      <c r="B3063" t="s">
        <v>3254</v>
      </c>
      <c r="C3063" t="s">
        <v>404</v>
      </c>
      <c r="D3063">
        <v>42</v>
      </c>
      <c r="E3063">
        <v>100</v>
      </c>
      <c r="F3063">
        <v>0</v>
      </c>
      <c r="G3063">
        <v>0</v>
      </c>
      <c r="H3063">
        <v>0</v>
      </c>
      <c r="I3063">
        <v>0</v>
      </c>
      <c r="J3063">
        <v>0</v>
      </c>
      <c r="K3063">
        <v>0</v>
      </c>
      <c r="L3063">
        <v>0</v>
      </c>
      <c r="M3063">
        <v>0</v>
      </c>
      <c r="N3063">
        <v>0</v>
      </c>
      <c r="O3063">
        <v>0</v>
      </c>
    </row>
    <row r="3064" spans="1:15">
      <c r="A3064" t="s">
        <v>3383</v>
      </c>
      <c r="B3064" t="s">
        <v>3254</v>
      </c>
      <c r="C3064" t="s">
        <v>404</v>
      </c>
      <c r="D3064">
        <v>43</v>
      </c>
      <c r="E3064">
        <v>100</v>
      </c>
      <c r="F3064">
        <v>0</v>
      </c>
      <c r="G3064">
        <v>0</v>
      </c>
      <c r="H3064">
        <v>0</v>
      </c>
      <c r="I3064">
        <v>0</v>
      </c>
      <c r="J3064">
        <v>0</v>
      </c>
      <c r="K3064">
        <v>0</v>
      </c>
      <c r="L3064">
        <v>0</v>
      </c>
      <c r="M3064">
        <v>0</v>
      </c>
      <c r="N3064">
        <v>0</v>
      </c>
      <c r="O3064">
        <v>0</v>
      </c>
    </row>
    <row r="3065" spans="1:15">
      <c r="A3065" t="s">
        <v>3384</v>
      </c>
      <c r="B3065" t="s">
        <v>3254</v>
      </c>
      <c r="C3065" t="s">
        <v>404</v>
      </c>
      <c r="D3065">
        <v>44</v>
      </c>
      <c r="E3065">
        <v>100</v>
      </c>
      <c r="F3065">
        <v>0</v>
      </c>
      <c r="G3065">
        <v>0</v>
      </c>
      <c r="H3065">
        <v>0</v>
      </c>
      <c r="I3065">
        <v>0</v>
      </c>
      <c r="J3065">
        <v>0</v>
      </c>
      <c r="K3065">
        <v>0</v>
      </c>
      <c r="L3065">
        <v>0</v>
      </c>
      <c r="M3065">
        <v>0</v>
      </c>
      <c r="N3065">
        <v>0</v>
      </c>
      <c r="O3065">
        <v>0</v>
      </c>
    </row>
    <row r="3066" spans="1:15">
      <c r="A3066" t="s">
        <v>3385</v>
      </c>
      <c r="B3066" t="s">
        <v>3254</v>
      </c>
      <c r="C3066" t="s">
        <v>404</v>
      </c>
      <c r="D3066">
        <v>45</v>
      </c>
      <c r="E3066">
        <v>100</v>
      </c>
      <c r="F3066">
        <v>0</v>
      </c>
      <c r="G3066">
        <v>0</v>
      </c>
      <c r="H3066">
        <v>0</v>
      </c>
      <c r="I3066">
        <v>0</v>
      </c>
      <c r="J3066">
        <v>0</v>
      </c>
      <c r="K3066">
        <v>0</v>
      </c>
      <c r="L3066">
        <v>0</v>
      </c>
      <c r="M3066">
        <v>0</v>
      </c>
      <c r="N3066">
        <v>0</v>
      </c>
      <c r="O3066">
        <v>0</v>
      </c>
    </row>
    <row r="3067" spans="1:15">
      <c r="A3067" t="s">
        <v>3386</v>
      </c>
      <c r="B3067" t="s">
        <v>3254</v>
      </c>
      <c r="C3067" t="s">
        <v>404</v>
      </c>
      <c r="D3067">
        <v>46</v>
      </c>
      <c r="E3067">
        <v>100</v>
      </c>
      <c r="F3067">
        <v>0</v>
      </c>
      <c r="G3067">
        <v>0</v>
      </c>
      <c r="H3067">
        <v>0</v>
      </c>
      <c r="I3067">
        <v>0</v>
      </c>
      <c r="J3067">
        <v>0</v>
      </c>
      <c r="K3067">
        <v>0</v>
      </c>
      <c r="L3067">
        <v>0</v>
      </c>
      <c r="M3067">
        <v>0</v>
      </c>
      <c r="N3067">
        <v>0</v>
      </c>
      <c r="O3067">
        <v>0</v>
      </c>
    </row>
    <row r="3068" spans="1:15">
      <c r="A3068" t="s">
        <v>3387</v>
      </c>
      <c r="B3068" t="s">
        <v>3254</v>
      </c>
      <c r="C3068" t="s">
        <v>404</v>
      </c>
      <c r="D3068">
        <v>47</v>
      </c>
      <c r="E3068">
        <v>100</v>
      </c>
      <c r="F3068">
        <v>0</v>
      </c>
      <c r="G3068">
        <v>0</v>
      </c>
      <c r="H3068">
        <v>0</v>
      </c>
      <c r="I3068">
        <v>0</v>
      </c>
      <c r="J3068">
        <v>0</v>
      </c>
      <c r="K3068">
        <v>0</v>
      </c>
      <c r="L3068">
        <v>0</v>
      </c>
      <c r="M3068">
        <v>0</v>
      </c>
      <c r="N3068">
        <v>0</v>
      </c>
      <c r="O3068">
        <v>0</v>
      </c>
    </row>
    <row r="3069" spans="1:15">
      <c r="A3069" t="s">
        <v>3388</v>
      </c>
      <c r="B3069" t="s">
        <v>3254</v>
      </c>
      <c r="C3069" t="s">
        <v>404</v>
      </c>
      <c r="D3069">
        <v>48</v>
      </c>
      <c r="E3069">
        <v>100</v>
      </c>
      <c r="F3069">
        <v>0</v>
      </c>
      <c r="G3069">
        <v>0</v>
      </c>
      <c r="H3069">
        <v>0</v>
      </c>
      <c r="I3069">
        <v>0</v>
      </c>
      <c r="J3069">
        <v>0</v>
      </c>
      <c r="K3069">
        <v>0</v>
      </c>
      <c r="L3069">
        <v>0</v>
      </c>
      <c r="M3069">
        <v>0</v>
      </c>
      <c r="N3069">
        <v>0</v>
      </c>
      <c r="O3069">
        <v>0</v>
      </c>
    </row>
    <row r="3070" spans="1:15">
      <c r="A3070" t="s">
        <v>3389</v>
      </c>
      <c r="B3070" t="s">
        <v>3254</v>
      </c>
      <c r="C3070" t="s">
        <v>404</v>
      </c>
      <c r="D3070">
        <v>49</v>
      </c>
      <c r="E3070">
        <v>100</v>
      </c>
      <c r="F3070">
        <v>0</v>
      </c>
      <c r="G3070">
        <v>0</v>
      </c>
      <c r="H3070">
        <v>0</v>
      </c>
      <c r="I3070">
        <v>0</v>
      </c>
      <c r="J3070">
        <v>0</v>
      </c>
      <c r="K3070">
        <v>0</v>
      </c>
      <c r="L3070">
        <v>0</v>
      </c>
      <c r="M3070">
        <v>0</v>
      </c>
      <c r="N3070">
        <v>0</v>
      </c>
      <c r="O3070">
        <v>0</v>
      </c>
    </row>
    <row r="3071" spans="1:15">
      <c r="A3071" t="s">
        <v>3390</v>
      </c>
      <c r="B3071" t="s">
        <v>3254</v>
      </c>
      <c r="C3071" t="s">
        <v>404</v>
      </c>
      <c r="D3071">
        <v>50</v>
      </c>
      <c r="E3071">
        <v>100</v>
      </c>
      <c r="F3071">
        <v>0</v>
      </c>
      <c r="G3071">
        <v>0</v>
      </c>
      <c r="H3071">
        <v>0</v>
      </c>
      <c r="I3071">
        <v>0</v>
      </c>
      <c r="J3071">
        <v>0</v>
      </c>
      <c r="K3071">
        <v>0</v>
      </c>
      <c r="L3071">
        <v>0</v>
      </c>
      <c r="M3071">
        <v>0</v>
      </c>
      <c r="N3071">
        <v>0</v>
      </c>
      <c r="O3071">
        <v>0</v>
      </c>
    </row>
    <row r="3072" spans="1:15">
      <c r="A3072" t="s">
        <v>3391</v>
      </c>
      <c r="B3072" t="s">
        <v>3254</v>
      </c>
      <c r="C3072" t="s">
        <v>404</v>
      </c>
      <c r="D3072">
        <v>51</v>
      </c>
      <c r="E3072">
        <v>100</v>
      </c>
      <c r="F3072">
        <v>0</v>
      </c>
      <c r="G3072">
        <v>0</v>
      </c>
      <c r="H3072">
        <v>0</v>
      </c>
      <c r="I3072">
        <v>0</v>
      </c>
      <c r="J3072">
        <v>0</v>
      </c>
      <c r="K3072">
        <v>0</v>
      </c>
      <c r="L3072">
        <v>0</v>
      </c>
      <c r="M3072">
        <v>0</v>
      </c>
      <c r="N3072">
        <v>0</v>
      </c>
      <c r="O3072">
        <v>0</v>
      </c>
    </row>
    <row r="3073" spans="1:15">
      <c r="A3073" t="s">
        <v>3392</v>
      </c>
      <c r="B3073" t="s">
        <v>3254</v>
      </c>
      <c r="C3073" t="s">
        <v>404</v>
      </c>
      <c r="D3073">
        <v>52</v>
      </c>
      <c r="E3073">
        <v>100</v>
      </c>
      <c r="F3073">
        <v>0</v>
      </c>
      <c r="G3073">
        <v>0</v>
      </c>
      <c r="H3073">
        <v>0</v>
      </c>
      <c r="I3073">
        <v>0</v>
      </c>
      <c r="J3073">
        <v>0</v>
      </c>
      <c r="K3073">
        <v>0</v>
      </c>
      <c r="L3073">
        <v>0</v>
      </c>
      <c r="M3073">
        <v>0</v>
      </c>
      <c r="N3073">
        <v>0</v>
      </c>
      <c r="O3073">
        <v>0</v>
      </c>
    </row>
    <row r="3074" spans="1:15">
      <c r="A3074" t="s">
        <v>3393</v>
      </c>
      <c r="B3074" t="s">
        <v>3254</v>
      </c>
      <c r="C3074" t="s">
        <v>404</v>
      </c>
      <c r="D3074">
        <v>53</v>
      </c>
      <c r="E3074">
        <v>100</v>
      </c>
      <c r="F3074">
        <v>0</v>
      </c>
      <c r="G3074">
        <v>0</v>
      </c>
      <c r="H3074">
        <v>0</v>
      </c>
      <c r="I3074">
        <v>0</v>
      </c>
      <c r="J3074">
        <v>0</v>
      </c>
      <c r="K3074">
        <v>0</v>
      </c>
      <c r="L3074">
        <v>0</v>
      </c>
      <c r="M3074">
        <v>0</v>
      </c>
      <c r="N3074">
        <v>0</v>
      </c>
      <c r="O3074">
        <v>0</v>
      </c>
    </row>
    <row r="3075" spans="1:15">
      <c r="A3075" t="s">
        <v>3394</v>
      </c>
      <c r="B3075" t="s">
        <v>3254</v>
      </c>
      <c r="C3075" t="s">
        <v>404</v>
      </c>
      <c r="D3075">
        <v>54</v>
      </c>
      <c r="E3075">
        <v>100</v>
      </c>
      <c r="F3075">
        <v>0</v>
      </c>
      <c r="G3075">
        <v>0</v>
      </c>
      <c r="H3075">
        <v>0</v>
      </c>
      <c r="I3075">
        <v>0</v>
      </c>
      <c r="J3075">
        <v>0</v>
      </c>
      <c r="K3075">
        <v>0</v>
      </c>
      <c r="L3075">
        <v>0</v>
      </c>
      <c r="M3075">
        <v>0</v>
      </c>
      <c r="N3075">
        <v>0</v>
      </c>
      <c r="O3075">
        <v>0</v>
      </c>
    </row>
    <row r="3076" spans="1:15">
      <c r="A3076" t="s">
        <v>3395</v>
      </c>
      <c r="B3076" t="s">
        <v>3254</v>
      </c>
      <c r="C3076" t="s">
        <v>404</v>
      </c>
      <c r="D3076">
        <v>55</v>
      </c>
      <c r="E3076">
        <v>100</v>
      </c>
      <c r="F3076">
        <v>0</v>
      </c>
      <c r="G3076">
        <v>0</v>
      </c>
      <c r="H3076">
        <v>0</v>
      </c>
      <c r="I3076">
        <v>0</v>
      </c>
      <c r="J3076">
        <v>0</v>
      </c>
      <c r="K3076">
        <v>0</v>
      </c>
      <c r="L3076">
        <v>0</v>
      </c>
      <c r="M3076">
        <v>0</v>
      </c>
      <c r="N3076">
        <v>0</v>
      </c>
      <c r="O3076">
        <v>0</v>
      </c>
    </row>
    <row r="3077" spans="1:15">
      <c r="A3077" t="s">
        <v>3396</v>
      </c>
      <c r="B3077" t="s">
        <v>3254</v>
      </c>
      <c r="C3077" t="s">
        <v>404</v>
      </c>
      <c r="D3077">
        <v>56</v>
      </c>
      <c r="E3077">
        <v>100</v>
      </c>
      <c r="F3077">
        <v>0</v>
      </c>
      <c r="G3077">
        <v>0</v>
      </c>
      <c r="H3077">
        <v>0</v>
      </c>
      <c r="I3077">
        <v>0</v>
      </c>
      <c r="J3077">
        <v>0</v>
      </c>
      <c r="K3077">
        <v>0</v>
      </c>
      <c r="L3077">
        <v>0</v>
      </c>
      <c r="M3077">
        <v>0</v>
      </c>
      <c r="N3077">
        <v>0</v>
      </c>
      <c r="O3077">
        <v>0</v>
      </c>
    </row>
    <row r="3078" spans="1:15">
      <c r="A3078" t="s">
        <v>3397</v>
      </c>
      <c r="B3078" t="s">
        <v>3254</v>
      </c>
      <c r="C3078" t="s">
        <v>404</v>
      </c>
      <c r="D3078">
        <v>57</v>
      </c>
      <c r="E3078">
        <v>100</v>
      </c>
      <c r="F3078">
        <v>0</v>
      </c>
      <c r="G3078">
        <v>0</v>
      </c>
      <c r="H3078">
        <v>0</v>
      </c>
      <c r="I3078">
        <v>0</v>
      </c>
      <c r="J3078">
        <v>0</v>
      </c>
      <c r="K3078">
        <v>0</v>
      </c>
      <c r="L3078">
        <v>0</v>
      </c>
      <c r="M3078">
        <v>0</v>
      </c>
      <c r="N3078">
        <v>0</v>
      </c>
      <c r="O3078">
        <v>0</v>
      </c>
    </row>
    <row r="3079" spans="1:15">
      <c r="A3079" t="s">
        <v>3398</v>
      </c>
      <c r="B3079" t="s">
        <v>3254</v>
      </c>
      <c r="C3079" t="s">
        <v>404</v>
      </c>
      <c r="D3079">
        <v>58</v>
      </c>
      <c r="E3079">
        <v>100</v>
      </c>
      <c r="F3079">
        <v>0</v>
      </c>
      <c r="G3079">
        <v>0</v>
      </c>
      <c r="H3079">
        <v>0</v>
      </c>
      <c r="I3079">
        <v>0</v>
      </c>
      <c r="J3079">
        <v>0</v>
      </c>
      <c r="K3079">
        <v>0</v>
      </c>
      <c r="L3079">
        <v>0</v>
      </c>
      <c r="M3079">
        <v>0</v>
      </c>
      <c r="N3079">
        <v>0</v>
      </c>
      <c r="O3079">
        <v>0</v>
      </c>
    </row>
    <row r="3080" spans="1:15">
      <c r="A3080" t="s">
        <v>3399</v>
      </c>
      <c r="B3080" t="s">
        <v>3254</v>
      </c>
      <c r="C3080" t="s">
        <v>404</v>
      </c>
      <c r="D3080">
        <v>59</v>
      </c>
      <c r="E3080">
        <v>100</v>
      </c>
      <c r="F3080">
        <v>0</v>
      </c>
      <c r="G3080">
        <v>0</v>
      </c>
      <c r="H3080">
        <v>0</v>
      </c>
      <c r="I3080">
        <v>0</v>
      </c>
      <c r="J3080">
        <v>0</v>
      </c>
      <c r="K3080">
        <v>0</v>
      </c>
      <c r="L3080">
        <v>0</v>
      </c>
      <c r="M3080">
        <v>0</v>
      </c>
      <c r="N3080">
        <v>0</v>
      </c>
      <c r="O3080">
        <v>0</v>
      </c>
    </row>
    <row r="3081" spans="1:15">
      <c r="A3081" t="s">
        <v>3400</v>
      </c>
      <c r="B3081" t="s">
        <v>3254</v>
      </c>
      <c r="C3081" t="s">
        <v>404</v>
      </c>
      <c r="D3081">
        <v>60</v>
      </c>
      <c r="E3081">
        <v>100</v>
      </c>
      <c r="F3081">
        <v>0</v>
      </c>
      <c r="G3081">
        <v>0</v>
      </c>
      <c r="H3081">
        <v>0</v>
      </c>
      <c r="I3081">
        <v>0</v>
      </c>
      <c r="J3081">
        <v>0</v>
      </c>
      <c r="K3081">
        <v>0</v>
      </c>
      <c r="L3081">
        <v>0</v>
      </c>
      <c r="M3081">
        <v>0</v>
      </c>
      <c r="N3081">
        <v>0</v>
      </c>
      <c r="O3081">
        <v>0</v>
      </c>
    </row>
    <row r="3082" spans="1:15">
      <c r="A3082" t="s">
        <v>3401</v>
      </c>
      <c r="B3082" t="s">
        <v>3254</v>
      </c>
      <c r="C3082" t="s">
        <v>404</v>
      </c>
      <c r="D3082">
        <v>61</v>
      </c>
      <c r="E3082">
        <v>100</v>
      </c>
      <c r="F3082">
        <v>0</v>
      </c>
      <c r="G3082">
        <v>0</v>
      </c>
      <c r="H3082">
        <v>0</v>
      </c>
      <c r="I3082">
        <v>0</v>
      </c>
      <c r="J3082">
        <v>0</v>
      </c>
      <c r="K3082">
        <v>0</v>
      </c>
      <c r="L3082">
        <v>0</v>
      </c>
      <c r="M3082">
        <v>0</v>
      </c>
      <c r="N3082">
        <v>0</v>
      </c>
      <c r="O3082">
        <v>0</v>
      </c>
    </row>
    <row r="3083" spans="1:15">
      <c r="A3083" t="s">
        <v>3402</v>
      </c>
      <c r="B3083" t="s">
        <v>3254</v>
      </c>
      <c r="C3083" t="s">
        <v>404</v>
      </c>
      <c r="D3083">
        <v>62</v>
      </c>
      <c r="E3083">
        <v>100</v>
      </c>
      <c r="F3083">
        <v>0</v>
      </c>
      <c r="G3083">
        <v>0</v>
      </c>
      <c r="H3083">
        <v>0</v>
      </c>
      <c r="I3083">
        <v>0</v>
      </c>
      <c r="J3083">
        <v>0</v>
      </c>
      <c r="K3083">
        <v>0</v>
      </c>
      <c r="L3083">
        <v>0</v>
      </c>
      <c r="M3083">
        <v>0</v>
      </c>
      <c r="N3083">
        <v>0</v>
      </c>
      <c r="O3083">
        <v>0</v>
      </c>
    </row>
    <row r="3084" spans="1:15">
      <c r="A3084" t="s">
        <v>3403</v>
      </c>
      <c r="B3084" t="s">
        <v>3254</v>
      </c>
      <c r="C3084" t="s">
        <v>404</v>
      </c>
      <c r="D3084">
        <v>63</v>
      </c>
      <c r="E3084">
        <v>100</v>
      </c>
      <c r="F3084">
        <v>0</v>
      </c>
      <c r="G3084">
        <v>0</v>
      </c>
      <c r="H3084">
        <v>0</v>
      </c>
      <c r="I3084">
        <v>0</v>
      </c>
      <c r="J3084">
        <v>0</v>
      </c>
      <c r="K3084">
        <v>0</v>
      </c>
      <c r="L3084">
        <v>0</v>
      </c>
      <c r="M3084">
        <v>0</v>
      </c>
      <c r="N3084">
        <v>0</v>
      </c>
      <c r="O3084">
        <v>0</v>
      </c>
    </row>
    <row r="3085" spans="1:15">
      <c r="A3085" t="s">
        <v>3404</v>
      </c>
      <c r="B3085" t="s">
        <v>3254</v>
      </c>
      <c r="C3085" t="s">
        <v>404</v>
      </c>
      <c r="D3085">
        <v>64</v>
      </c>
      <c r="E3085">
        <v>100</v>
      </c>
      <c r="F3085">
        <v>0</v>
      </c>
      <c r="G3085">
        <v>0</v>
      </c>
      <c r="H3085">
        <v>0</v>
      </c>
      <c r="I3085">
        <v>0</v>
      </c>
      <c r="J3085">
        <v>0</v>
      </c>
      <c r="K3085">
        <v>0</v>
      </c>
      <c r="L3085">
        <v>0</v>
      </c>
      <c r="M3085">
        <v>0</v>
      </c>
      <c r="N3085">
        <v>0</v>
      </c>
      <c r="O3085">
        <v>0</v>
      </c>
    </row>
    <row r="3086" spans="1:15">
      <c r="A3086" t="s">
        <v>3405</v>
      </c>
      <c r="B3086" t="s">
        <v>3254</v>
      </c>
      <c r="C3086" t="s">
        <v>404</v>
      </c>
      <c r="D3086">
        <v>65</v>
      </c>
      <c r="E3086">
        <v>100</v>
      </c>
      <c r="F3086">
        <v>0</v>
      </c>
      <c r="G3086">
        <v>0</v>
      </c>
      <c r="H3086">
        <v>0</v>
      </c>
      <c r="I3086">
        <v>0</v>
      </c>
      <c r="J3086">
        <v>0</v>
      </c>
      <c r="K3086">
        <v>0</v>
      </c>
      <c r="L3086">
        <v>0</v>
      </c>
      <c r="M3086">
        <v>0</v>
      </c>
      <c r="N3086">
        <v>0</v>
      </c>
      <c r="O3086">
        <v>0</v>
      </c>
    </row>
    <row r="3087" spans="1:15">
      <c r="A3087" t="s">
        <v>3406</v>
      </c>
      <c r="B3087" t="s">
        <v>3254</v>
      </c>
      <c r="C3087" t="s">
        <v>404</v>
      </c>
      <c r="D3087">
        <v>66</v>
      </c>
      <c r="E3087">
        <v>100</v>
      </c>
      <c r="F3087">
        <v>0</v>
      </c>
      <c r="G3087">
        <v>0</v>
      </c>
      <c r="H3087">
        <v>0</v>
      </c>
      <c r="I3087">
        <v>0</v>
      </c>
      <c r="J3087">
        <v>0</v>
      </c>
      <c r="K3087">
        <v>0</v>
      </c>
      <c r="L3087">
        <v>0</v>
      </c>
      <c r="M3087">
        <v>0</v>
      </c>
      <c r="N3087">
        <v>0</v>
      </c>
      <c r="O3087">
        <v>0</v>
      </c>
    </row>
    <row r="3088" spans="1:15">
      <c r="A3088" t="s">
        <v>3407</v>
      </c>
      <c r="B3088" t="s">
        <v>3254</v>
      </c>
      <c r="C3088" t="s">
        <v>404</v>
      </c>
      <c r="D3088">
        <v>67</v>
      </c>
      <c r="E3088">
        <v>100</v>
      </c>
      <c r="F3088">
        <v>0</v>
      </c>
      <c r="G3088">
        <v>0</v>
      </c>
      <c r="H3088">
        <v>0</v>
      </c>
      <c r="I3088">
        <v>0</v>
      </c>
      <c r="J3088">
        <v>0</v>
      </c>
      <c r="K3088">
        <v>0</v>
      </c>
      <c r="L3088">
        <v>0</v>
      </c>
      <c r="M3088">
        <v>0</v>
      </c>
      <c r="N3088">
        <v>0</v>
      </c>
      <c r="O3088">
        <v>0</v>
      </c>
    </row>
    <row r="3089" spans="1:15">
      <c r="A3089" t="s">
        <v>3408</v>
      </c>
      <c r="B3089" t="s">
        <v>3254</v>
      </c>
      <c r="C3089" t="s">
        <v>404</v>
      </c>
      <c r="D3089">
        <v>68</v>
      </c>
      <c r="E3089">
        <v>100</v>
      </c>
      <c r="F3089">
        <v>0</v>
      </c>
      <c r="G3089">
        <v>0</v>
      </c>
      <c r="H3089">
        <v>0</v>
      </c>
      <c r="I3089">
        <v>0</v>
      </c>
      <c r="J3089">
        <v>0</v>
      </c>
      <c r="K3089">
        <v>0</v>
      </c>
      <c r="L3089">
        <v>0</v>
      </c>
      <c r="M3089">
        <v>0</v>
      </c>
      <c r="N3089">
        <v>0</v>
      </c>
      <c r="O3089">
        <v>0</v>
      </c>
    </row>
    <row r="3090" spans="1:15">
      <c r="A3090" t="s">
        <v>3409</v>
      </c>
      <c r="B3090" t="s">
        <v>3254</v>
      </c>
      <c r="C3090" t="s">
        <v>404</v>
      </c>
      <c r="D3090">
        <v>69</v>
      </c>
      <c r="E3090">
        <v>100</v>
      </c>
      <c r="F3090">
        <v>0</v>
      </c>
      <c r="G3090">
        <v>0</v>
      </c>
      <c r="H3090">
        <v>0</v>
      </c>
      <c r="I3090">
        <v>0</v>
      </c>
      <c r="J3090">
        <v>0</v>
      </c>
      <c r="K3090">
        <v>0</v>
      </c>
      <c r="L3090">
        <v>0</v>
      </c>
      <c r="M3090">
        <v>0</v>
      </c>
      <c r="N3090">
        <v>0</v>
      </c>
      <c r="O3090">
        <v>0</v>
      </c>
    </row>
    <row r="3091" spans="1:15">
      <c r="A3091" t="s">
        <v>3410</v>
      </c>
      <c r="B3091" t="s">
        <v>3254</v>
      </c>
      <c r="C3091" t="s">
        <v>404</v>
      </c>
      <c r="D3091">
        <v>70</v>
      </c>
      <c r="E3091">
        <v>100</v>
      </c>
      <c r="F3091">
        <v>0</v>
      </c>
      <c r="G3091">
        <v>0</v>
      </c>
      <c r="H3091">
        <v>0</v>
      </c>
      <c r="I3091">
        <v>0</v>
      </c>
      <c r="J3091">
        <v>0</v>
      </c>
      <c r="K3091">
        <v>0</v>
      </c>
      <c r="L3091">
        <v>0</v>
      </c>
      <c r="M3091">
        <v>0</v>
      </c>
      <c r="N3091">
        <v>0</v>
      </c>
      <c r="O3091">
        <v>0</v>
      </c>
    </row>
    <row r="3092" spans="1:15">
      <c r="A3092" t="s">
        <v>3411</v>
      </c>
      <c r="B3092" t="s">
        <v>3254</v>
      </c>
      <c r="C3092" t="s">
        <v>404</v>
      </c>
      <c r="D3092">
        <v>71</v>
      </c>
      <c r="E3092">
        <v>100</v>
      </c>
      <c r="F3092">
        <v>0</v>
      </c>
      <c r="G3092">
        <v>0</v>
      </c>
      <c r="H3092">
        <v>0</v>
      </c>
      <c r="I3092">
        <v>0</v>
      </c>
      <c r="J3092">
        <v>0</v>
      </c>
      <c r="K3092">
        <v>0</v>
      </c>
      <c r="L3092">
        <v>0</v>
      </c>
      <c r="M3092">
        <v>0</v>
      </c>
      <c r="N3092">
        <v>0</v>
      </c>
      <c r="O3092">
        <v>0</v>
      </c>
    </row>
    <row r="3093" spans="1:15">
      <c r="A3093" t="s">
        <v>3412</v>
      </c>
      <c r="B3093" t="s">
        <v>3254</v>
      </c>
      <c r="C3093" t="s">
        <v>404</v>
      </c>
      <c r="D3093">
        <v>72</v>
      </c>
      <c r="E3093">
        <v>100</v>
      </c>
      <c r="F3093">
        <v>0</v>
      </c>
      <c r="G3093">
        <v>0</v>
      </c>
      <c r="H3093">
        <v>0</v>
      </c>
      <c r="I3093">
        <v>0</v>
      </c>
      <c r="J3093">
        <v>0</v>
      </c>
      <c r="K3093">
        <v>0</v>
      </c>
      <c r="L3093">
        <v>0</v>
      </c>
      <c r="M3093">
        <v>0</v>
      </c>
      <c r="N3093">
        <v>0</v>
      </c>
      <c r="O3093">
        <v>0</v>
      </c>
    </row>
    <row r="3094" spans="1:15">
      <c r="A3094" t="s">
        <v>3413</v>
      </c>
      <c r="B3094" t="s">
        <v>3254</v>
      </c>
      <c r="C3094" t="s">
        <v>404</v>
      </c>
      <c r="D3094">
        <v>73</v>
      </c>
      <c r="E3094">
        <v>100</v>
      </c>
      <c r="F3094">
        <v>0</v>
      </c>
      <c r="G3094">
        <v>0</v>
      </c>
      <c r="H3094">
        <v>0</v>
      </c>
      <c r="I3094">
        <v>0</v>
      </c>
      <c r="J3094">
        <v>0</v>
      </c>
      <c r="K3094">
        <v>0</v>
      </c>
      <c r="L3094">
        <v>0</v>
      </c>
      <c r="M3094">
        <v>0</v>
      </c>
      <c r="N3094">
        <v>0</v>
      </c>
      <c r="O3094">
        <v>0</v>
      </c>
    </row>
    <row r="3095" spans="1:15">
      <c r="A3095" t="s">
        <v>3414</v>
      </c>
      <c r="B3095" t="s">
        <v>3254</v>
      </c>
      <c r="C3095" t="s">
        <v>404</v>
      </c>
      <c r="D3095">
        <v>74</v>
      </c>
      <c r="E3095">
        <v>100</v>
      </c>
      <c r="F3095">
        <v>0</v>
      </c>
      <c r="G3095">
        <v>0</v>
      </c>
      <c r="H3095">
        <v>0</v>
      </c>
      <c r="I3095">
        <v>0</v>
      </c>
      <c r="J3095">
        <v>0</v>
      </c>
      <c r="K3095">
        <v>0</v>
      </c>
      <c r="L3095">
        <v>0</v>
      </c>
      <c r="M3095">
        <v>0</v>
      </c>
      <c r="N3095">
        <v>0</v>
      </c>
      <c r="O3095">
        <v>0</v>
      </c>
    </row>
    <row r="3096" spans="1:15">
      <c r="A3096" t="s">
        <v>3415</v>
      </c>
      <c r="B3096" t="s">
        <v>3254</v>
      </c>
      <c r="C3096" t="s">
        <v>404</v>
      </c>
      <c r="D3096">
        <v>75</v>
      </c>
      <c r="E3096">
        <v>100</v>
      </c>
      <c r="F3096">
        <v>0</v>
      </c>
      <c r="G3096">
        <v>0</v>
      </c>
      <c r="H3096">
        <v>0</v>
      </c>
      <c r="I3096">
        <v>0</v>
      </c>
      <c r="J3096">
        <v>0</v>
      </c>
      <c r="K3096">
        <v>0</v>
      </c>
      <c r="L3096">
        <v>0</v>
      </c>
      <c r="M3096">
        <v>0</v>
      </c>
      <c r="N3096">
        <v>0</v>
      </c>
      <c r="O3096">
        <v>0</v>
      </c>
    </row>
    <row r="3097" spans="1:15">
      <c r="A3097" t="s">
        <v>3416</v>
      </c>
      <c r="B3097" t="s">
        <v>3254</v>
      </c>
      <c r="C3097" t="s">
        <v>404</v>
      </c>
      <c r="D3097">
        <v>76</v>
      </c>
      <c r="E3097">
        <v>100</v>
      </c>
      <c r="F3097">
        <v>0</v>
      </c>
      <c r="G3097">
        <v>0</v>
      </c>
      <c r="H3097">
        <v>0</v>
      </c>
      <c r="I3097">
        <v>0</v>
      </c>
      <c r="J3097">
        <v>0</v>
      </c>
      <c r="K3097">
        <v>0</v>
      </c>
      <c r="L3097">
        <v>0</v>
      </c>
      <c r="M3097">
        <v>0</v>
      </c>
      <c r="N3097">
        <v>0</v>
      </c>
      <c r="O3097">
        <v>0</v>
      </c>
    </row>
    <row r="3098" spans="1:15">
      <c r="A3098" t="s">
        <v>3417</v>
      </c>
      <c r="B3098" t="s">
        <v>3254</v>
      </c>
      <c r="C3098" t="s">
        <v>404</v>
      </c>
      <c r="D3098">
        <v>77</v>
      </c>
      <c r="E3098">
        <v>100</v>
      </c>
      <c r="F3098">
        <v>0</v>
      </c>
      <c r="G3098">
        <v>0</v>
      </c>
      <c r="H3098">
        <v>0</v>
      </c>
      <c r="I3098">
        <v>0</v>
      </c>
      <c r="J3098">
        <v>0</v>
      </c>
      <c r="K3098">
        <v>0</v>
      </c>
      <c r="L3098">
        <v>0</v>
      </c>
      <c r="M3098">
        <v>0</v>
      </c>
      <c r="N3098">
        <v>0</v>
      </c>
      <c r="O3098">
        <v>0</v>
      </c>
    </row>
    <row r="3099" spans="1:15">
      <c r="A3099" t="s">
        <v>3418</v>
      </c>
      <c r="B3099" t="s">
        <v>3254</v>
      </c>
      <c r="C3099" t="s">
        <v>404</v>
      </c>
      <c r="D3099">
        <v>78</v>
      </c>
      <c r="E3099">
        <v>100</v>
      </c>
      <c r="F3099">
        <v>0</v>
      </c>
      <c r="G3099">
        <v>0</v>
      </c>
      <c r="H3099">
        <v>0</v>
      </c>
      <c r="I3099">
        <v>0</v>
      </c>
      <c r="J3099">
        <v>0</v>
      </c>
      <c r="K3099">
        <v>0</v>
      </c>
      <c r="L3099">
        <v>0</v>
      </c>
      <c r="M3099">
        <v>0</v>
      </c>
      <c r="N3099">
        <v>0</v>
      </c>
      <c r="O3099">
        <v>0</v>
      </c>
    </row>
    <row r="3100" spans="1:15">
      <c r="A3100" t="s">
        <v>3419</v>
      </c>
      <c r="B3100" t="s">
        <v>3254</v>
      </c>
      <c r="C3100" t="s">
        <v>404</v>
      </c>
      <c r="D3100">
        <v>79</v>
      </c>
      <c r="E3100">
        <v>100</v>
      </c>
      <c r="F3100">
        <v>0</v>
      </c>
      <c r="G3100">
        <v>0</v>
      </c>
      <c r="H3100">
        <v>0</v>
      </c>
      <c r="I3100">
        <v>0</v>
      </c>
      <c r="J3100">
        <v>0</v>
      </c>
      <c r="K3100">
        <v>0</v>
      </c>
      <c r="L3100">
        <v>0</v>
      </c>
      <c r="M3100">
        <v>0</v>
      </c>
      <c r="N3100">
        <v>0</v>
      </c>
      <c r="O3100">
        <v>0</v>
      </c>
    </row>
    <row r="3101" spans="1:15">
      <c r="A3101" t="s">
        <v>3420</v>
      </c>
      <c r="B3101" t="s">
        <v>3254</v>
      </c>
      <c r="C3101" t="s">
        <v>404</v>
      </c>
      <c r="D3101">
        <v>80</v>
      </c>
      <c r="E3101">
        <v>100</v>
      </c>
      <c r="F3101">
        <v>0</v>
      </c>
      <c r="G3101">
        <v>0</v>
      </c>
      <c r="H3101">
        <v>0</v>
      </c>
      <c r="I3101">
        <v>0</v>
      </c>
      <c r="J3101">
        <v>0</v>
      </c>
      <c r="K3101">
        <v>0</v>
      </c>
      <c r="L3101">
        <v>0</v>
      </c>
      <c r="M3101">
        <v>0</v>
      </c>
      <c r="N3101">
        <v>0</v>
      </c>
      <c r="O3101">
        <v>0</v>
      </c>
    </row>
    <row r="3102" spans="1:15">
      <c r="A3102" t="s">
        <v>3421</v>
      </c>
      <c r="B3102" t="s">
        <v>3254</v>
      </c>
      <c r="C3102" t="s">
        <v>404</v>
      </c>
      <c r="D3102">
        <v>81</v>
      </c>
      <c r="E3102">
        <v>100</v>
      </c>
      <c r="F3102">
        <v>0</v>
      </c>
      <c r="G3102">
        <v>0</v>
      </c>
      <c r="H3102">
        <v>0</v>
      </c>
      <c r="I3102">
        <v>0</v>
      </c>
      <c r="J3102">
        <v>0</v>
      </c>
      <c r="K3102">
        <v>0</v>
      </c>
      <c r="L3102">
        <v>0</v>
      </c>
      <c r="M3102">
        <v>0</v>
      </c>
      <c r="N3102">
        <v>0</v>
      </c>
      <c r="O3102">
        <v>0</v>
      </c>
    </row>
    <row r="3103" spans="1:15">
      <c r="A3103" t="s">
        <v>3422</v>
      </c>
      <c r="B3103" t="s">
        <v>3254</v>
      </c>
      <c r="C3103" t="s">
        <v>404</v>
      </c>
      <c r="D3103">
        <v>82</v>
      </c>
      <c r="E3103">
        <v>100</v>
      </c>
      <c r="F3103">
        <v>0</v>
      </c>
      <c r="G3103">
        <v>0</v>
      </c>
      <c r="H3103">
        <v>0</v>
      </c>
      <c r="I3103">
        <v>0</v>
      </c>
      <c r="J3103">
        <v>0</v>
      </c>
      <c r="K3103">
        <v>0</v>
      </c>
      <c r="L3103">
        <v>0</v>
      </c>
      <c r="M3103">
        <v>0</v>
      </c>
      <c r="N3103">
        <v>0</v>
      </c>
      <c r="O3103">
        <v>0</v>
      </c>
    </row>
    <row r="3104" spans="1:15">
      <c r="A3104" t="s">
        <v>3423</v>
      </c>
      <c r="B3104" t="s">
        <v>3254</v>
      </c>
      <c r="C3104" t="s">
        <v>404</v>
      </c>
      <c r="D3104">
        <v>83</v>
      </c>
      <c r="E3104">
        <v>100</v>
      </c>
      <c r="F3104">
        <v>0</v>
      </c>
      <c r="G3104">
        <v>0</v>
      </c>
      <c r="H3104">
        <v>0</v>
      </c>
      <c r="I3104">
        <v>0</v>
      </c>
      <c r="J3104">
        <v>0</v>
      </c>
      <c r="K3104">
        <v>0</v>
      </c>
      <c r="L3104">
        <v>0</v>
      </c>
      <c r="M3104">
        <v>0</v>
      </c>
      <c r="N3104">
        <v>0</v>
      </c>
      <c r="O3104">
        <v>0</v>
      </c>
    </row>
    <row r="3105" spans="1:15">
      <c r="A3105" t="s">
        <v>3424</v>
      </c>
      <c r="B3105" t="s">
        <v>3254</v>
      </c>
      <c r="C3105" t="s">
        <v>404</v>
      </c>
      <c r="D3105">
        <v>84</v>
      </c>
      <c r="E3105">
        <v>100</v>
      </c>
      <c r="F3105">
        <v>0</v>
      </c>
      <c r="G3105">
        <v>0</v>
      </c>
      <c r="H3105">
        <v>0</v>
      </c>
      <c r="I3105">
        <v>0</v>
      </c>
      <c r="J3105">
        <v>0</v>
      </c>
      <c r="K3105">
        <v>0</v>
      </c>
      <c r="L3105">
        <v>0</v>
      </c>
      <c r="M3105">
        <v>0</v>
      </c>
      <c r="N3105">
        <v>0</v>
      </c>
      <c r="O3105">
        <v>0</v>
      </c>
    </row>
    <row r="3106" spans="1:15">
      <c r="A3106" t="s">
        <v>3425</v>
      </c>
      <c r="B3106" t="s">
        <v>3254</v>
      </c>
      <c r="C3106" t="s">
        <v>404</v>
      </c>
      <c r="D3106">
        <v>85</v>
      </c>
      <c r="E3106">
        <v>100</v>
      </c>
      <c r="F3106">
        <v>0</v>
      </c>
      <c r="G3106">
        <v>0</v>
      </c>
      <c r="H3106">
        <v>0</v>
      </c>
      <c r="I3106">
        <v>0</v>
      </c>
      <c r="J3106">
        <v>0</v>
      </c>
      <c r="K3106">
        <v>0</v>
      </c>
      <c r="L3106">
        <v>0</v>
      </c>
      <c r="M3106">
        <v>0</v>
      </c>
      <c r="N3106">
        <v>0</v>
      </c>
      <c r="O3106">
        <v>0</v>
      </c>
    </row>
  </sheetData>
  <sheetProtection algorithmName="SHA-512" hashValue="TCz4BBZChlEohfujOffdPSmki/ShxAiD+KgMc+4rh5GzAciLcQIjEqbSRnAY1x355QKeUplAZZGwrAn7E9Gz5Q==" saltValue="i3Nzh513yfY+9s0oD1fR6w==" spinCount="100000" sheet="1" objects="1" scenarios="1"/>
  <autoFilter xmlns:etc="http://www.wps.cn/officeDocument/2017/etCustomData" ref="A2:O691" etc:filterBottomFollowUsedRange="0">
    <extLst/>
  </autoFilter>
  <pageMargins left="0.7" right="0.7" top="0.75" bottom="0.75" header="0.3" footer="0.3"/>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6" master="" otherUserPermission="visible"/>
  <rangeList sheetStid="17" master="" otherUserPermission="visible"/>
  <rangeList sheetStid="21" master="" otherUserPermission="visible"/>
  <rangeList sheetStid="9" master="" otherUserPermission="visible"/>
  <rangeList sheetStid="8" master="" otherUserPermission="visible"/>
  <rangeList sheetStid="12" master="" otherUserPermission="visible"/>
  <rangeList sheetStid="11" master="" otherUserPermission="visible"/>
  <rangeList sheetStid="1" master="" otherUserPermission="visible"/>
  <rangeList sheetStid="15" master="" otherUserPermission="visible"/>
  <rangeList sheetStid="14" master="" otherUserPermission="visible"/>
  <rangeList sheetStid="13" master="" otherUserPermission="visible"/>
  <rangeList sheetStid="18" master="" otherUserPermission="visible"/>
  <rangeList sheetStid="19" master="" otherUserPermission="visible"/>
  <rangeList sheetStid="20" master="" otherUserPermission="visible"/>
  <rangeList sheetStid="5"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15</vt:i4>
      </vt:variant>
    </vt:vector>
  </HeadingPairs>
  <TitlesOfParts>
    <vt:vector size="15" baseType="lpstr">
      <vt:lpstr>Date</vt:lpstr>
      <vt:lpstr>Update Log</vt:lpstr>
      <vt:lpstr>Black hole_Mapping</vt:lpstr>
      <vt:lpstr>English</vt:lpstr>
      <vt:lpstr>Trad Chinese</vt:lpstr>
      <vt:lpstr>Simp Chinese</vt:lpstr>
      <vt:lpstr>Basic E</vt:lpstr>
      <vt:lpstr>Basic C</vt:lpstr>
      <vt:lpstr>Backward Cal (size discount) EN</vt:lpstr>
      <vt:lpstr>Backward Cal (size discount) TC</vt:lpstr>
      <vt:lpstr>Backward Cal (size discount) SC</vt:lpstr>
      <vt:lpstr>Multiple Ccy Mapping_EN</vt:lpstr>
      <vt:lpstr>Multiple Ccy Mapping_TC</vt:lpstr>
      <vt:lpstr>Multiple Ccy Mapping_SC</vt:lpstr>
      <vt:lpstr>Premium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atibcheu</dc:creator>
  <cp:lastModifiedBy>:)</cp:lastModifiedBy>
  <dcterms:created xsi:type="dcterms:W3CDTF">2011-09-06T11:45:00Z</dcterms:created>
  <cp:lastPrinted>2025-01-22T09:43:00Z</cp:lastPrinted>
  <dcterms:modified xsi:type="dcterms:W3CDTF">2025-06-24T11:49:12Z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A0563AB9FB5043B89F00D77297A72F96_12</vt:lpwstr>
  </property>
  <property fmtid="{D5CDD505-2E9C-101B-9397-08002B2CF9AE}" pid="3" name="KSOProductBuildVer">
    <vt:lpwstr>2052-12.1.0.21541</vt:lpwstr>
  </property>
</Properties>
</file>